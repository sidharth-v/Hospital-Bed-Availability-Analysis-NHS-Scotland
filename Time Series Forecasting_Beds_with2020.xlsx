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harth\Downloads\report\"/>
    </mc:Choice>
  </mc:AlternateContent>
  <xr:revisionPtr revIDLastSave="0" documentId="13_ncr:1_{093F5BEE-2806-4FFA-8C30-76CBA580DC82}" xr6:coauthVersionLast="47" xr6:coauthVersionMax="47" xr10:uidLastSave="{00000000-0000-0000-0000-000000000000}"/>
  <bookViews>
    <workbookView xWindow="-110" yWindow="-110" windowWidth="19420" windowHeight="11500" activeTab="6" xr2:uid="{CB52DF33-6B71-4922-8379-E9F2DE81D1A0}"/>
  </bookViews>
  <sheets>
    <sheet name="Input NHS" sheetId="1" r:id="rId1"/>
    <sheet name="Summary" sheetId="15" r:id="rId2"/>
    <sheet name="Grampian " sheetId="7" r:id="rId3"/>
    <sheet name="Lothian" sheetId="4" r:id="rId4"/>
    <sheet name="Tayside" sheetId="5" r:id="rId5"/>
    <sheet name="Lothian FE" sheetId="9" r:id="rId6"/>
    <sheet name="ReglinL" sheetId="10" r:id="rId7"/>
    <sheet name="RegseaL" sheetId="12" r:id="rId8"/>
    <sheet name="Grampian FE" sheetId="3" r:id="rId9"/>
    <sheet name="RegLinG" sheetId="8" r:id="rId10"/>
    <sheet name="RegSeaG" sheetId="11" r:id="rId11"/>
    <sheet name="Tayside FE" sheetId="13" r:id="rId12"/>
    <sheet name="ReglinT" sheetId="14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9" l="1"/>
  <c r="P66" i="9"/>
  <c r="O67" i="9"/>
  <c r="P67" i="9" s="1"/>
  <c r="Q67" i="9" s="1"/>
  <c r="O66" i="9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6" i="13"/>
  <c r="S47" i="9"/>
  <c r="S48" i="9"/>
  <c r="S49" i="9"/>
  <c r="S50" i="9"/>
  <c r="O68" i="9" l="1"/>
  <c r="Q8" i="13"/>
  <c r="Q13" i="13"/>
  <c r="Q17" i="13"/>
  <c r="P7" i="13"/>
  <c r="Q7" i="13" s="1"/>
  <c r="P8" i="13"/>
  <c r="P9" i="13"/>
  <c r="Q9" i="13" s="1"/>
  <c r="P10" i="13"/>
  <c r="Q10" i="13" s="1"/>
  <c r="P11" i="13"/>
  <c r="Q11" i="13" s="1"/>
  <c r="P12" i="13"/>
  <c r="Q12" i="13" s="1"/>
  <c r="P13" i="13"/>
  <c r="P14" i="13"/>
  <c r="Q14" i="13" s="1"/>
  <c r="P15" i="13"/>
  <c r="Q15" i="13" s="1"/>
  <c r="P16" i="13"/>
  <c r="Q16" i="13" s="1"/>
  <c r="P17" i="13"/>
  <c r="P18" i="13"/>
  <c r="Q18" i="13" s="1"/>
  <c r="P19" i="13"/>
  <c r="Q19" i="13" s="1"/>
  <c r="P20" i="13"/>
  <c r="Q20" i="13" s="1"/>
  <c r="P21" i="13"/>
  <c r="Q21" i="13" s="1"/>
  <c r="P6" i="13"/>
  <c r="Q6" i="13" s="1"/>
  <c r="S32" i="9"/>
  <c r="T32" i="9" s="1"/>
  <c r="U32" i="9" s="1"/>
  <c r="S33" i="9"/>
  <c r="T33" i="9" s="1"/>
  <c r="U33" i="9" s="1"/>
  <c r="S34" i="9"/>
  <c r="T34" i="9" s="1"/>
  <c r="U34" i="9" s="1"/>
  <c r="S35" i="9"/>
  <c r="T35" i="9" s="1"/>
  <c r="U35" i="9" s="1"/>
  <c r="S36" i="9"/>
  <c r="T36" i="9" s="1"/>
  <c r="U36" i="9" s="1"/>
  <c r="S37" i="9"/>
  <c r="T37" i="9" s="1"/>
  <c r="U37" i="9" s="1"/>
  <c r="S38" i="9"/>
  <c r="T38" i="9" s="1"/>
  <c r="U38" i="9" s="1"/>
  <c r="S39" i="9"/>
  <c r="T39" i="9" s="1"/>
  <c r="U39" i="9" s="1"/>
  <c r="S40" i="9"/>
  <c r="T40" i="9" s="1"/>
  <c r="U40" i="9" s="1"/>
  <c r="S41" i="9"/>
  <c r="T41" i="9" s="1"/>
  <c r="U41" i="9" s="1"/>
  <c r="S42" i="9"/>
  <c r="T42" i="9" s="1"/>
  <c r="U42" i="9" s="1"/>
  <c r="S43" i="9"/>
  <c r="T43" i="9" s="1"/>
  <c r="U43" i="9" s="1"/>
  <c r="S44" i="9"/>
  <c r="T44" i="9" s="1"/>
  <c r="U44" i="9" s="1"/>
  <c r="S45" i="9"/>
  <c r="T45" i="9" s="1"/>
  <c r="U45" i="9" s="1"/>
  <c r="S46" i="9"/>
  <c r="T46" i="9" s="1"/>
  <c r="U46" i="9" s="1"/>
  <c r="S31" i="9"/>
  <c r="T31" i="9" s="1"/>
  <c r="U31" i="9" s="1"/>
  <c r="O64" i="3"/>
  <c r="P64" i="3" s="1"/>
  <c r="Q64" i="3" s="1"/>
  <c r="O63" i="3"/>
  <c r="P63" i="3" s="1"/>
  <c r="Q63" i="3" s="1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31" i="3"/>
  <c r="O69" i="9" l="1"/>
  <c r="P68" i="9"/>
  <c r="Q68" i="9" s="1"/>
  <c r="X36" i="9"/>
  <c r="O65" i="3"/>
  <c r="O70" i="9" l="1"/>
  <c r="P69" i="9"/>
  <c r="Q69" i="9" s="1"/>
  <c r="O66" i="3"/>
  <c r="P65" i="3"/>
  <c r="Q65" i="3" s="1"/>
  <c r="O71" i="9" l="1"/>
  <c r="P70" i="9"/>
  <c r="Q70" i="9" s="1"/>
  <c r="O67" i="3"/>
  <c r="P66" i="3"/>
  <c r="Q66" i="3" s="1"/>
  <c r="T46" i="3"/>
  <c r="U46" i="3" s="1"/>
  <c r="T45" i="3"/>
  <c r="U45" i="3" s="1"/>
  <c r="T44" i="3"/>
  <c r="U44" i="3" s="1"/>
  <c r="T43" i="3"/>
  <c r="U43" i="3" s="1"/>
  <c r="T42" i="3"/>
  <c r="U42" i="3" s="1"/>
  <c r="T41" i="3"/>
  <c r="U41" i="3" s="1"/>
  <c r="T40" i="3"/>
  <c r="U40" i="3" s="1"/>
  <c r="T39" i="3"/>
  <c r="U39" i="3" s="1"/>
  <c r="T38" i="3"/>
  <c r="U38" i="3" s="1"/>
  <c r="T37" i="3"/>
  <c r="U37" i="3" s="1"/>
  <c r="T36" i="3"/>
  <c r="U36" i="3" s="1"/>
  <c r="T35" i="3"/>
  <c r="U35" i="3" s="1"/>
  <c r="T34" i="3"/>
  <c r="U34" i="3" s="1"/>
  <c r="T33" i="3"/>
  <c r="U33" i="3" s="1"/>
  <c r="T32" i="3"/>
  <c r="U32" i="3" s="1"/>
  <c r="T31" i="3"/>
  <c r="U31" i="3" s="1"/>
  <c r="O5" i="9"/>
  <c r="P5" i="9" s="1"/>
  <c r="Q5" i="9" s="1"/>
  <c r="O6" i="9"/>
  <c r="P6" i="9" s="1"/>
  <c r="Q6" i="9" s="1"/>
  <c r="O7" i="9"/>
  <c r="P7" i="9" s="1"/>
  <c r="Q7" i="9" s="1"/>
  <c r="O8" i="9"/>
  <c r="P8" i="9" s="1"/>
  <c r="Q8" i="9" s="1"/>
  <c r="O9" i="9"/>
  <c r="P9" i="9" s="1"/>
  <c r="Q9" i="9" s="1"/>
  <c r="O10" i="9"/>
  <c r="P10" i="9" s="1"/>
  <c r="Q10" i="9" s="1"/>
  <c r="O11" i="9"/>
  <c r="P11" i="9" s="1"/>
  <c r="Q11" i="9" s="1"/>
  <c r="O12" i="9"/>
  <c r="P12" i="9" s="1"/>
  <c r="Q12" i="9" s="1"/>
  <c r="O13" i="9"/>
  <c r="P13" i="9" s="1"/>
  <c r="Q13" i="9" s="1"/>
  <c r="O14" i="9"/>
  <c r="P14" i="9" s="1"/>
  <c r="Q14" i="9" s="1"/>
  <c r="O15" i="9"/>
  <c r="P15" i="9" s="1"/>
  <c r="Q15" i="9" s="1"/>
  <c r="O16" i="9"/>
  <c r="P16" i="9" s="1"/>
  <c r="Q16" i="9" s="1"/>
  <c r="O17" i="9"/>
  <c r="P17" i="9" s="1"/>
  <c r="Q17" i="9" s="1"/>
  <c r="O18" i="9"/>
  <c r="P18" i="9" s="1"/>
  <c r="Q18" i="9" s="1"/>
  <c r="O19" i="9"/>
  <c r="P19" i="9" s="1"/>
  <c r="Q19" i="9" s="1"/>
  <c r="O4" i="9"/>
  <c r="P4" i="9" s="1"/>
  <c r="Q4" i="9" s="1"/>
  <c r="O19" i="3"/>
  <c r="P19" i="3" s="1"/>
  <c r="Q19" i="3" s="1"/>
  <c r="O5" i="3"/>
  <c r="P5" i="3" s="1"/>
  <c r="Q5" i="3" s="1"/>
  <c r="O6" i="3"/>
  <c r="P6" i="3" s="1"/>
  <c r="Q6" i="3" s="1"/>
  <c r="O7" i="3"/>
  <c r="P7" i="3" s="1"/>
  <c r="Q7" i="3" s="1"/>
  <c r="O8" i="3"/>
  <c r="P8" i="3" s="1"/>
  <c r="Q8" i="3" s="1"/>
  <c r="O9" i="3"/>
  <c r="P9" i="3" s="1"/>
  <c r="Q9" i="3" s="1"/>
  <c r="O10" i="3"/>
  <c r="P10" i="3" s="1"/>
  <c r="Q10" i="3" s="1"/>
  <c r="O11" i="3"/>
  <c r="P11" i="3" s="1"/>
  <c r="Q11" i="3" s="1"/>
  <c r="O12" i="3"/>
  <c r="P12" i="3" s="1"/>
  <c r="Q12" i="3" s="1"/>
  <c r="O13" i="3"/>
  <c r="P13" i="3" s="1"/>
  <c r="Q13" i="3" s="1"/>
  <c r="O14" i="3"/>
  <c r="P14" i="3" s="1"/>
  <c r="Q14" i="3" s="1"/>
  <c r="O15" i="3"/>
  <c r="P15" i="3" s="1"/>
  <c r="Q15" i="3" s="1"/>
  <c r="O16" i="3"/>
  <c r="P16" i="3" s="1"/>
  <c r="Q16" i="3" s="1"/>
  <c r="O17" i="3"/>
  <c r="P17" i="3" s="1"/>
  <c r="Q17" i="3" s="1"/>
  <c r="O18" i="3"/>
  <c r="P18" i="3" s="1"/>
  <c r="Q18" i="3" s="1"/>
  <c r="O4" i="3"/>
  <c r="P4" i="3" s="1"/>
  <c r="Q4" i="3" s="1"/>
  <c r="O72" i="9" l="1"/>
  <c r="P71" i="9"/>
  <c r="Q71" i="9" s="1"/>
  <c r="X38" i="3"/>
  <c r="O68" i="3"/>
  <c r="P67" i="3"/>
  <c r="Q67" i="3" s="1"/>
  <c r="W11" i="9"/>
  <c r="V12" i="3"/>
  <c r="O73" i="9" l="1"/>
  <c r="P72" i="9"/>
  <c r="Q72" i="9" s="1"/>
  <c r="O69" i="3"/>
  <c r="P68" i="3"/>
  <c r="Q68" i="3" s="1"/>
  <c r="O74" i="9" l="1"/>
  <c r="P73" i="9"/>
  <c r="Q73" i="9" s="1"/>
  <c r="O70" i="3"/>
  <c r="P69" i="3"/>
  <c r="Q69" i="3" s="1"/>
  <c r="O75" i="9" l="1"/>
  <c r="P74" i="9"/>
  <c r="Q74" i="9" s="1"/>
  <c r="O71" i="3"/>
  <c r="P70" i="3"/>
  <c r="Q70" i="3" s="1"/>
  <c r="O76" i="9" l="1"/>
  <c r="P75" i="9"/>
  <c r="Q75" i="9" s="1"/>
  <c r="O72" i="3"/>
  <c r="P71" i="3"/>
  <c r="Q71" i="3" s="1"/>
  <c r="O77" i="9" l="1"/>
  <c r="P76" i="9"/>
  <c r="Q76" i="9" s="1"/>
  <c r="O73" i="3"/>
  <c r="P72" i="3"/>
  <c r="Q72" i="3" s="1"/>
  <c r="O78" i="9" l="1"/>
  <c r="P77" i="9"/>
  <c r="Q77" i="9" s="1"/>
  <c r="O74" i="3"/>
  <c r="P73" i="3"/>
  <c r="Q73" i="3" s="1"/>
  <c r="O79" i="9" l="1"/>
  <c r="P78" i="9"/>
  <c r="Q78" i="9" s="1"/>
  <c r="O75" i="3"/>
  <c r="P74" i="3"/>
  <c r="Q74" i="3" s="1"/>
  <c r="O80" i="9" l="1"/>
  <c r="P79" i="9"/>
  <c r="Q79" i="9" s="1"/>
  <c r="O76" i="3"/>
  <c r="P75" i="3"/>
  <c r="Q75" i="3" s="1"/>
  <c r="O81" i="9" l="1"/>
  <c r="P80" i="9"/>
  <c r="Q80" i="9" s="1"/>
  <c r="V75" i="9" s="1"/>
  <c r="O77" i="3"/>
  <c r="P76" i="3"/>
  <c r="Q76" i="3" s="1"/>
  <c r="P77" i="3" l="1"/>
  <c r="Q77" i="3" s="1"/>
  <c r="O78" i="3"/>
  <c r="U70" i="3"/>
</calcChain>
</file>

<file path=xl/sharedStrings.xml><?xml version="1.0" encoding="utf-8"?>
<sst xmlns="http://schemas.openxmlformats.org/spreadsheetml/2006/main" count="1857" uniqueCount="82">
  <si>
    <t>Period</t>
  </si>
  <si>
    <t>Year</t>
  </si>
  <si>
    <t>Quarter</t>
  </si>
  <si>
    <t>HB</t>
  </si>
  <si>
    <t>HBName</t>
  </si>
  <si>
    <t>Location</t>
  </si>
  <si>
    <t>LocationQF</t>
  </si>
  <si>
    <t>Specialty</t>
  </si>
  <si>
    <t>SpecialtyName</t>
  </si>
  <si>
    <t>AllStaffedBeddays</t>
  </si>
  <si>
    <t>TotalOccupiedBeddays</t>
  </si>
  <si>
    <t>AverageAvailableStaffedBeds</t>
  </si>
  <si>
    <t>AverageOccupiedBeds</t>
  </si>
  <si>
    <t>PercentageOccupancy</t>
  </si>
  <si>
    <t>S08000020</t>
  </si>
  <si>
    <t>NHS Grampian</t>
  </si>
  <si>
    <t>d</t>
  </si>
  <si>
    <t>AD</t>
  </si>
  <si>
    <t>Medical Oncology</t>
  </si>
  <si>
    <t>S08000024</t>
  </si>
  <si>
    <t>NHS Lothian</t>
  </si>
  <si>
    <t>S08000030</t>
  </si>
  <si>
    <t>NHS Tayside</t>
  </si>
  <si>
    <t>S08000031</t>
  </si>
  <si>
    <t>NHS Greater Glasgow and Clyde</t>
  </si>
  <si>
    <t>S92000003</t>
  </si>
  <si>
    <t>SCOTLAND</t>
  </si>
  <si>
    <t xml:space="preserve">Analysis of Bed Occupancy in the Grampian Health Board: INCUDING the year 2020 </t>
  </si>
  <si>
    <t>Forecast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</si>
  <si>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</si>
  <si>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</si>
  <si>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</si>
  <si>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</si>
  <si>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</si>
  <si>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</si>
  <si>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</si>
  <si>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</si>
  <si>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</si>
  <si>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</si>
  <si>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</si>
  <si>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</si>
  <si>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</si>
  <si>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</si>
  <si>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</si>
  <si>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</si>
  <si>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</si>
  <si>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</si>
  <si>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</si>
  <si>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</si>
  <si>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</si>
  <si>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</si>
  <si>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</si>
  <si>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</si>
  <si>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</si>
  <si>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1. Linear Trend</t>
  </si>
  <si>
    <t>FE</t>
  </si>
  <si>
    <t>Squared FE</t>
  </si>
  <si>
    <t xml:space="preserve">     Including 2020</t>
  </si>
  <si>
    <t>MSE</t>
  </si>
  <si>
    <t xml:space="preserve">   Including 2020</t>
  </si>
  <si>
    <t>Q1</t>
  </si>
  <si>
    <t>Q2</t>
  </si>
  <si>
    <t>Q3</t>
  </si>
  <si>
    <t>X Variable 2</t>
  </si>
  <si>
    <t>X Variable 3</t>
  </si>
  <si>
    <t>X Variable 4</t>
  </si>
  <si>
    <t>Smoothing Constant</t>
  </si>
  <si>
    <t>Constant</t>
  </si>
  <si>
    <t xml:space="preserve">Analysis of Bed Occupancy in the Lothian Health Board: INCUDING the year 2020 </t>
  </si>
  <si>
    <t xml:space="preserve">Analysis of Bed Occupancy in the Tayside Health Board: INCUDING the year 2020 </t>
  </si>
  <si>
    <t>2. Forecast using seasonality</t>
  </si>
  <si>
    <t>3. Forecast using exponential smoothing</t>
  </si>
  <si>
    <t>Forecast Method</t>
  </si>
  <si>
    <t>Linear Trend</t>
  </si>
  <si>
    <t>Linear Trend with Seasonality</t>
  </si>
  <si>
    <t>Chosen Forecast Method</t>
  </si>
  <si>
    <t>Exponential Smoothing</t>
  </si>
  <si>
    <t>//BEST</t>
  </si>
  <si>
    <t>With 2020</t>
  </si>
  <si>
    <t>Dataset</t>
  </si>
  <si>
    <t>Health Board</t>
  </si>
  <si>
    <t>Bed 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</si>
</sst>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A8CDC"/>
        <bgColor indexed="64"/>
      </patternFill>
    </fill>
    <fill>
      <patternFill patternType="solid">
        <fgColor rgb="FF3C87CC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2" borderId="9" xfId="0" applyFill="1" applyBorder="1"/>
    <xf numFmtId="0" fontId="3" fillId="0" borderId="0" xfId="0" applyFont="1"/>
    <xf numFmtId="0" fontId="4" fillId="0" borderId="0" xfId="0" applyFont="1"/>
    <xf numFmtId="0" fontId="0" fillId="2" borderId="12" xfId="0" applyFill="1" applyBorder="1"/>
    <xf numFmtId="0" fontId="0" fillId="5" borderId="0" xfId="0" applyFill="1"/>
    <xf numFmtId="0" fontId="5" fillId="2" borderId="0" xfId="0" applyFont="1" applyFill="1"/>
    <xf numFmtId="2" fontId="0" fillId="5" borderId="0" xfId="0" applyNumberFormat="1" applyFill="1"/>
    <xf numFmtId="0" fontId="0" fillId="6" borderId="0" xfId="0" applyFill="1"/>
    <xf numFmtId="0" fontId="2" fillId="6" borderId="2" xfId="0" applyFont="1" applyFill="1" applyBorder="1" applyAlignment="1">
      <alignment horizontal="center"/>
    </xf>
    <xf numFmtId="0" fontId="0" fillId="6" borderId="1" xfId="0" applyFill="1" applyBorder="1"/>
    <xf numFmtId="2" fontId="0" fillId="6" borderId="0" xfId="0" applyNumberFormat="1" applyFill="1"/>
    <xf numFmtId="0" fontId="0" fillId="5" borderId="7" xfId="0" applyFill="1" applyBorder="1"/>
    <xf numFmtId="2" fontId="0" fillId="5" borderId="7" xfId="0" applyNumberFormat="1" applyFill="1" applyBorder="1"/>
    <xf numFmtId="2" fontId="0" fillId="5" borderId="8" xfId="0" applyNumberFormat="1" applyFill="1" applyBorder="1"/>
    <xf numFmtId="0" fontId="0" fillId="5" borderId="10" xfId="0" applyFill="1" applyBorder="1"/>
    <xf numFmtId="2" fontId="0" fillId="5" borderId="10" xfId="0" applyNumberFormat="1" applyFill="1" applyBorder="1"/>
    <xf numFmtId="2" fontId="0" fillId="5" borderId="11" xfId="0" applyNumberFormat="1" applyFill="1" applyBorder="1"/>
    <xf numFmtId="0" fontId="0" fillId="5" borderId="13" xfId="0" applyFill="1" applyBorder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7" xfId="0" applyBorder="1"/>
    <xf numFmtId="2" fontId="0" fillId="0" borderId="7" xfId="0" applyNumberFormat="1" applyBorder="1"/>
    <xf numFmtId="0" fontId="0" fillId="10" borderId="7" xfId="0" applyFill="1" applyBorder="1"/>
    <xf numFmtId="0" fontId="0" fillId="9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8CDC"/>
      <color rgb="FF3C87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Bed Occupancy (%) by quarter for Medical Oncology in Scotland</a:t>
            </a:r>
            <a:endParaRPr lang="en-GB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Grampian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[1]Final!$A$2:$A$17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[1]Final!$N$2:$N$17</c:f>
              <c:numCache>
                <c:formatCode>General</c:formatCode>
                <c:ptCount val="16"/>
                <c:pt idx="0">
                  <c:v>85.825892857142804</c:v>
                </c:pt>
                <c:pt idx="1">
                  <c:v>80.060195635816399</c:v>
                </c:pt>
                <c:pt idx="2">
                  <c:v>77.3458445040214</c:v>
                </c:pt>
                <c:pt idx="3">
                  <c:v>79.390797148412105</c:v>
                </c:pt>
                <c:pt idx="4">
                  <c:v>85.146053449347406</c:v>
                </c:pt>
                <c:pt idx="5">
                  <c:v>85.730274202574094</c:v>
                </c:pt>
                <c:pt idx="6">
                  <c:v>86.689419795221795</c:v>
                </c:pt>
                <c:pt idx="7">
                  <c:v>86.026490066225094</c:v>
                </c:pt>
                <c:pt idx="8">
                  <c:v>80.612244897959101</c:v>
                </c:pt>
                <c:pt idx="9">
                  <c:v>39.960629921259802</c:v>
                </c:pt>
                <c:pt idx="10">
                  <c:v>62.831325301204799</c:v>
                </c:pt>
                <c:pt idx="11">
                  <c:v>70.920957215373406</c:v>
                </c:pt>
                <c:pt idx="12">
                  <c:v>46.789503070910101</c:v>
                </c:pt>
                <c:pt idx="13">
                  <c:v>63.522727272727202</c:v>
                </c:pt>
                <c:pt idx="14">
                  <c:v>67.867647058823493</c:v>
                </c:pt>
                <c:pt idx="15">
                  <c:v>88.916876574307295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6-407F-9BA9-845D19691FC6}"/>
            </c:ext>
          </c:extLst>
        </c:ser>
        <c:ser>
          <c:idx val="1"/>
          <c:order val="1"/>
          <c:tx>
            <c:v>Lothian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[1]Final!$N$18:$N$33</c:f>
              <c:numCache>
                <c:formatCode>General</c:formatCode>
                <c:ptCount val="16"/>
                <c:pt idx="0">
                  <c:v>96.525293817066895</c:v>
                </c:pt>
                <c:pt idx="1">
                  <c:v>94.567307692307693</c:v>
                </c:pt>
                <c:pt idx="2">
                  <c:v>94.694244604316495</c:v>
                </c:pt>
                <c:pt idx="3">
                  <c:v>96.402877697841703</c:v>
                </c:pt>
                <c:pt idx="4">
                  <c:v>94.280686317641795</c:v>
                </c:pt>
                <c:pt idx="5">
                  <c:v>90.951374207188096</c:v>
                </c:pt>
                <c:pt idx="6">
                  <c:v>95.575553055867999</c:v>
                </c:pt>
                <c:pt idx="7">
                  <c:v>95.745467998520098</c:v>
                </c:pt>
                <c:pt idx="8">
                  <c:v>92.172849571952696</c:v>
                </c:pt>
                <c:pt idx="9">
                  <c:v>68.564356435643504</c:v>
                </c:pt>
                <c:pt idx="10">
                  <c:v>74.439024390243901</c:v>
                </c:pt>
                <c:pt idx="11">
                  <c:v>79.946112394149296</c:v>
                </c:pt>
                <c:pt idx="12">
                  <c:v>87.324478178368096</c:v>
                </c:pt>
                <c:pt idx="13">
                  <c:v>94.900849858356906</c:v>
                </c:pt>
                <c:pt idx="14">
                  <c:v>95.980825958701999</c:v>
                </c:pt>
                <c:pt idx="15">
                  <c:v>97.628288055196194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6-407F-9BA9-845D19691FC6}"/>
            </c:ext>
          </c:extLst>
        </c:ser>
        <c:ser>
          <c:idx val="2"/>
          <c:order val="2"/>
          <c:tx>
            <c:v>Tayside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yVal>
            <c:numRef>
              <c:f>[1]Final!$N$34:$N$49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6-407F-9BA9-845D19691FC6}"/>
            </c:ext>
          </c:extLst>
        </c:ser>
        <c:ser>
          <c:idx val="3"/>
          <c:order val="3"/>
          <c:tx>
            <c:v>Glasgow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[1]Final!$N$50:$N$65</c:f>
              <c:numCache>
                <c:formatCode>General</c:formatCode>
                <c:ptCount val="16"/>
                <c:pt idx="0">
                  <c:v>76.408139191978705</c:v>
                </c:pt>
                <c:pt idx="1">
                  <c:v>70.962047661076795</c:v>
                </c:pt>
                <c:pt idx="2">
                  <c:v>75.204678362573105</c:v>
                </c:pt>
                <c:pt idx="3">
                  <c:v>67.847956559016794</c:v>
                </c:pt>
                <c:pt idx="4">
                  <c:v>79.987816021931096</c:v>
                </c:pt>
                <c:pt idx="5">
                  <c:v>76.514032496307195</c:v>
                </c:pt>
                <c:pt idx="6">
                  <c:v>73.992118823886003</c:v>
                </c:pt>
                <c:pt idx="7">
                  <c:v>75.5865921787709</c:v>
                </c:pt>
                <c:pt idx="8">
                  <c:v>80.316344463971802</c:v>
                </c:pt>
                <c:pt idx="9">
                  <c:v>43.040293040293001</c:v>
                </c:pt>
                <c:pt idx="10">
                  <c:v>66.774541531823004</c:v>
                </c:pt>
                <c:pt idx="11">
                  <c:v>65.681601525262096</c:v>
                </c:pt>
                <c:pt idx="12">
                  <c:v>72.124183006535901</c:v>
                </c:pt>
                <c:pt idx="13">
                  <c:v>74.393700787401499</c:v>
                </c:pt>
                <c:pt idx="14">
                  <c:v>76.420986883197997</c:v>
                </c:pt>
                <c:pt idx="15">
                  <c:v>76.021886063726996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6-407F-9BA9-845D19691FC6}"/>
            </c:ext>
          </c:extLst>
        </c:ser>
        <c:ser>
          <c:idx val="4"/>
          <c:order val="4"/>
          <c:tx>
            <c:v>Scotland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yVal>
            <c:numRef>
              <c:f>[1]Final!$N$66:$N$81</c:f>
              <c:numCache>
                <c:formatCode>General</c:formatCode>
                <c:ptCount val="16"/>
                <c:pt idx="0">
                  <c:v>83.783058128607806</c:v>
                </c:pt>
                <c:pt idx="1">
                  <c:v>79.365756541524405</c:v>
                </c:pt>
                <c:pt idx="2">
                  <c:v>80.267062314539999</c:v>
                </c:pt>
                <c:pt idx="3">
                  <c:v>79.9925018745313</c:v>
                </c:pt>
                <c:pt idx="4">
                  <c:v>85.368463287414698</c:v>
                </c:pt>
                <c:pt idx="5">
                  <c:v>82.909044390431106</c:v>
                </c:pt>
                <c:pt idx="6">
                  <c:v>84.328947368420998</c:v>
                </c:pt>
                <c:pt idx="7">
                  <c:v>84.540580974940696</c:v>
                </c:pt>
                <c:pt idx="8">
                  <c:v>83.988102614946101</c:v>
                </c:pt>
                <c:pt idx="9">
                  <c:v>51.702898550724598</c:v>
                </c:pt>
                <c:pt idx="10">
                  <c:v>68.687782805429805</c:v>
                </c:pt>
                <c:pt idx="11">
                  <c:v>72.616605115579205</c:v>
                </c:pt>
                <c:pt idx="12">
                  <c:v>72.207792207792195</c:v>
                </c:pt>
                <c:pt idx="13">
                  <c:v>79.136975455265201</c:v>
                </c:pt>
                <c:pt idx="14">
                  <c:v>82.806924805074601</c:v>
                </c:pt>
                <c:pt idx="15">
                  <c:v>86.231348795981603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66-407F-9BA9-845D1969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05552"/>
        <c:axId val="83916368"/>
      </c:scatterChart>
      <c:valAx>
        <c:axId val="839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Period from Q1 2018 to Q4 2021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6368"/>
        <c:crosses val="autoZero"/>
        <c:crossBetween val="midCat"/>
      </c:valAx>
      <c:valAx>
        <c:axId val="839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GB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'Grampian '!$N$1</c:f>
              <c:strCache>
                <c:ptCount val="1"/>
                <c:pt idx="0">
                  <c:v>PercentageOccupancy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'Grampian '!$A$2:$A$17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'Grampian '!$N$2:$N$17</c:f>
              <c:numCache>
                <c:formatCode>General</c:formatCode>
                <c:ptCount val="16"/>
                <c:pt idx="0">
                  <c:v>85.825892857142804</c:v>
                </c:pt>
                <c:pt idx="1">
                  <c:v>80.060195635816399</c:v>
                </c:pt>
                <c:pt idx="2">
                  <c:v>77.3458445040214</c:v>
                </c:pt>
                <c:pt idx="3">
                  <c:v>79.390797148412105</c:v>
                </c:pt>
                <c:pt idx="4">
                  <c:v>85.146053449347406</c:v>
                </c:pt>
                <c:pt idx="5">
                  <c:v>85.730274202574094</c:v>
                </c:pt>
                <c:pt idx="6">
                  <c:v>86.689419795221795</c:v>
                </c:pt>
                <c:pt idx="7">
                  <c:v>86.026490066225094</c:v>
                </c:pt>
                <c:pt idx="8">
                  <c:v>80.612244897959101</c:v>
                </c:pt>
                <c:pt idx="9">
                  <c:v>39.960629921259802</c:v>
                </c:pt>
                <c:pt idx="10">
                  <c:v>62.831325301204799</c:v>
                </c:pt>
                <c:pt idx="11">
                  <c:v>70.920957215373406</c:v>
                </c:pt>
                <c:pt idx="12">
                  <c:v>46.789503070910101</c:v>
                </c:pt>
                <c:pt idx="13">
                  <c:v>63.522727272727202</c:v>
                </c:pt>
                <c:pt idx="14">
                  <c:v>67.867647058823493</c:v>
                </c:pt>
                <c:pt idx="15">
                  <c:v>88.916876574307295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E-4C94-A6BB-E26295908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63647"/>
        <c:axId val="1634443263"/>
      </c:scatterChart>
      <c:valAx>
        <c:axId val="163446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443263"/>
        <c:crosses val="autoZero"/>
        <c:crossBetween val="midCat"/>
      </c:valAx>
      <c:valAx>
        <c:axId val="163444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46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GB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Lothian!$N$1</c:f>
              <c:strCache>
                <c:ptCount val="1"/>
                <c:pt idx="0">
                  <c:v>PercentageOccupancy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Lothian!$A$2:$A$17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Lothian!$N$2:$N$17</c:f>
              <c:numCache>
                <c:formatCode>General</c:formatCode>
                <c:ptCount val="16"/>
                <c:pt idx="0">
                  <c:v>96.525293817066895</c:v>
                </c:pt>
                <c:pt idx="1">
                  <c:v>94.567307692307693</c:v>
                </c:pt>
                <c:pt idx="2">
                  <c:v>94.694244604316495</c:v>
                </c:pt>
                <c:pt idx="3">
                  <c:v>96.402877697841703</c:v>
                </c:pt>
                <c:pt idx="4">
                  <c:v>94.280686317641795</c:v>
                </c:pt>
                <c:pt idx="5">
                  <c:v>90.951374207188096</c:v>
                </c:pt>
                <c:pt idx="6">
                  <c:v>95.575553055867999</c:v>
                </c:pt>
                <c:pt idx="7">
                  <c:v>95.745467998520098</c:v>
                </c:pt>
                <c:pt idx="8">
                  <c:v>92.172849571952696</c:v>
                </c:pt>
                <c:pt idx="9">
                  <c:v>68.564356435643504</c:v>
                </c:pt>
                <c:pt idx="10">
                  <c:v>74.439024390243901</c:v>
                </c:pt>
                <c:pt idx="11">
                  <c:v>79.946112394149296</c:v>
                </c:pt>
                <c:pt idx="12">
                  <c:v>87.324478178368096</c:v>
                </c:pt>
                <c:pt idx="13">
                  <c:v>94.900849858356906</c:v>
                </c:pt>
                <c:pt idx="14">
                  <c:v>95.980825958701999</c:v>
                </c:pt>
                <c:pt idx="15">
                  <c:v>97.628288055196194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0-4DB1-B6AB-23F355EB7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22559"/>
        <c:axId val="1645019231"/>
      </c:scatterChart>
      <c:valAx>
        <c:axId val="164502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19231"/>
        <c:crosses val="autoZero"/>
        <c:crossBetween val="midCat"/>
      </c:valAx>
      <c:valAx>
        <c:axId val="164501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2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GB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Tayside!$N$1</c:f>
              <c:strCache>
                <c:ptCount val="1"/>
                <c:pt idx="0">
                  <c:v>PercentageOccupancy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Tayside!$A$2:$A$17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Tayside!$N$2:$N$17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F-4004-BEFD-81856AD38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263439"/>
        <c:axId val="1638263855"/>
      </c:scatterChart>
      <c:valAx>
        <c:axId val="163826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63855"/>
        <c:crosses val="autoZero"/>
        <c:crossBetween val="midCat"/>
      </c:valAx>
      <c:valAx>
        <c:axId val="16382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6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GB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'Lothian FE'!$A$4:$A$19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'Lothian FE'!$N$4:$N$19</c:f>
              <c:numCache>
                <c:formatCode>0.00</c:formatCode>
                <c:ptCount val="16"/>
                <c:pt idx="0">
                  <c:v>96.525293817066895</c:v>
                </c:pt>
                <c:pt idx="1">
                  <c:v>94.567307692307693</c:v>
                </c:pt>
                <c:pt idx="2">
                  <c:v>94.694244604316495</c:v>
                </c:pt>
                <c:pt idx="3">
                  <c:v>96.402877697841703</c:v>
                </c:pt>
                <c:pt idx="4">
                  <c:v>94.280686317641795</c:v>
                </c:pt>
                <c:pt idx="5">
                  <c:v>90.951374207188096</c:v>
                </c:pt>
                <c:pt idx="6">
                  <c:v>95.575553055867999</c:v>
                </c:pt>
                <c:pt idx="7">
                  <c:v>95.745467998520098</c:v>
                </c:pt>
                <c:pt idx="8">
                  <c:v>92.172849571952696</c:v>
                </c:pt>
                <c:pt idx="9">
                  <c:v>68.564356435643504</c:v>
                </c:pt>
                <c:pt idx="10">
                  <c:v>74.439024390243901</c:v>
                </c:pt>
                <c:pt idx="11">
                  <c:v>79.946112394149296</c:v>
                </c:pt>
                <c:pt idx="12">
                  <c:v>87.324478178368096</c:v>
                </c:pt>
                <c:pt idx="13">
                  <c:v>94.900849858356906</c:v>
                </c:pt>
                <c:pt idx="14">
                  <c:v>95.980825958701999</c:v>
                </c:pt>
                <c:pt idx="15">
                  <c:v>97.628288055196194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1-4BE8-91CE-FF0BB57DEF1F}"/>
            </c:ext>
          </c:extLst>
        </c:ser>
        <c:ser>
          <c:idx val="1"/>
          <c:order val="1"/>
          <c:tx>
            <c:v>Linear 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'Lothian FE'!$O$4:$O$19</c:f>
              <c:numCache>
                <c:formatCode>0.00</c:formatCode>
                <c:ptCount val="16"/>
                <c:pt idx="0">
                  <c:v>94.047646393432586</c:v>
                </c:pt>
                <c:pt idx="1">
                  <c:v>93.588790126252945</c:v>
                </c:pt>
                <c:pt idx="2">
                  <c:v>93.12993385907329</c:v>
                </c:pt>
                <c:pt idx="3">
                  <c:v>92.671077591893649</c:v>
                </c:pt>
                <c:pt idx="4">
                  <c:v>92.212221324713994</c:v>
                </c:pt>
                <c:pt idx="5">
                  <c:v>91.753365057534339</c:v>
                </c:pt>
                <c:pt idx="6">
                  <c:v>91.294508790354698</c:v>
                </c:pt>
                <c:pt idx="7">
                  <c:v>90.835652523175042</c:v>
                </c:pt>
                <c:pt idx="8">
                  <c:v>90.376796255995387</c:v>
                </c:pt>
                <c:pt idx="9">
                  <c:v>89.917939988815746</c:v>
                </c:pt>
                <c:pt idx="10">
                  <c:v>89.459083721636091</c:v>
                </c:pt>
                <c:pt idx="11">
                  <c:v>89.00022745445645</c:v>
                </c:pt>
                <c:pt idx="12">
                  <c:v>88.541371187276795</c:v>
                </c:pt>
                <c:pt idx="13">
                  <c:v>88.08251492009714</c:v>
                </c:pt>
                <c:pt idx="14">
                  <c:v>87.623658652917499</c:v>
                </c:pt>
                <c:pt idx="15">
                  <c:v>87.164802385737843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1-4BE8-91CE-FF0BB57DEF1F}"/>
            </c:ext>
          </c:extLst>
        </c:ser>
        <c:ser>
          <c:idx val="2"/>
          <c:order val="2"/>
          <c:tx>
            <c:v>Seasonality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yVal>
            <c:numRef>
              <c:f>'Lothian FE'!$S$31:$S$46</c:f>
              <c:numCache>
                <c:formatCode>0.00</c:formatCode>
                <c:ptCount val="16"/>
                <c:pt idx="0">
                  <c:v>95.594448873880779</c:v>
                </c:pt>
                <c:pt idx="1">
                  <c:v>90.264593950997465</c:v>
                </c:pt>
                <c:pt idx="2">
                  <c:v>93.191033904906007</c:v>
                </c:pt>
                <c:pt idx="3">
                  <c:v>95.449308439050242</c:v>
                </c:pt>
                <c:pt idx="4">
                  <c:v>93.58203427213185</c:v>
                </c:pt>
                <c:pt idx="5">
                  <c:v>88.252179349248536</c:v>
                </c:pt>
                <c:pt idx="6">
                  <c:v>91.178619303157078</c:v>
                </c:pt>
                <c:pt idx="7">
                  <c:v>93.436893837301298</c:v>
                </c:pt>
                <c:pt idx="8">
                  <c:v>91.56961967038292</c:v>
                </c:pt>
                <c:pt idx="9">
                  <c:v>86.239764747499592</c:v>
                </c:pt>
                <c:pt idx="10">
                  <c:v>89.166204701408148</c:v>
                </c:pt>
                <c:pt idx="11">
                  <c:v>91.424479235552369</c:v>
                </c:pt>
                <c:pt idx="12">
                  <c:v>89.557205068633976</c:v>
                </c:pt>
                <c:pt idx="13">
                  <c:v>84.227350145750663</c:v>
                </c:pt>
                <c:pt idx="14">
                  <c:v>87.153790099659204</c:v>
                </c:pt>
                <c:pt idx="15">
                  <c:v>89.412064633803439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1-4BE8-91CE-FF0BB57DEF1F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839-43FC-A542-FB24831D6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22559"/>
        <c:axId val="1645019231"/>
      </c:scatterChart>
      <c:valAx>
        <c:axId val="164502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</a:t>
                </a:r>
                <a:endParaRPr lang="en-GB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19231"/>
        <c:crosses val="autoZero"/>
        <c:crossBetween val="midCat"/>
      </c:valAx>
      <c:valAx>
        <c:axId val="164501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2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Percentage occupancy of beds in Medical Oncology</a:t>
            </a:r>
            <a:endParaRPr lang="en-US" sz="140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'Grampian FE'!$N$3</c:f>
              <c:strCache>
                <c:ptCount val="1"/>
                <c:pt idx="0">
                  <c:v>PercentageOccupancy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'Grampian FE'!$A$4:$A$19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'Grampian FE'!$N$4:$N$19</c:f>
              <c:numCache>
                <c:formatCode>0.00</c:formatCode>
                <c:ptCount val="16"/>
                <c:pt idx="0">
                  <c:v>85.825892857142804</c:v>
                </c:pt>
                <c:pt idx="1">
                  <c:v>80.060195635816399</c:v>
                </c:pt>
                <c:pt idx="2">
                  <c:v>77.3458445040214</c:v>
                </c:pt>
                <c:pt idx="3">
                  <c:v>79.390797148412105</c:v>
                </c:pt>
                <c:pt idx="4">
                  <c:v>85.146053449347406</c:v>
                </c:pt>
                <c:pt idx="5">
                  <c:v>85.730274202574094</c:v>
                </c:pt>
                <c:pt idx="6">
                  <c:v>86.689419795221795</c:v>
                </c:pt>
                <c:pt idx="7">
                  <c:v>86.026490066225094</c:v>
                </c:pt>
                <c:pt idx="8">
                  <c:v>80.612244897959101</c:v>
                </c:pt>
                <c:pt idx="9">
                  <c:v>39.960629921259802</c:v>
                </c:pt>
                <c:pt idx="10">
                  <c:v>62.831325301204799</c:v>
                </c:pt>
                <c:pt idx="11">
                  <c:v>70.920957215373406</c:v>
                </c:pt>
                <c:pt idx="12">
                  <c:v>46.789503070910101</c:v>
                </c:pt>
                <c:pt idx="13">
                  <c:v>63.522727272727202</c:v>
                </c:pt>
                <c:pt idx="14">
                  <c:v>67.867647058823493</c:v>
                </c:pt>
                <c:pt idx="15">
                  <c:v>88.916876574307295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0-4C39-93CF-349B4155465D}"/>
            </c:ext>
          </c:extLst>
        </c:ser>
        <c:ser>
          <c:idx val="1"/>
          <c:order val="1"/>
          <c:tx>
            <c:v>Linear Trend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'Grampian FE'!$O$4:$O$19</c:f>
              <c:numCache>
                <c:formatCode>0.00</c:formatCode>
                <c:ptCount val="16"/>
                <c:pt idx="0">
                  <c:v>84.344312416443302</c:v>
                </c:pt>
                <c:pt idx="1">
                  <c:v>82.995378085678581</c:v>
                </c:pt>
                <c:pt idx="2">
                  <c:v>81.646443754913861</c:v>
                </c:pt>
                <c:pt idx="3">
                  <c:v>80.297509424149126</c:v>
                </c:pt>
                <c:pt idx="4">
                  <c:v>78.948575093384406</c:v>
                </c:pt>
                <c:pt idx="5">
                  <c:v>77.599640762619686</c:v>
                </c:pt>
                <c:pt idx="6">
                  <c:v>76.250706431854965</c:v>
                </c:pt>
                <c:pt idx="7">
                  <c:v>74.901772101090245</c:v>
                </c:pt>
                <c:pt idx="8">
                  <c:v>73.552837770325525</c:v>
                </c:pt>
                <c:pt idx="9">
                  <c:v>72.203903439560804</c:v>
                </c:pt>
                <c:pt idx="10">
                  <c:v>70.85496910879607</c:v>
                </c:pt>
                <c:pt idx="11">
                  <c:v>69.506034778031349</c:v>
                </c:pt>
                <c:pt idx="12">
                  <c:v>68.157100447266629</c:v>
                </c:pt>
                <c:pt idx="13">
                  <c:v>66.808166116501909</c:v>
                </c:pt>
                <c:pt idx="14">
                  <c:v>65.459231785737188</c:v>
                </c:pt>
                <c:pt idx="15">
                  <c:v>64.110297454972468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70-4C39-93CF-349B4155465D}"/>
            </c:ext>
          </c:extLst>
        </c:ser>
        <c:ser>
          <c:idx val="2"/>
          <c:order val="2"/>
          <c:tx>
            <c:v>Seasonality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yVal>
            <c:numRef>
              <c:f>'Grampian FE'!$S$31:$S$46</c:f>
              <c:numCache>
                <c:formatCode>0.00</c:formatCode>
                <c:ptCount val="16"/>
                <c:pt idx="0">
                  <c:v>84.187611394469045</c:v>
                </c:pt>
                <c:pt idx="1">
                  <c:v>76.912644583723562</c:v>
                </c:pt>
                <c:pt idx="2">
                  <c:v>83.277746990447071</c:v>
                </c:pt>
                <c:pt idx="3">
                  <c:v>90.90796807670867</c:v>
                </c:pt>
                <c:pt idx="4">
                  <c:v>77.791486177382922</c:v>
                </c:pt>
                <c:pt idx="5">
                  <c:v>70.516519366637439</c:v>
                </c:pt>
                <c:pt idx="6">
                  <c:v>76.881621773360934</c:v>
                </c:pt>
                <c:pt idx="7">
                  <c:v>84.511842859622533</c:v>
                </c:pt>
                <c:pt idx="8">
                  <c:v>71.395360960296784</c:v>
                </c:pt>
                <c:pt idx="9">
                  <c:v>64.120394149551302</c:v>
                </c:pt>
                <c:pt idx="10">
                  <c:v>70.485496556274811</c:v>
                </c:pt>
                <c:pt idx="11">
                  <c:v>78.11571764253641</c:v>
                </c:pt>
                <c:pt idx="12">
                  <c:v>64.999235743210662</c:v>
                </c:pt>
                <c:pt idx="13">
                  <c:v>57.724268932465179</c:v>
                </c:pt>
                <c:pt idx="14">
                  <c:v>64.089371339188673</c:v>
                </c:pt>
                <c:pt idx="15">
                  <c:v>71.719592425450287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0-4C39-93CF-349B4155465D}"/>
            </c:ext>
          </c:extLst>
        </c:ser>
        <c:ser>
          <c:idx val="3"/>
          <c:order val="3"/>
          <c:tx>
            <c:v>Exponential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'Grampian FE'!$O$63:$O$77</c:f>
              <c:numCache>
                <c:formatCode>0.00</c:formatCode>
                <c:ptCount val="15"/>
                <c:pt idx="0">
                  <c:v>85.825892857142804</c:v>
                </c:pt>
                <c:pt idx="1">
                  <c:v>82.943044246479602</c:v>
                </c:pt>
                <c:pt idx="2">
                  <c:v>80.144444375250501</c:v>
                </c:pt>
                <c:pt idx="3">
                  <c:v>79.767620761831296</c:v>
                </c:pt>
                <c:pt idx="4">
                  <c:v>82.456837105589358</c:v>
                </c:pt>
                <c:pt idx="5">
                  <c:v>84.093555654081726</c:v>
                </c:pt>
                <c:pt idx="6">
                  <c:v>85.391487724651768</c:v>
                </c:pt>
                <c:pt idx="7">
                  <c:v>85.708988895438438</c:v>
                </c:pt>
                <c:pt idx="8">
                  <c:v>83.16061689669877</c:v>
                </c:pt>
                <c:pt idx="9">
                  <c:v>61.560623408979282</c:v>
                </c:pt>
                <c:pt idx="10">
                  <c:v>62.195974355092041</c:v>
                </c:pt>
                <c:pt idx="11">
                  <c:v>66.558465785232727</c:v>
                </c:pt>
                <c:pt idx="12">
                  <c:v>56.673984428071414</c:v>
                </c:pt>
                <c:pt idx="13">
                  <c:v>60.098355850399308</c:v>
                </c:pt>
                <c:pt idx="14">
                  <c:v>63.983001454611397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0-4C39-93CF-349B4155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607872"/>
        <c:axId val="672608592"/>
      </c:scatterChart>
      <c:valAx>
        <c:axId val="67260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Quarter from Q1 2018 to Q4 2021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08592"/>
        <c:crosses val="autoZero"/>
        <c:crossBetween val="midCat"/>
      </c:valAx>
      <c:valAx>
        <c:axId val="67260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Bed Occupancy (%)</a:t>
                </a:r>
                <a:endParaRPr lang="en-US" sz="100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0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8</xdr:row>
      <xdr:rowOff>0</xdr:rowOff>
    </xdr:from>
    <xdr:to>
      <xdr:col>29</xdr:col>
      <xdr:colOff>257176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4FC1BC-8F3A-48EF-A889-3ECADC3E2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20</xdr:row>
      <xdr:rowOff>23812</xdr:rowOff>
    </xdr:from>
    <xdr:to>
      <xdr:col>15</xdr:col>
      <xdr:colOff>485775</xdr:colOff>
      <xdr:row>34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C0056-0FAD-4D0C-982B-D93847370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20</xdr:row>
      <xdr:rowOff>4762</xdr:rowOff>
    </xdr:from>
    <xdr:to>
      <xdr:col>16</xdr:col>
      <xdr:colOff>180975</xdr:colOff>
      <xdr:row>34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5D57C-B7AC-4D46-A315-02F68513D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18</xdr:row>
      <xdr:rowOff>185737</xdr:rowOff>
    </xdr:from>
    <xdr:to>
      <xdr:col>17</xdr:col>
      <xdr:colOff>304800</xdr:colOff>
      <xdr:row>33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D14F9-6382-4F32-AB13-8BB9CD701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593725</xdr:colOff>
      <xdr:row>4</xdr:row>
      <xdr:rowOff>0</xdr:rowOff>
    </xdr:from>
    <xdr:to>
      <xdr:col>31</xdr:col>
      <xdr:colOff>352425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34698-A1A5-425C-9A24-287C7AEF4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603250</xdr:colOff>
      <xdr:row>6</xdr:row>
      <xdr:rowOff>3175</xdr:rowOff>
    </xdr:from>
    <xdr:to>
      <xdr:col>30</xdr:col>
      <xdr:colOff>200025</xdr:colOff>
      <xdr:row>20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39A7DC-5666-56E3-105E-5AFF4026D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ilter"/>
      <sheetName val="Deleting"/>
      <sheetName val="Deleting Columns"/>
      <sheetName val="Filter d"/>
      <sheetName val="Remove except d"/>
      <sheetName val="Sorting"/>
      <sheetName val="Spliting"/>
      <sheetName val="Excluding"/>
      <sheetName val="HBTable"/>
      <sheetName val="HBName"/>
      <sheetName val="SCOTLAND"/>
      <sheetName val="Remove HB"/>
      <sheetName val="Hide"/>
      <sheetName val="Period"/>
      <sheetName val="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>
            <v>1</v>
          </cell>
          <cell r="N2">
            <v>85.825892857142804</v>
          </cell>
        </row>
        <row r="3">
          <cell r="A3">
            <v>2</v>
          </cell>
          <cell r="N3">
            <v>80.060195635816399</v>
          </cell>
        </row>
        <row r="4">
          <cell r="A4">
            <v>3</v>
          </cell>
          <cell r="N4">
            <v>77.3458445040214</v>
          </cell>
        </row>
        <row r="5">
          <cell r="A5">
            <v>4</v>
          </cell>
          <cell r="N5">
            <v>79.390797148412105</v>
          </cell>
        </row>
        <row r="6">
          <cell r="A6">
            <v>5</v>
          </cell>
          <cell r="N6">
            <v>85.146053449347406</v>
          </cell>
        </row>
        <row r="7">
          <cell r="A7">
            <v>6</v>
          </cell>
          <cell r="N7">
            <v>85.730274202574094</v>
          </cell>
        </row>
        <row r="8">
          <cell r="A8">
            <v>7</v>
          </cell>
          <cell r="N8">
            <v>86.689419795221795</v>
          </cell>
        </row>
        <row r="9">
          <cell r="A9">
            <v>8</v>
          </cell>
          <cell r="N9">
            <v>86.026490066225094</v>
          </cell>
        </row>
        <row r="10">
          <cell r="A10">
            <v>9</v>
          </cell>
          <cell r="N10">
            <v>80.612244897959101</v>
          </cell>
        </row>
        <row r="11">
          <cell r="A11">
            <v>10</v>
          </cell>
          <cell r="N11">
            <v>39.960629921259802</v>
          </cell>
        </row>
        <row r="12">
          <cell r="A12">
            <v>11</v>
          </cell>
          <cell r="N12">
            <v>62.831325301204799</v>
          </cell>
        </row>
        <row r="13">
          <cell r="A13">
            <v>12</v>
          </cell>
          <cell r="N13">
            <v>70.920957215373406</v>
          </cell>
        </row>
        <row r="14">
          <cell r="A14">
            <v>13</v>
          </cell>
          <cell r="N14">
            <v>46.789503070910101</v>
          </cell>
        </row>
        <row r="15">
          <cell r="A15">
            <v>14</v>
          </cell>
          <cell r="N15">
            <v>63.522727272727202</v>
          </cell>
        </row>
        <row r="16">
          <cell r="A16">
            <v>15</v>
          </cell>
          <cell r="N16">
            <v>67.867647058823493</v>
          </cell>
        </row>
        <row r="17">
          <cell r="A17">
            <v>16</v>
          </cell>
          <cell r="N17">
            <v>88.916876574307295</v>
          </cell>
        </row>
        <row r="18">
          <cell r="N18">
            <v>96.525293817066895</v>
          </cell>
        </row>
        <row r="19">
          <cell r="N19">
            <v>94.567307692307693</v>
          </cell>
        </row>
        <row r="20">
          <cell r="N20">
            <v>94.694244604316495</v>
          </cell>
        </row>
        <row r="21">
          <cell r="N21">
            <v>96.402877697841703</v>
          </cell>
        </row>
        <row r="22">
          <cell r="N22">
            <v>94.280686317641795</v>
          </cell>
        </row>
        <row r="23">
          <cell r="N23">
            <v>90.951374207188096</v>
          </cell>
        </row>
        <row r="24">
          <cell r="N24">
            <v>95.575553055867999</v>
          </cell>
        </row>
        <row r="25">
          <cell r="N25">
            <v>95.745467998520098</v>
          </cell>
        </row>
        <row r="26">
          <cell r="N26">
            <v>92.172849571952696</v>
          </cell>
        </row>
        <row r="27">
          <cell r="N27">
            <v>68.564356435643504</v>
          </cell>
        </row>
        <row r="28">
          <cell r="N28">
            <v>74.439024390243901</v>
          </cell>
        </row>
        <row r="29">
          <cell r="N29">
            <v>79.946112394149296</v>
          </cell>
        </row>
        <row r="30">
          <cell r="N30">
            <v>87.324478178368096</v>
          </cell>
        </row>
        <row r="31">
          <cell r="N31">
            <v>94.900849858356906</v>
          </cell>
        </row>
        <row r="32">
          <cell r="N32">
            <v>95.980825958701999</v>
          </cell>
        </row>
        <row r="33">
          <cell r="N33">
            <v>97.628288055196194</v>
          </cell>
        </row>
        <row r="34">
          <cell r="N34">
            <v>100</v>
          </cell>
        </row>
        <row r="35">
          <cell r="N35">
            <v>100</v>
          </cell>
        </row>
        <row r="36">
          <cell r="N36">
            <v>100</v>
          </cell>
        </row>
        <row r="37">
          <cell r="N37">
            <v>100</v>
          </cell>
        </row>
        <row r="38">
          <cell r="N38">
            <v>100</v>
          </cell>
        </row>
        <row r="39">
          <cell r="N39">
            <v>100</v>
          </cell>
        </row>
        <row r="40">
          <cell r="N40">
            <v>100</v>
          </cell>
        </row>
        <row r="41">
          <cell r="N41">
            <v>100</v>
          </cell>
        </row>
        <row r="42">
          <cell r="N42">
            <v>100</v>
          </cell>
        </row>
        <row r="43">
          <cell r="N43">
            <v>100</v>
          </cell>
        </row>
        <row r="44">
          <cell r="N44">
            <v>100</v>
          </cell>
        </row>
        <row r="45">
          <cell r="N45">
            <v>100</v>
          </cell>
        </row>
        <row r="46">
          <cell r="N46">
            <v>100</v>
          </cell>
        </row>
        <row r="47">
          <cell r="N47">
            <v>100</v>
          </cell>
        </row>
        <row r="48">
          <cell r="N48">
            <v>100</v>
          </cell>
        </row>
        <row r="49">
          <cell r="N49">
            <v>100</v>
          </cell>
        </row>
        <row r="50">
          <cell r="N50">
            <v>76.408139191978705</v>
          </cell>
        </row>
        <row r="51">
          <cell r="N51">
            <v>70.962047661076795</v>
          </cell>
        </row>
        <row r="52">
          <cell r="N52">
            <v>75.204678362573105</v>
          </cell>
        </row>
        <row r="53">
          <cell r="N53">
            <v>67.847956559016794</v>
          </cell>
        </row>
        <row r="54">
          <cell r="N54">
            <v>79.987816021931096</v>
          </cell>
        </row>
        <row r="55">
          <cell r="N55">
            <v>76.514032496307195</v>
          </cell>
        </row>
        <row r="56">
          <cell r="N56">
            <v>73.992118823886003</v>
          </cell>
        </row>
        <row r="57">
          <cell r="N57">
            <v>75.5865921787709</v>
          </cell>
        </row>
        <row r="58">
          <cell r="N58">
            <v>80.316344463971802</v>
          </cell>
        </row>
        <row r="59">
          <cell r="N59">
            <v>43.040293040293001</v>
          </cell>
        </row>
        <row r="60">
          <cell r="N60">
            <v>66.774541531823004</v>
          </cell>
        </row>
        <row r="61">
          <cell r="N61">
            <v>65.681601525262096</v>
          </cell>
        </row>
        <row r="62">
          <cell r="N62">
            <v>72.124183006535901</v>
          </cell>
        </row>
        <row r="63">
          <cell r="N63">
            <v>74.393700787401499</v>
          </cell>
        </row>
        <row r="64">
          <cell r="N64">
            <v>76.420986883197997</v>
          </cell>
        </row>
        <row r="65">
          <cell r="N65">
            <v>76.021886063726996</v>
          </cell>
        </row>
        <row r="66">
          <cell r="N66">
            <v>83.783058128607806</v>
          </cell>
        </row>
        <row r="67">
          <cell r="N67">
            <v>79.365756541524405</v>
          </cell>
        </row>
        <row r="68">
          <cell r="N68">
            <v>80.267062314539999</v>
          </cell>
        </row>
        <row r="69">
          <cell r="N69">
            <v>79.9925018745313</v>
          </cell>
        </row>
        <row r="70">
          <cell r="N70">
            <v>85.368463287414698</v>
          </cell>
        </row>
        <row r="71">
          <cell r="N71">
            <v>82.909044390431106</v>
          </cell>
        </row>
        <row r="72">
          <cell r="N72">
            <v>84.328947368420998</v>
          </cell>
        </row>
        <row r="73">
          <cell r="N73">
            <v>84.540580974940696</v>
          </cell>
        </row>
        <row r="74">
          <cell r="N74">
            <v>83.988102614946101</v>
          </cell>
        </row>
        <row r="75">
          <cell r="N75">
            <v>51.702898550724598</v>
          </cell>
        </row>
        <row r="76">
          <cell r="N76">
            <v>68.687782805429805</v>
          </cell>
        </row>
        <row r="77">
          <cell r="N77">
            <v>72.616605115579205</v>
          </cell>
        </row>
        <row r="78">
          <cell r="N78">
            <v>72.207792207792195</v>
          </cell>
        </row>
        <row r="79">
          <cell r="N79">
            <v>79.136975455265201</v>
          </cell>
        </row>
        <row r="80">
          <cell r="N80">
            <v>82.806924805074601</v>
          </cell>
        </row>
        <row r="81">
          <cell r="N81">
            <v>86.231348795981603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1EF6-6FE4-41C0-A60A-05407DF873DE}">
  <dimension ref="A1:N81"/>
  <sheetViews>
    <sheetView zoomScale="58" zoomScaleNormal="100" workbookViewId="0">
      <selection activeCell="T4" sqref="T4"/>
    </sheetView>
  </sheetViews>
  <sheetFormatPr defaultRowHeight="14.5" x14ac:dyDescent="0.35"/>
  <cols>
    <col min="5" max="5" width="8.7265625" customWidth="1"/>
    <col min="6" max="13" width="0" hidden="1" customWidth="1"/>
    <col min="14" max="14" width="18.81640625" customWidth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>
        <v>1</v>
      </c>
      <c r="B2" s="16">
        <v>2018</v>
      </c>
      <c r="C2" s="16">
        <v>1</v>
      </c>
      <c r="D2" s="16" t="s">
        <v>14</v>
      </c>
      <c r="E2" s="16" t="s">
        <v>15</v>
      </c>
      <c r="F2" s="16" t="s">
        <v>14</v>
      </c>
      <c r="G2" s="16" t="s">
        <v>16</v>
      </c>
      <c r="H2" s="16" t="s">
        <v>17</v>
      </c>
      <c r="I2" s="16" t="s">
        <v>18</v>
      </c>
      <c r="J2" s="16">
        <v>1792</v>
      </c>
      <c r="K2" s="16">
        <v>1538</v>
      </c>
      <c r="L2" s="16">
        <v>19.911111111111101</v>
      </c>
      <c r="M2" s="16">
        <v>17.0888888888888</v>
      </c>
      <c r="N2" s="16">
        <v>85.825892857142804</v>
      </c>
    </row>
    <row r="3" spans="1:14" x14ac:dyDescent="0.35">
      <c r="A3" s="2">
        <v>2</v>
      </c>
      <c r="B3" s="16">
        <v>2018</v>
      </c>
      <c r="C3" s="16">
        <v>2</v>
      </c>
      <c r="D3" s="16" t="s">
        <v>14</v>
      </c>
      <c r="E3" s="16" t="s">
        <v>15</v>
      </c>
      <c r="F3" s="16" t="s">
        <v>14</v>
      </c>
      <c r="G3" s="16" t="s">
        <v>16</v>
      </c>
      <c r="H3" s="16" t="s">
        <v>17</v>
      </c>
      <c r="I3" s="16" t="s">
        <v>18</v>
      </c>
      <c r="J3" s="16">
        <v>1329</v>
      </c>
      <c r="K3" s="16">
        <v>1064</v>
      </c>
      <c r="L3" s="16">
        <v>14.6043956043956</v>
      </c>
      <c r="M3" s="16">
        <v>11.692307692307599</v>
      </c>
      <c r="N3" s="16">
        <v>80.060195635816399</v>
      </c>
    </row>
    <row r="4" spans="1:14" x14ac:dyDescent="0.35">
      <c r="A4" s="2">
        <v>3</v>
      </c>
      <c r="B4" s="16">
        <v>2018</v>
      </c>
      <c r="C4" s="16">
        <v>3</v>
      </c>
      <c r="D4" s="16" t="s">
        <v>14</v>
      </c>
      <c r="E4" s="16" t="s">
        <v>15</v>
      </c>
      <c r="F4" s="16" t="s">
        <v>14</v>
      </c>
      <c r="G4" s="16" t="s">
        <v>16</v>
      </c>
      <c r="H4" s="16" t="s">
        <v>17</v>
      </c>
      <c r="I4" s="16" t="s">
        <v>18</v>
      </c>
      <c r="J4" s="16">
        <v>1492</v>
      </c>
      <c r="K4" s="16">
        <v>1154</v>
      </c>
      <c r="L4" s="16">
        <v>16.2173913043478</v>
      </c>
      <c r="M4" s="16">
        <v>12.543478260869501</v>
      </c>
      <c r="N4" s="16">
        <v>77.3458445040214</v>
      </c>
    </row>
    <row r="5" spans="1:14" x14ac:dyDescent="0.35">
      <c r="A5" s="2">
        <v>4</v>
      </c>
      <c r="B5" s="16">
        <v>2018</v>
      </c>
      <c r="C5" s="16">
        <v>4</v>
      </c>
      <c r="D5" s="16" t="s">
        <v>14</v>
      </c>
      <c r="E5" s="16" t="s">
        <v>15</v>
      </c>
      <c r="F5" s="16" t="s">
        <v>14</v>
      </c>
      <c r="G5" s="16" t="s">
        <v>16</v>
      </c>
      <c r="H5" s="16" t="s">
        <v>17</v>
      </c>
      <c r="I5" s="16" t="s">
        <v>18</v>
      </c>
      <c r="J5" s="16">
        <v>1543</v>
      </c>
      <c r="K5" s="16">
        <v>1225</v>
      </c>
      <c r="L5" s="16">
        <v>16.7717391304347</v>
      </c>
      <c r="M5" s="16">
        <v>13.3152173913043</v>
      </c>
      <c r="N5" s="16">
        <v>79.390797148412105</v>
      </c>
    </row>
    <row r="6" spans="1:14" x14ac:dyDescent="0.35">
      <c r="A6" s="2">
        <v>5</v>
      </c>
      <c r="B6" s="16">
        <v>2019</v>
      </c>
      <c r="C6" s="16">
        <v>1</v>
      </c>
      <c r="D6" s="16" t="s">
        <v>14</v>
      </c>
      <c r="E6" s="16" t="s">
        <v>15</v>
      </c>
      <c r="F6" s="16" t="s">
        <v>14</v>
      </c>
      <c r="G6" s="16" t="s">
        <v>16</v>
      </c>
      <c r="H6" s="16" t="s">
        <v>17</v>
      </c>
      <c r="I6" s="16" t="s">
        <v>18</v>
      </c>
      <c r="J6" s="16">
        <v>1609</v>
      </c>
      <c r="K6" s="16">
        <v>1370</v>
      </c>
      <c r="L6" s="16">
        <v>17.877777777777698</v>
      </c>
      <c r="M6" s="16">
        <v>15.2222222222222</v>
      </c>
      <c r="N6" s="16">
        <v>85.146053449347406</v>
      </c>
    </row>
    <row r="7" spans="1:14" x14ac:dyDescent="0.35">
      <c r="A7" s="2">
        <v>6</v>
      </c>
      <c r="B7" s="16">
        <v>2019</v>
      </c>
      <c r="C7" s="16">
        <v>2</v>
      </c>
      <c r="D7" s="16" t="s">
        <v>14</v>
      </c>
      <c r="E7" s="16" t="s">
        <v>15</v>
      </c>
      <c r="F7" s="16" t="s">
        <v>14</v>
      </c>
      <c r="G7" s="16" t="s">
        <v>16</v>
      </c>
      <c r="H7" s="16" t="s">
        <v>17</v>
      </c>
      <c r="I7" s="16" t="s">
        <v>18</v>
      </c>
      <c r="J7" s="16">
        <v>1787</v>
      </c>
      <c r="K7" s="16">
        <v>1532</v>
      </c>
      <c r="L7" s="16">
        <v>19.6373626373626</v>
      </c>
      <c r="M7" s="16">
        <v>16.8351648351648</v>
      </c>
      <c r="N7" s="16">
        <v>85.730274202574094</v>
      </c>
    </row>
    <row r="8" spans="1:14" x14ac:dyDescent="0.35">
      <c r="A8" s="2">
        <v>7</v>
      </c>
      <c r="B8" s="16">
        <v>2019</v>
      </c>
      <c r="C8" s="16">
        <v>3</v>
      </c>
      <c r="D8" s="16" t="s">
        <v>14</v>
      </c>
      <c r="E8" s="16" t="s">
        <v>15</v>
      </c>
      <c r="F8" s="16" t="s">
        <v>14</v>
      </c>
      <c r="G8" s="16" t="s">
        <v>16</v>
      </c>
      <c r="H8" s="16" t="s">
        <v>17</v>
      </c>
      <c r="I8" s="16" t="s">
        <v>18</v>
      </c>
      <c r="J8" s="16">
        <v>1465</v>
      </c>
      <c r="K8" s="16">
        <v>1270</v>
      </c>
      <c r="L8" s="16">
        <v>15.923913043478199</v>
      </c>
      <c r="M8" s="16">
        <v>13.8043478260869</v>
      </c>
      <c r="N8" s="16">
        <v>86.689419795221795</v>
      </c>
    </row>
    <row r="9" spans="1:14" x14ac:dyDescent="0.35">
      <c r="A9" s="2">
        <v>8</v>
      </c>
      <c r="B9" s="16">
        <v>2019</v>
      </c>
      <c r="C9" s="16">
        <v>4</v>
      </c>
      <c r="D9" s="16" t="s">
        <v>14</v>
      </c>
      <c r="E9" s="16" t="s">
        <v>15</v>
      </c>
      <c r="F9" s="16" t="s">
        <v>14</v>
      </c>
      <c r="G9" s="16" t="s">
        <v>16</v>
      </c>
      <c r="H9" s="16" t="s">
        <v>17</v>
      </c>
      <c r="I9" s="16" t="s">
        <v>18</v>
      </c>
      <c r="J9" s="16">
        <v>1510</v>
      </c>
      <c r="K9" s="16">
        <v>1299</v>
      </c>
      <c r="L9" s="16">
        <v>16.4130434782608</v>
      </c>
      <c r="M9" s="16">
        <v>14.119565217391299</v>
      </c>
      <c r="N9" s="16">
        <v>86.026490066225094</v>
      </c>
    </row>
    <row r="10" spans="1:14" x14ac:dyDescent="0.35">
      <c r="A10" s="2">
        <v>9</v>
      </c>
      <c r="B10" s="16">
        <v>2020</v>
      </c>
      <c r="C10" s="16">
        <v>1</v>
      </c>
      <c r="D10" s="16" t="s">
        <v>14</v>
      </c>
      <c r="E10" s="16" t="s">
        <v>15</v>
      </c>
      <c r="F10" s="16" t="s">
        <v>14</v>
      </c>
      <c r="G10" s="16" t="s">
        <v>16</v>
      </c>
      <c r="H10" s="16" t="s">
        <v>17</v>
      </c>
      <c r="I10" s="16" t="s">
        <v>18</v>
      </c>
      <c r="J10" s="16">
        <v>1862</v>
      </c>
      <c r="K10" s="16">
        <v>1501</v>
      </c>
      <c r="L10" s="16">
        <v>20.4615384615384</v>
      </c>
      <c r="M10" s="16">
        <v>16.4945054945054</v>
      </c>
      <c r="N10" s="16">
        <v>80.612244897959101</v>
      </c>
    </row>
    <row r="11" spans="1:14" x14ac:dyDescent="0.35">
      <c r="A11" s="2">
        <v>10</v>
      </c>
      <c r="B11" s="16">
        <v>2020</v>
      </c>
      <c r="C11" s="16">
        <v>2</v>
      </c>
      <c r="D11" s="16" t="s">
        <v>14</v>
      </c>
      <c r="E11" s="16" t="s">
        <v>15</v>
      </c>
      <c r="F11" s="16" t="s">
        <v>14</v>
      </c>
      <c r="G11" s="16" t="s">
        <v>16</v>
      </c>
      <c r="H11" s="16" t="s">
        <v>17</v>
      </c>
      <c r="I11" s="16" t="s">
        <v>18</v>
      </c>
      <c r="J11" s="16">
        <v>2032</v>
      </c>
      <c r="K11" s="16">
        <v>812</v>
      </c>
      <c r="L11" s="16">
        <v>22.3296703296703</v>
      </c>
      <c r="M11" s="16">
        <v>8.9230769230769198</v>
      </c>
      <c r="N11" s="16">
        <v>39.960629921259802</v>
      </c>
    </row>
    <row r="12" spans="1:14" x14ac:dyDescent="0.35">
      <c r="A12" s="2">
        <v>11</v>
      </c>
      <c r="B12" s="16">
        <v>2020</v>
      </c>
      <c r="C12" s="16">
        <v>3</v>
      </c>
      <c r="D12" s="16" t="s">
        <v>14</v>
      </c>
      <c r="E12" s="16" t="s">
        <v>15</v>
      </c>
      <c r="F12" s="16" t="s">
        <v>14</v>
      </c>
      <c r="G12" s="16" t="s">
        <v>16</v>
      </c>
      <c r="H12" s="16" t="s">
        <v>17</v>
      </c>
      <c r="I12" s="16" t="s">
        <v>18</v>
      </c>
      <c r="J12" s="16">
        <v>1660</v>
      </c>
      <c r="K12" s="16">
        <v>1043</v>
      </c>
      <c r="L12" s="16">
        <v>18.043478260869499</v>
      </c>
      <c r="M12" s="16">
        <v>11.336956521739101</v>
      </c>
      <c r="N12" s="16">
        <v>62.831325301204799</v>
      </c>
    </row>
    <row r="13" spans="1:14" x14ac:dyDescent="0.35">
      <c r="A13" s="2">
        <v>12</v>
      </c>
      <c r="B13" s="16">
        <v>2020</v>
      </c>
      <c r="C13" s="16">
        <v>4</v>
      </c>
      <c r="D13" s="16" t="s">
        <v>14</v>
      </c>
      <c r="E13" s="16" t="s">
        <v>15</v>
      </c>
      <c r="F13" s="16" t="s">
        <v>14</v>
      </c>
      <c r="G13" s="16" t="s">
        <v>16</v>
      </c>
      <c r="H13" s="16" t="s">
        <v>17</v>
      </c>
      <c r="I13" s="16" t="s">
        <v>18</v>
      </c>
      <c r="J13" s="16">
        <v>1379</v>
      </c>
      <c r="K13" s="16">
        <v>978</v>
      </c>
      <c r="L13" s="16">
        <v>14.9891304347826</v>
      </c>
      <c r="M13" s="16">
        <v>10.630434782608599</v>
      </c>
      <c r="N13" s="16">
        <v>70.920957215373406</v>
      </c>
    </row>
    <row r="14" spans="1:14" x14ac:dyDescent="0.35">
      <c r="A14" s="2">
        <v>13</v>
      </c>
      <c r="B14" s="16">
        <v>2021</v>
      </c>
      <c r="C14" s="16">
        <v>1</v>
      </c>
      <c r="D14" s="16" t="s">
        <v>14</v>
      </c>
      <c r="E14" s="16" t="s">
        <v>15</v>
      </c>
      <c r="F14" s="16" t="s">
        <v>14</v>
      </c>
      <c r="G14" s="16" t="s">
        <v>16</v>
      </c>
      <c r="H14" s="16" t="s">
        <v>17</v>
      </c>
      <c r="I14" s="16" t="s">
        <v>18</v>
      </c>
      <c r="J14" s="16">
        <v>1791</v>
      </c>
      <c r="K14" s="16">
        <v>838</v>
      </c>
      <c r="L14" s="16">
        <v>19.899999999999999</v>
      </c>
      <c r="M14" s="16">
        <v>9.31111111111111</v>
      </c>
      <c r="N14" s="16">
        <v>46.789503070910101</v>
      </c>
    </row>
    <row r="15" spans="1:14" x14ac:dyDescent="0.35">
      <c r="A15" s="2">
        <v>14</v>
      </c>
      <c r="B15" s="16">
        <v>2021</v>
      </c>
      <c r="C15" s="16">
        <v>2</v>
      </c>
      <c r="D15" s="16" t="s">
        <v>14</v>
      </c>
      <c r="E15" s="16" t="s">
        <v>15</v>
      </c>
      <c r="F15" s="16" t="s">
        <v>14</v>
      </c>
      <c r="G15" s="16" t="s">
        <v>16</v>
      </c>
      <c r="H15" s="16" t="s">
        <v>17</v>
      </c>
      <c r="I15" s="16" t="s">
        <v>18</v>
      </c>
      <c r="J15" s="16">
        <v>1760</v>
      </c>
      <c r="K15" s="16">
        <v>1118</v>
      </c>
      <c r="L15" s="16">
        <v>19.3406593406593</v>
      </c>
      <c r="M15" s="16">
        <v>12.285714285714199</v>
      </c>
      <c r="N15" s="16">
        <v>63.522727272727202</v>
      </c>
    </row>
    <row r="16" spans="1:14" x14ac:dyDescent="0.35">
      <c r="A16" s="2">
        <v>15</v>
      </c>
      <c r="B16" s="16">
        <v>2021</v>
      </c>
      <c r="C16" s="16">
        <v>3</v>
      </c>
      <c r="D16" s="16" t="s">
        <v>14</v>
      </c>
      <c r="E16" s="16" t="s">
        <v>15</v>
      </c>
      <c r="F16" s="16" t="s">
        <v>14</v>
      </c>
      <c r="G16" s="16" t="s">
        <v>16</v>
      </c>
      <c r="H16" s="16" t="s">
        <v>17</v>
      </c>
      <c r="I16" s="16" t="s">
        <v>18</v>
      </c>
      <c r="J16" s="16">
        <v>1360</v>
      </c>
      <c r="K16" s="16">
        <v>923</v>
      </c>
      <c r="L16" s="16">
        <v>14.782608695652099</v>
      </c>
      <c r="M16" s="16">
        <v>10.032608695652099</v>
      </c>
      <c r="N16" s="16">
        <v>67.867647058823493</v>
      </c>
    </row>
    <row r="17" spans="1:14" x14ac:dyDescent="0.35">
      <c r="A17" s="2">
        <v>16</v>
      </c>
      <c r="B17" s="16">
        <v>2021</v>
      </c>
      <c r="C17" s="16">
        <v>4</v>
      </c>
      <c r="D17" s="16" t="s">
        <v>14</v>
      </c>
      <c r="E17" s="16" t="s">
        <v>15</v>
      </c>
      <c r="F17" s="16" t="s">
        <v>14</v>
      </c>
      <c r="G17" s="16" t="s">
        <v>16</v>
      </c>
      <c r="H17" s="16" t="s">
        <v>17</v>
      </c>
      <c r="I17" s="16" t="s">
        <v>18</v>
      </c>
      <c r="J17" s="16">
        <v>1191</v>
      </c>
      <c r="K17" s="16">
        <v>1059</v>
      </c>
      <c r="L17" s="16">
        <v>12.945652173913</v>
      </c>
      <c r="M17" s="16">
        <v>11.5108695652173</v>
      </c>
      <c r="N17" s="16">
        <v>88.916876574307295</v>
      </c>
    </row>
    <row r="18" spans="1:14" x14ac:dyDescent="0.35">
      <c r="A18" s="2">
        <v>1</v>
      </c>
      <c r="B18" s="16">
        <v>2018</v>
      </c>
      <c r="C18" s="16">
        <v>1</v>
      </c>
      <c r="D18" s="16" t="s">
        <v>19</v>
      </c>
      <c r="E18" s="16" t="s">
        <v>20</v>
      </c>
      <c r="F18" s="16" t="s">
        <v>19</v>
      </c>
      <c r="G18" s="16" t="s">
        <v>16</v>
      </c>
      <c r="H18" s="16" t="s">
        <v>17</v>
      </c>
      <c r="I18" s="16" t="s">
        <v>18</v>
      </c>
      <c r="J18" s="16">
        <v>1957</v>
      </c>
      <c r="K18" s="16">
        <v>1889</v>
      </c>
      <c r="L18" s="16">
        <v>21.744444444444401</v>
      </c>
      <c r="M18" s="16">
        <v>20.988888888888798</v>
      </c>
      <c r="N18" s="16">
        <v>96.525293817066895</v>
      </c>
    </row>
    <row r="19" spans="1:14" x14ac:dyDescent="0.35">
      <c r="A19" s="2">
        <v>2</v>
      </c>
      <c r="B19" s="16">
        <v>2018</v>
      </c>
      <c r="C19" s="16">
        <v>2</v>
      </c>
      <c r="D19" s="16" t="s">
        <v>19</v>
      </c>
      <c r="E19" s="16" t="s">
        <v>20</v>
      </c>
      <c r="F19" s="16" t="s">
        <v>19</v>
      </c>
      <c r="G19" s="16" t="s">
        <v>16</v>
      </c>
      <c r="H19" s="16" t="s">
        <v>17</v>
      </c>
      <c r="I19" s="16" t="s">
        <v>18</v>
      </c>
      <c r="J19" s="16">
        <v>2080</v>
      </c>
      <c r="K19" s="16">
        <v>1967</v>
      </c>
      <c r="L19" s="16">
        <v>22.857142857142801</v>
      </c>
      <c r="M19" s="16">
        <v>21.615384615384599</v>
      </c>
      <c r="N19" s="16">
        <v>94.567307692307693</v>
      </c>
    </row>
    <row r="20" spans="1:14" x14ac:dyDescent="0.35">
      <c r="A20" s="2">
        <v>3</v>
      </c>
      <c r="B20" s="16">
        <v>2018</v>
      </c>
      <c r="C20" s="16">
        <v>3</v>
      </c>
      <c r="D20" s="16" t="s">
        <v>19</v>
      </c>
      <c r="E20" s="16" t="s">
        <v>20</v>
      </c>
      <c r="F20" s="16" t="s">
        <v>19</v>
      </c>
      <c r="G20" s="16" t="s">
        <v>16</v>
      </c>
      <c r="H20" s="16" t="s">
        <v>17</v>
      </c>
      <c r="I20" s="16" t="s">
        <v>18</v>
      </c>
      <c r="J20" s="16">
        <v>2224</v>
      </c>
      <c r="K20" s="16">
        <v>2106</v>
      </c>
      <c r="L20" s="16">
        <v>24.173913043478201</v>
      </c>
      <c r="M20" s="16">
        <v>22.891304347826001</v>
      </c>
      <c r="N20" s="16">
        <v>94.694244604316495</v>
      </c>
    </row>
    <row r="21" spans="1:14" x14ac:dyDescent="0.35">
      <c r="A21" s="2">
        <v>4</v>
      </c>
      <c r="B21" s="16">
        <v>2018</v>
      </c>
      <c r="C21" s="16">
        <v>4</v>
      </c>
      <c r="D21" s="16" t="s">
        <v>19</v>
      </c>
      <c r="E21" s="16" t="s">
        <v>20</v>
      </c>
      <c r="F21" s="16" t="s">
        <v>19</v>
      </c>
      <c r="G21" s="16" t="s">
        <v>16</v>
      </c>
      <c r="H21" s="16" t="s">
        <v>17</v>
      </c>
      <c r="I21" s="16" t="s">
        <v>18</v>
      </c>
      <c r="J21" s="16">
        <v>2641</v>
      </c>
      <c r="K21" s="16">
        <v>2546</v>
      </c>
      <c r="L21" s="16">
        <v>28.706521739130402</v>
      </c>
      <c r="M21" s="16">
        <v>27.673913043478201</v>
      </c>
      <c r="N21" s="16">
        <v>96.402877697841703</v>
      </c>
    </row>
    <row r="22" spans="1:14" x14ac:dyDescent="0.35">
      <c r="A22" s="2">
        <v>5</v>
      </c>
      <c r="B22" s="16">
        <v>2019</v>
      </c>
      <c r="C22" s="16">
        <v>1</v>
      </c>
      <c r="D22" s="16" t="s">
        <v>19</v>
      </c>
      <c r="E22" s="16" t="s">
        <v>20</v>
      </c>
      <c r="F22" s="16" t="s">
        <v>19</v>
      </c>
      <c r="G22" s="16" t="s">
        <v>16</v>
      </c>
      <c r="H22" s="16" t="s">
        <v>17</v>
      </c>
      <c r="I22" s="16" t="s">
        <v>18</v>
      </c>
      <c r="J22" s="16">
        <v>2273</v>
      </c>
      <c r="K22" s="16">
        <v>2143</v>
      </c>
      <c r="L22" s="16">
        <v>25.2555555555555</v>
      </c>
      <c r="M22" s="16">
        <v>23.811111111111099</v>
      </c>
      <c r="N22" s="16">
        <v>94.280686317641795</v>
      </c>
    </row>
    <row r="23" spans="1:14" x14ac:dyDescent="0.35">
      <c r="A23" s="2">
        <v>6</v>
      </c>
      <c r="B23" s="16">
        <v>2019</v>
      </c>
      <c r="C23" s="16">
        <v>2</v>
      </c>
      <c r="D23" s="16" t="s">
        <v>19</v>
      </c>
      <c r="E23" s="16" t="s">
        <v>20</v>
      </c>
      <c r="F23" s="16" t="s">
        <v>19</v>
      </c>
      <c r="G23" s="16" t="s">
        <v>16</v>
      </c>
      <c r="H23" s="16" t="s">
        <v>17</v>
      </c>
      <c r="I23" s="16" t="s">
        <v>18</v>
      </c>
      <c r="J23" s="16">
        <v>2365</v>
      </c>
      <c r="K23" s="16">
        <v>2151</v>
      </c>
      <c r="L23" s="16">
        <v>25.9890109890109</v>
      </c>
      <c r="M23" s="16">
        <v>23.6373626373626</v>
      </c>
      <c r="N23" s="16">
        <v>90.951374207188096</v>
      </c>
    </row>
    <row r="24" spans="1:14" x14ac:dyDescent="0.35">
      <c r="A24" s="2">
        <v>7</v>
      </c>
      <c r="B24" s="16">
        <v>2019</v>
      </c>
      <c r="C24" s="16">
        <v>3</v>
      </c>
      <c r="D24" s="16" t="s">
        <v>19</v>
      </c>
      <c r="E24" s="16" t="s">
        <v>20</v>
      </c>
      <c r="F24" s="16" t="s">
        <v>19</v>
      </c>
      <c r="G24" s="16" t="s">
        <v>16</v>
      </c>
      <c r="H24" s="16" t="s">
        <v>17</v>
      </c>
      <c r="I24" s="16" t="s">
        <v>18</v>
      </c>
      <c r="J24" s="16">
        <v>2667</v>
      </c>
      <c r="K24" s="16">
        <v>2549</v>
      </c>
      <c r="L24" s="16">
        <v>28.989130434782599</v>
      </c>
      <c r="M24" s="16">
        <v>27.706521739130402</v>
      </c>
      <c r="N24" s="16">
        <v>95.575553055867999</v>
      </c>
    </row>
    <row r="25" spans="1:14" x14ac:dyDescent="0.35">
      <c r="A25" s="2">
        <v>8</v>
      </c>
      <c r="B25" s="16">
        <v>2019</v>
      </c>
      <c r="C25" s="16">
        <v>4</v>
      </c>
      <c r="D25" s="16" t="s">
        <v>19</v>
      </c>
      <c r="E25" s="16" t="s">
        <v>20</v>
      </c>
      <c r="F25" s="16" t="s">
        <v>19</v>
      </c>
      <c r="G25" s="16" t="s">
        <v>16</v>
      </c>
      <c r="H25" s="16" t="s">
        <v>17</v>
      </c>
      <c r="I25" s="16" t="s">
        <v>18</v>
      </c>
      <c r="J25" s="16">
        <v>2703</v>
      </c>
      <c r="K25" s="16">
        <v>2588</v>
      </c>
      <c r="L25" s="16">
        <v>29.380434782608599</v>
      </c>
      <c r="M25" s="16">
        <v>28.130434782608599</v>
      </c>
      <c r="N25" s="16">
        <v>95.745467998520098</v>
      </c>
    </row>
    <row r="26" spans="1:14" x14ac:dyDescent="0.35">
      <c r="A26" s="2">
        <v>9</v>
      </c>
      <c r="B26" s="16">
        <v>2020</v>
      </c>
      <c r="C26" s="16">
        <v>1</v>
      </c>
      <c r="D26" s="16" t="s">
        <v>19</v>
      </c>
      <c r="E26" s="16" t="s">
        <v>20</v>
      </c>
      <c r="F26" s="16" t="s">
        <v>19</v>
      </c>
      <c r="G26" s="16" t="s">
        <v>16</v>
      </c>
      <c r="H26" s="16" t="s">
        <v>17</v>
      </c>
      <c r="I26" s="16" t="s">
        <v>18</v>
      </c>
      <c r="J26" s="16">
        <v>2453</v>
      </c>
      <c r="K26" s="16">
        <v>2261</v>
      </c>
      <c r="L26" s="16">
        <v>26.956043956043899</v>
      </c>
      <c r="M26" s="16">
        <v>24.846153846153801</v>
      </c>
      <c r="N26" s="16">
        <v>92.172849571952696</v>
      </c>
    </row>
    <row r="27" spans="1:14" x14ac:dyDescent="0.35">
      <c r="A27" s="2">
        <v>10</v>
      </c>
      <c r="B27" s="16">
        <v>2020</v>
      </c>
      <c r="C27" s="16">
        <v>2</v>
      </c>
      <c r="D27" s="16" t="s">
        <v>19</v>
      </c>
      <c r="E27" s="16" t="s">
        <v>20</v>
      </c>
      <c r="F27" s="16" t="s">
        <v>19</v>
      </c>
      <c r="G27" s="16" t="s">
        <v>16</v>
      </c>
      <c r="H27" s="16" t="s">
        <v>17</v>
      </c>
      <c r="I27" s="16" t="s">
        <v>18</v>
      </c>
      <c r="J27" s="16">
        <v>2828</v>
      </c>
      <c r="K27" s="16">
        <v>1939</v>
      </c>
      <c r="L27" s="16">
        <v>31.076923076922998</v>
      </c>
      <c r="M27" s="16">
        <v>21.307692307692299</v>
      </c>
      <c r="N27" s="16">
        <v>68.564356435643504</v>
      </c>
    </row>
    <row r="28" spans="1:14" x14ac:dyDescent="0.35">
      <c r="A28" s="2">
        <v>11</v>
      </c>
      <c r="B28" s="16">
        <v>2020</v>
      </c>
      <c r="C28" s="16">
        <v>3</v>
      </c>
      <c r="D28" s="16" t="s">
        <v>19</v>
      </c>
      <c r="E28" s="16" t="s">
        <v>20</v>
      </c>
      <c r="F28" s="16" t="s">
        <v>19</v>
      </c>
      <c r="G28" s="16" t="s">
        <v>16</v>
      </c>
      <c r="H28" s="16" t="s">
        <v>17</v>
      </c>
      <c r="I28" s="16" t="s">
        <v>18</v>
      </c>
      <c r="J28" s="16">
        <v>3075</v>
      </c>
      <c r="K28" s="16">
        <v>2289</v>
      </c>
      <c r="L28" s="16">
        <v>33.423913043478201</v>
      </c>
      <c r="M28" s="16">
        <v>24.880434782608599</v>
      </c>
      <c r="N28" s="16">
        <v>74.439024390243901</v>
      </c>
    </row>
    <row r="29" spans="1:14" x14ac:dyDescent="0.35">
      <c r="A29" s="2">
        <v>12</v>
      </c>
      <c r="B29" s="16">
        <v>2020</v>
      </c>
      <c r="C29" s="16">
        <v>4</v>
      </c>
      <c r="D29" s="16" t="s">
        <v>19</v>
      </c>
      <c r="E29" s="16" t="s">
        <v>20</v>
      </c>
      <c r="F29" s="16" t="s">
        <v>19</v>
      </c>
      <c r="G29" s="16" t="s">
        <v>16</v>
      </c>
      <c r="H29" s="16" t="s">
        <v>17</v>
      </c>
      <c r="I29" s="16" t="s">
        <v>18</v>
      </c>
      <c r="J29" s="16">
        <v>2598</v>
      </c>
      <c r="K29" s="16">
        <v>2077</v>
      </c>
      <c r="L29" s="16">
        <v>28.239130434782599</v>
      </c>
      <c r="M29" s="16">
        <v>22.576086956521699</v>
      </c>
      <c r="N29" s="16">
        <v>79.946112394149296</v>
      </c>
    </row>
    <row r="30" spans="1:14" x14ac:dyDescent="0.35">
      <c r="A30" s="2">
        <v>13</v>
      </c>
      <c r="B30" s="16">
        <v>2021</v>
      </c>
      <c r="C30" s="16">
        <v>1</v>
      </c>
      <c r="D30" s="16" t="s">
        <v>19</v>
      </c>
      <c r="E30" s="16" t="s">
        <v>20</v>
      </c>
      <c r="F30" s="16" t="s">
        <v>19</v>
      </c>
      <c r="G30" s="16" t="s">
        <v>16</v>
      </c>
      <c r="H30" s="16" t="s">
        <v>17</v>
      </c>
      <c r="I30" s="16" t="s">
        <v>18</v>
      </c>
      <c r="J30" s="16">
        <v>2635</v>
      </c>
      <c r="K30" s="16">
        <v>2301</v>
      </c>
      <c r="L30" s="16">
        <v>29.2777777777777</v>
      </c>
      <c r="M30" s="16">
        <v>25.566666666666599</v>
      </c>
      <c r="N30" s="16">
        <v>87.324478178368096</v>
      </c>
    </row>
    <row r="31" spans="1:14" x14ac:dyDescent="0.35">
      <c r="A31" s="2">
        <v>14</v>
      </c>
      <c r="B31" s="16">
        <v>2021</v>
      </c>
      <c r="C31" s="16">
        <v>2</v>
      </c>
      <c r="D31" s="16" t="s">
        <v>19</v>
      </c>
      <c r="E31" s="16" t="s">
        <v>20</v>
      </c>
      <c r="F31" s="16" t="s">
        <v>19</v>
      </c>
      <c r="G31" s="16" t="s">
        <v>16</v>
      </c>
      <c r="H31" s="16" t="s">
        <v>17</v>
      </c>
      <c r="I31" s="16" t="s">
        <v>18</v>
      </c>
      <c r="J31" s="16">
        <v>2471</v>
      </c>
      <c r="K31" s="16">
        <v>2345</v>
      </c>
      <c r="L31" s="16">
        <v>27.1538461538461</v>
      </c>
      <c r="M31" s="16">
        <v>25.769230769230699</v>
      </c>
      <c r="N31" s="16">
        <v>94.900849858356906</v>
      </c>
    </row>
    <row r="32" spans="1:14" x14ac:dyDescent="0.35">
      <c r="A32" s="2">
        <v>15</v>
      </c>
      <c r="B32" s="16">
        <v>2021</v>
      </c>
      <c r="C32" s="16">
        <v>3</v>
      </c>
      <c r="D32" s="16" t="s">
        <v>19</v>
      </c>
      <c r="E32" s="16" t="s">
        <v>20</v>
      </c>
      <c r="F32" s="16" t="s">
        <v>19</v>
      </c>
      <c r="G32" s="16" t="s">
        <v>16</v>
      </c>
      <c r="H32" s="16" t="s">
        <v>17</v>
      </c>
      <c r="I32" s="16" t="s">
        <v>18</v>
      </c>
      <c r="J32" s="16">
        <v>2712</v>
      </c>
      <c r="K32" s="16">
        <v>2603</v>
      </c>
      <c r="L32" s="16">
        <v>29.478260869565201</v>
      </c>
      <c r="M32" s="16">
        <v>28.293478260869499</v>
      </c>
      <c r="N32" s="16">
        <v>95.980825958701999</v>
      </c>
    </row>
    <row r="33" spans="1:14" x14ac:dyDescent="0.35">
      <c r="A33" s="2">
        <v>16</v>
      </c>
      <c r="B33" s="16">
        <v>2021</v>
      </c>
      <c r="C33" s="16">
        <v>4</v>
      </c>
      <c r="D33" s="16" t="s">
        <v>19</v>
      </c>
      <c r="E33" s="16" t="s">
        <v>20</v>
      </c>
      <c r="F33" s="16" t="s">
        <v>19</v>
      </c>
      <c r="G33" s="16" t="s">
        <v>16</v>
      </c>
      <c r="H33" s="16" t="s">
        <v>17</v>
      </c>
      <c r="I33" s="16" t="s">
        <v>18</v>
      </c>
      <c r="J33" s="16">
        <v>2319</v>
      </c>
      <c r="K33" s="16">
        <v>2264</v>
      </c>
      <c r="L33" s="16">
        <v>25.206521739130402</v>
      </c>
      <c r="M33" s="16">
        <v>24.6086956521739</v>
      </c>
      <c r="N33" s="16">
        <v>97.628288055196194</v>
      </c>
    </row>
    <row r="34" spans="1:14" x14ac:dyDescent="0.35">
      <c r="A34" s="2">
        <v>1</v>
      </c>
      <c r="B34" s="16">
        <v>2018</v>
      </c>
      <c r="C34" s="16">
        <v>1</v>
      </c>
      <c r="D34" s="16" t="s">
        <v>21</v>
      </c>
      <c r="E34" s="16" t="s">
        <v>22</v>
      </c>
      <c r="F34" s="16" t="s">
        <v>21</v>
      </c>
      <c r="G34" s="16" t="s">
        <v>16</v>
      </c>
      <c r="H34" s="16" t="s">
        <v>17</v>
      </c>
      <c r="I34" s="16" t="s">
        <v>18</v>
      </c>
      <c r="J34" s="16">
        <v>191</v>
      </c>
      <c r="K34" s="16">
        <v>191</v>
      </c>
      <c r="L34" s="16">
        <v>2.12222222222222</v>
      </c>
      <c r="M34" s="16">
        <v>2.12222222222222</v>
      </c>
      <c r="N34" s="16">
        <v>100</v>
      </c>
    </row>
    <row r="35" spans="1:14" x14ac:dyDescent="0.35">
      <c r="A35" s="2">
        <v>2</v>
      </c>
      <c r="B35" s="16">
        <v>2018</v>
      </c>
      <c r="C35" s="16">
        <v>2</v>
      </c>
      <c r="D35" s="16" t="s">
        <v>21</v>
      </c>
      <c r="E35" s="16" t="s">
        <v>22</v>
      </c>
      <c r="F35" s="16" t="s">
        <v>21</v>
      </c>
      <c r="G35" s="16" t="s">
        <v>16</v>
      </c>
      <c r="H35" s="16" t="s">
        <v>17</v>
      </c>
      <c r="I35" s="16" t="s">
        <v>18</v>
      </c>
      <c r="J35" s="16">
        <v>88</v>
      </c>
      <c r="K35" s="16">
        <v>88</v>
      </c>
      <c r="L35" s="16">
        <v>0.96703296703296704</v>
      </c>
      <c r="M35" s="16">
        <v>0.96703296703296704</v>
      </c>
      <c r="N35" s="16">
        <v>100</v>
      </c>
    </row>
    <row r="36" spans="1:14" x14ac:dyDescent="0.35">
      <c r="A36" s="2">
        <v>3</v>
      </c>
      <c r="B36" s="16">
        <v>2018</v>
      </c>
      <c r="C36" s="16">
        <v>3</v>
      </c>
      <c r="D36" s="16" t="s">
        <v>21</v>
      </c>
      <c r="E36" s="16" t="s">
        <v>22</v>
      </c>
      <c r="F36" s="16" t="s">
        <v>21</v>
      </c>
      <c r="G36" s="16" t="s">
        <v>16</v>
      </c>
      <c r="H36" s="16" t="s">
        <v>17</v>
      </c>
      <c r="I36" s="16" t="s">
        <v>18</v>
      </c>
      <c r="J36" s="16">
        <v>99</v>
      </c>
      <c r="K36" s="16">
        <v>99</v>
      </c>
      <c r="L36" s="16">
        <v>1.0760869565217299</v>
      </c>
      <c r="M36" s="16">
        <v>1.0760869565217299</v>
      </c>
      <c r="N36" s="16">
        <v>100</v>
      </c>
    </row>
    <row r="37" spans="1:14" x14ac:dyDescent="0.35">
      <c r="A37" s="2">
        <v>4</v>
      </c>
      <c r="B37" s="16">
        <v>2018</v>
      </c>
      <c r="C37" s="16">
        <v>4</v>
      </c>
      <c r="D37" s="16" t="s">
        <v>21</v>
      </c>
      <c r="E37" s="16" t="s">
        <v>22</v>
      </c>
      <c r="F37" s="16" t="s">
        <v>21</v>
      </c>
      <c r="G37" s="16" t="s">
        <v>16</v>
      </c>
      <c r="H37" s="16" t="s">
        <v>17</v>
      </c>
      <c r="I37" s="16" t="s">
        <v>18</v>
      </c>
      <c r="J37" s="16">
        <v>201</v>
      </c>
      <c r="K37" s="16">
        <v>201</v>
      </c>
      <c r="L37" s="16">
        <v>2.1847826086956501</v>
      </c>
      <c r="M37" s="16">
        <v>2.1847826086956501</v>
      </c>
      <c r="N37" s="16">
        <v>100</v>
      </c>
    </row>
    <row r="38" spans="1:14" x14ac:dyDescent="0.35">
      <c r="A38" s="2">
        <v>5</v>
      </c>
      <c r="B38" s="16">
        <v>2019</v>
      </c>
      <c r="C38" s="16">
        <v>1</v>
      </c>
      <c r="D38" s="16" t="s">
        <v>21</v>
      </c>
      <c r="E38" s="16" t="s">
        <v>22</v>
      </c>
      <c r="F38" s="16" t="s">
        <v>21</v>
      </c>
      <c r="G38" s="16" t="s">
        <v>16</v>
      </c>
      <c r="H38" s="16" t="s">
        <v>17</v>
      </c>
      <c r="I38" s="16" t="s">
        <v>18</v>
      </c>
      <c r="J38" s="16">
        <v>203</v>
      </c>
      <c r="K38" s="16">
        <v>203</v>
      </c>
      <c r="L38" s="16">
        <v>2.2555555555555502</v>
      </c>
      <c r="M38" s="16">
        <v>2.2555555555555502</v>
      </c>
      <c r="N38" s="16">
        <v>100</v>
      </c>
    </row>
    <row r="39" spans="1:14" x14ac:dyDescent="0.35">
      <c r="A39" s="2">
        <v>6</v>
      </c>
      <c r="B39" s="16">
        <v>2019</v>
      </c>
      <c r="C39" s="16">
        <v>2</v>
      </c>
      <c r="D39" s="16" t="s">
        <v>21</v>
      </c>
      <c r="E39" s="16" t="s">
        <v>22</v>
      </c>
      <c r="F39" s="16" t="s">
        <v>21</v>
      </c>
      <c r="G39" s="16" t="s">
        <v>16</v>
      </c>
      <c r="H39" s="16" t="s">
        <v>17</v>
      </c>
      <c r="I39" s="16" t="s">
        <v>18</v>
      </c>
      <c r="J39" s="16">
        <v>181</v>
      </c>
      <c r="K39" s="16">
        <v>181</v>
      </c>
      <c r="L39" s="16">
        <v>1.9890109890109799</v>
      </c>
      <c r="M39" s="16">
        <v>1.9890109890109799</v>
      </c>
      <c r="N39" s="16">
        <v>100</v>
      </c>
    </row>
    <row r="40" spans="1:14" x14ac:dyDescent="0.35">
      <c r="A40" s="2">
        <v>7</v>
      </c>
      <c r="B40" s="16">
        <v>2019</v>
      </c>
      <c r="C40" s="16">
        <v>3</v>
      </c>
      <c r="D40" s="16" t="s">
        <v>21</v>
      </c>
      <c r="E40" s="16" t="s">
        <v>22</v>
      </c>
      <c r="F40" s="16" t="s">
        <v>21</v>
      </c>
      <c r="G40" s="16" t="s">
        <v>16</v>
      </c>
      <c r="H40" s="16" t="s">
        <v>17</v>
      </c>
      <c r="I40" s="16" t="s">
        <v>18</v>
      </c>
      <c r="J40" s="16">
        <v>147</v>
      </c>
      <c r="K40" s="16">
        <v>147</v>
      </c>
      <c r="L40" s="16">
        <v>1.59782608695652</v>
      </c>
      <c r="M40" s="16">
        <v>1.59782608695652</v>
      </c>
      <c r="N40" s="16">
        <v>100</v>
      </c>
    </row>
    <row r="41" spans="1:14" x14ac:dyDescent="0.35">
      <c r="A41" s="2">
        <v>8</v>
      </c>
      <c r="B41" s="16">
        <v>2019</v>
      </c>
      <c r="C41" s="16">
        <v>4</v>
      </c>
      <c r="D41" s="16" t="s">
        <v>21</v>
      </c>
      <c r="E41" s="16" t="s">
        <v>22</v>
      </c>
      <c r="F41" s="16" t="s">
        <v>21</v>
      </c>
      <c r="G41" s="16" t="s">
        <v>16</v>
      </c>
      <c r="H41" s="16" t="s">
        <v>17</v>
      </c>
      <c r="I41" s="16" t="s">
        <v>18</v>
      </c>
      <c r="J41" s="16">
        <v>184</v>
      </c>
      <c r="K41" s="16">
        <v>184</v>
      </c>
      <c r="L41" s="16">
        <v>2</v>
      </c>
      <c r="M41" s="16">
        <v>2</v>
      </c>
      <c r="N41" s="16">
        <v>100</v>
      </c>
    </row>
    <row r="42" spans="1:14" x14ac:dyDescent="0.35">
      <c r="A42" s="2">
        <v>9</v>
      </c>
      <c r="B42" s="16">
        <v>2020</v>
      </c>
      <c r="C42" s="16">
        <v>1</v>
      </c>
      <c r="D42" s="16" t="s">
        <v>21</v>
      </c>
      <c r="E42" s="16" t="s">
        <v>22</v>
      </c>
      <c r="F42" s="16" t="s">
        <v>21</v>
      </c>
      <c r="G42" s="16" t="s">
        <v>16</v>
      </c>
      <c r="H42" s="16" t="s">
        <v>17</v>
      </c>
      <c r="I42" s="16" t="s">
        <v>18</v>
      </c>
      <c r="J42" s="16">
        <v>256</v>
      </c>
      <c r="K42" s="16">
        <v>256</v>
      </c>
      <c r="L42" s="16">
        <v>2.8131868131868099</v>
      </c>
      <c r="M42" s="16">
        <v>2.8131868131868099</v>
      </c>
      <c r="N42" s="16">
        <v>100</v>
      </c>
    </row>
    <row r="43" spans="1:14" x14ac:dyDescent="0.35">
      <c r="A43" s="2">
        <v>10</v>
      </c>
      <c r="B43" s="16">
        <v>2020</v>
      </c>
      <c r="C43" s="16">
        <v>2</v>
      </c>
      <c r="D43" s="16" t="s">
        <v>21</v>
      </c>
      <c r="E43" s="16" t="s">
        <v>22</v>
      </c>
      <c r="F43" s="16" t="s">
        <v>21</v>
      </c>
      <c r="G43" s="16" t="s">
        <v>16</v>
      </c>
      <c r="H43" s="16" t="s">
        <v>17</v>
      </c>
      <c r="I43" s="16" t="s">
        <v>18</v>
      </c>
      <c r="J43" s="16">
        <v>113</v>
      </c>
      <c r="K43" s="16">
        <v>113</v>
      </c>
      <c r="L43" s="16">
        <v>1.24175824175824</v>
      </c>
      <c r="M43" s="16">
        <v>1.24175824175824</v>
      </c>
      <c r="N43" s="16">
        <v>100</v>
      </c>
    </row>
    <row r="44" spans="1:14" x14ac:dyDescent="0.35">
      <c r="A44" s="2">
        <v>11</v>
      </c>
      <c r="B44" s="16">
        <v>2020</v>
      </c>
      <c r="C44" s="16">
        <v>3</v>
      </c>
      <c r="D44" s="16" t="s">
        <v>21</v>
      </c>
      <c r="E44" s="16" t="s">
        <v>22</v>
      </c>
      <c r="F44" s="16" t="s">
        <v>21</v>
      </c>
      <c r="G44" s="16" t="s">
        <v>16</v>
      </c>
      <c r="H44" s="16" t="s">
        <v>17</v>
      </c>
      <c r="I44" s="16" t="s">
        <v>18</v>
      </c>
      <c r="J44" s="16">
        <v>122</v>
      </c>
      <c r="K44" s="16">
        <v>122</v>
      </c>
      <c r="L44" s="16">
        <v>1.3260869565217299</v>
      </c>
      <c r="M44" s="16">
        <v>1.3260869565217299</v>
      </c>
      <c r="N44" s="16">
        <v>100</v>
      </c>
    </row>
    <row r="45" spans="1:14" x14ac:dyDescent="0.35">
      <c r="A45" s="2">
        <v>12</v>
      </c>
      <c r="B45" s="16">
        <v>2020</v>
      </c>
      <c r="C45" s="16">
        <v>4</v>
      </c>
      <c r="D45" s="16" t="s">
        <v>21</v>
      </c>
      <c r="E45" s="16" t="s">
        <v>22</v>
      </c>
      <c r="F45" s="16" t="s">
        <v>21</v>
      </c>
      <c r="G45" s="16" t="s">
        <v>16</v>
      </c>
      <c r="H45" s="16" t="s">
        <v>17</v>
      </c>
      <c r="I45" s="16" t="s">
        <v>18</v>
      </c>
      <c r="J45" s="16">
        <v>183</v>
      </c>
      <c r="K45" s="16">
        <v>183</v>
      </c>
      <c r="L45" s="16">
        <v>1.9891304347826</v>
      </c>
      <c r="M45" s="16">
        <v>1.9891304347826</v>
      </c>
      <c r="N45" s="16">
        <v>100</v>
      </c>
    </row>
    <row r="46" spans="1:14" x14ac:dyDescent="0.35">
      <c r="A46" s="2">
        <v>13</v>
      </c>
      <c r="B46" s="16">
        <v>2021</v>
      </c>
      <c r="C46" s="16">
        <v>1</v>
      </c>
      <c r="D46" s="16" t="s">
        <v>21</v>
      </c>
      <c r="E46" s="16" t="s">
        <v>22</v>
      </c>
      <c r="F46" s="16" t="s">
        <v>21</v>
      </c>
      <c r="G46" s="16" t="s">
        <v>16</v>
      </c>
      <c r="H46" s="16" t="s">
        <v>17</v>
      </c>
      <c r="I46" s="16" t="s">
        <v>18</v>
      </c>
      <c r="J46" s="16">
        <v>210</v>
      </c>
      <c r="K46" s="16">
        <v>210</v>
      </c>
      <c r="L46" s="16">
        <v>2.3333333333333299</v>
      </c>
      <c r="M46" s="16">
        <v>2.3333333333333299</v>
      </c>
      <c r="N46" s="16">
        <v>100</v>
      </c>
    </row>
    <row r="47" spans="1:14" x14ac:dyDescent="0.35">
      <c r="A47" s="2">
        <v>14</v>
      </c>
      <c r="B47" s="16">
        <v>2021</v>
      </c>
      <c r="C47" s="16">
        <v>2</v>
      </c>
      <c r="D47" s="16" t="s">
        <v>21</v>
      </c>
      <c r="E47" s="16" t="s">
        <v>22</v>
      </c>
      <c r="F47" s="16" t="s">
        <v>21</v>
      </c>
      <c r="G47" s="16" t="s">
        <v>16</v>
      </c>
      <c r="H47" s="16" t="s">
        <v>17</v>
      </c>
      <c r="I47" s="16" t="s">
        <v>18</v>
      </c>
      <c r="J47" s="16">
        <v>169</v>
      </c>
      <c r="K47" s="16">
        <v>169</v>
      </c>
      <c r="L47" s="16">
        <v>1.8571428571428501</v>
      </c>
      <c r="M47" s="16">
        <v>1.8571428571428501</v>
      </c>
      <c r="N47" s="16">
        <v>100</v>
      </c>
    </row>
    <row r="48" spans="1:14" x14ac:dyDescent="0.35">
      <c r="A48" s="2">
        <v>15</v>
      </c>
      <c r="B48" s="16">
        <v>2021</v>
      </c>
      <c r="C48" s="16">
        <v>3</v>
      </c>
      <c r="D48" s="16" t="s">
        <v>21</v>
      </c>
      <c r="E48" s="16" t="s">
        <v>22</v>
      </c>
      <c r="F48" s="16" t="s">
        <v>21</v>
      </c>
      <c r="G48" s="16" t="s">
        <v>16</v>
      </c>
      <c r="H48" s="16" t="s">
        <v>17</v>
      </c>
      <c r="I48" s="16" t="s">
        <v>18</v>
      </c>
      <c r="J48" s="16">
        <v>292</v>
      </c>
      <c r="K48" s="16">
        <v>292</v>
      </c>
      <c r="L48" s="16">
        <v>3.1739130434782599</v>
      </c>
      <c r="M48" s="16">
        <v>3.1739130434782599</v>
      </c>
      <c r="N48" s="16">
        <v>100</v>
      </c>
    </row>
    <row r="49" spans="1:14" x14ac:dyDescent="0.35">
      <c r="A49" s="2">
        <v>16</v>
      </c>
      <c r="B49" s="16">
        <v>2021</v>
      </c>
      <c r="C49" s="16">
        <v>4</v>
      </c>
      <c r="D49" s="16" t="s">
        <v>21</v>
      </c>
      <c r="E49" s="16" t="s">
        <v>22</v>
      </c>
      <c r="F49" s="16" t="s">
        <v>21</v>
      </c>
      <c r="G49" s="16" t="s">
        <v>16</v>
      </c>
      <c r="H49" s="16" t="s">
        <v>17</v>
      </c>
      <c r="I49" s="16" t="s">
        <v>18</v>
      </c>
      <c r="J49" s="16">
        <v>142</v>
      </c>
      <c r="K49" s="16">
        <v>142</v>
      </c>
      <c r="L49" s="16">
        <v>1.5434782608695601</v>
      </c>
      <c r="M49" s="16">
        <v>1.5434782608695601</v>
      </c>
      <c r="N49" s="16">
        <v>100</v>
      </c>
    </row>
    <row r="50" spans="1:14" x14ac:dyDescent="0.35">
      <c r="A50" s="2">
        <v>1</v>
      </c>
      <c r="B50" s="16">
        <v>2018</v>
      </c>
      <c r="C50" s="16">
        <v>1</v>
      </c>
      <c r="D50" s="16" t="s">
        <v>23</v>
      </c>
      <c r="E50" s="16" t="s">
        <v>24</v>
      </c>
      <c r="F50" s="16" t="s">
        <v>23</v>
      </c>
      <c r="G50" s="16" t="s">
        <v>16</v>
      </c>
      <c r="H50" s="16" t="s">
        <v>17</v>
      </c>
      <c r="I50" s="16" t="s">
        <v>18</v>
      </c>
      <c r="J50" s="16">
        <v>3391</v>
      </c>
      <c r="K50" s="16">
        <v>2591</v>
      </c>
      <c r="L50" s="16">
        <v>37.677777777777699</v>
      </c>
      <c r="M50" s="16">
        <v>28.788888888888799</v>
      </c>
      <c r="N50" s="16">
        <v>76.408139191978705</v>
      </c>
    </row>
    <row r="51" spans="1:14" x14ac:dyDescent="0.35">
      <c r="A51" s="2">
        <v>2</v>
      </c>
      <c r="B51" s="16">
        <v>2018</v>
      </c>
      <c r="C51" s="16">
        <v>2</v>
      </c>
      <c r="D51" s="16" t="s">
        <v>23</v>
      </c>
      <c r="E51" s="16" t="s">
        <v>24</v>
      </c>
      <c r="F51" s="16" t="s">
        <v>23</v>
      </c>
      <c r="G51" s="16" t="s">
        <v>16</v>
      </c>
      <c r="H51" s="16" t="s">
        <v>17</v>
      </c>
      <c r="I51" s="16" t="s">
        <v>18</v>
      </c>
      <c r="J51" s="16">
        <v>3399</v>
      </c>
      <c r="K51" s="16">
        <v>2412</v>
      </c>
      <c r="L51" s="16">
        <v>37.351648351648301</v>
      </c>
      <c r="M51" s="16">
        <v>26.5054945054945</v>
      </c>
      <c r="N51" s="16">
        <v>70.962047661076795</v>
      </c>
    </row>
    <row r="52" spans="1:14" x14ac:dyDescent="0.35">
      <c r="A52" s="2">
        <v>3</v>
      </c>
      <c r="B52" s="16">
        <v>2018</v>
      </c>
      <c r="C52" s="16">
        <v>3</v>
      </c>
      <c r="D52" s="16" t="s">
        <v>23</v>
      </c>
      <c r="E52" s="16" t="s">
        <v>24</v>
      </c>
      <c r="F52" s="16" t="s">
        <v>23</v>
      </c>
      <c r="G52" s="16" t="s">
        <v>16</v>
      </c>
      <c r="H52" s="16" t="s">
        <v>17</v>
      </c>
      <c r="I52" s="16" t="s">
        <v>18</v>
      </c>
      <c r="J52" s="16">
        <v>3420</v>
      </c>
      <c r="K52" s="16">
        <v>2572</v>
      </c>
      <c r="L52" s="16">
        <v>37.173913043478201</v>
      </c>
      <c r="M52" s="16">
        <v>27.956521739130402</v>
      </c>
      <c r="N52" s="16">
        <v>75.204678362573105</v>
      </c>
    </row>
    <row r="53" spans="1:14" x14ac:dyDescent="0.35">
      <c r="A53" s="2">
        <v>4</v>
      </c>
      <c r="B53" s="16">
        <v>2018</v>
      </c>
      <c r="C53" s="16">
        <v>4</v>
      </c>
      <c r="D53" s="16" t="s">
        <v>23</v>
      </c>
      <c r="E53" s="16" t="s">
        <v>24</v>
      </c>
      <c r="F53" s="16" t="s">
        <v>23</v>
      </c>
      <c r="G53" s="16" t="s">
        <v>16</v>
      </c>
      <c r="H53" s="16" t="s">
        <v>17</v>
      </c>
      <c r="I53" s="16" t="s">
        <v>18</v>
      </c>
      <c r="J53" s="16">
        <v>3499</v>
      </c>
      <c r="K53" s="16">
        <v>2374</v>
      </c>
      <c r="L53" s="16">
        <v>38.032608695652101</v>
      </c>
      <c r="M53" s="16">
        <v>25.8043478260869</v>
      </c>
      <c r="N53" s="16">
        <v>67.847956559016794</v>
      </c>
    </row>
    <row r="54" spans="1:14" x14ac:dyDescent="0.35">
      <c r="A54" s="2">
        <v>5</v>
      </c>
      <c r="B54" s="16">
        <v>2019</v>
      </c>
      <c r="C54" s="16">
        <v>1</v>
      </c>
      <c r="D54" s="16" t="s">
        <v>23</v>
      </c>
      <c r="E54" s="16" t="s">
        <v>24</v>
      </c>
      <c r="F54" s="16" t="s">
        <v>23</v>
      </c>
      <c r="G54" s="16" t="s">
        <v>16</v>
      </c>
      <c r="H54" s="16" t="s">
        <v>17</v>
      </c>
      <c r="I54" s="16" t="s">
        <v>18</v>
      </c>
      <c r="J54" s="16">
        <v>3283</v>
      </c>
      <c r="K54" s="16">
        <v>2626</v>
      </c>
      <c r="L54" s="16">
        <v>36.477777777777703</v>
      </c>
      <c r="M54" s="16">
        <v>29.177777777777699</v>
      </c>
      <c r="N54" s="16">
        <v>79.987816021931096</v>
      </c>
    </row>
    <row r="55" spans="1:14" x14ac:dyDescent="0.35">
      <c r="A55" s="2">
        <v>6</v>
      </c>
      <c r="B55" s="16">
        <v>2019</v>
      </c>
      <c r="C55" s="16">
        <v>2</v>
      </c>
      <c r="D55" s="16" t="s">
        <v>23</v>
      </c>
      <c r="E55" s="16" t="s">
        <v>24</v>
      </c>
      <c r="F55" s="16" t="s">
        <v>23</v>
      </c>
      <c r="G55" s="16" t="s">
        <v>16</v>
      </c>
      <c r="H55" s="16" t="s">
        <v>17</v>
      </c>
      <c r="I55" s="16" t="s">
        <v>18</v>
      </c>
      <c r="J55" s="16">
        <v>3385</v>
      </c>
      <c r="K55" s="16">
        <v>2590</v>
      </c>
      <c r="L55" s="16">
        <v>37.197802197802197</v>
      </c>
      <c r="M55" s="16">
        <v>28.4615384615384</v>
      </c>
      <c r="N55" s="16">
        <v>76.514032496307195</v>
      </c>
    </row>
    <row r="56" spans="1:14" x14ac:dyDescent="0.35">
      <c r="A56" s="2">
        <v>7</v>
      </c>
      <c r="B56" s="16">
        <v>2019</v>
      </c>
      <c r="C56" s="16">
        <v>3</v>
      </c>
      <c r="D56" s="16" t="s">
        <v>23</v>
      </c>
      <c r="E56" s="16" t="s">
        <v>24</v>
      </c>
      <c r="F56" s="16" t="s">
        <v>23</v>
      </c>
      <c r="G56" s="16" t="s">
        <v>16</v>
      </c>
      <c r="H56" s="16" t="s">
        <v>17</v>
      </c>
      <c r="I56" s="16" t="s">
        <v>18</v>
      </c>
      <c r="J56" s="16">
        <v>3299</v>
      </c>
      <c r="K56" s="16">
        <v>2441</v>
      </c>
      <c r="L56" s="16">
        <v>35.8586956521739</v>
      </c>
      <c r="M56" s="16">
        <v>26.532608695652101</v>
      </c>
      <c r="N56" s="16">
        <v>73.992118823886003</v>
      </c>
    </row>
    <row r="57" spans="1:14" x14ac:dyDescent="0.35">
      <c r="A57" s="2">
        <v>8</v>
      </c>
      <c r="B57" s="16">
        <v>2019</v>
      </c>
      <c r="C57" s="16">
        <v>4</v>
      </c>
      <c r="D57" s="16" t="s">
        <v>23</v>
      </c>
      <c r="E57" s="16" t="s">
        <v>24</v>
      </c>
      <c r="F57" s="16" t="s">
        <v>23</v>
      </c>
      <c r="G57" s="16" t="s">
        <v>16</v>
      </c>
      <c r="H57" s="16" t="s">
        <v>17</v>
      </c>
      <c r="I57" s="16" t="s">
        <v>18</v>
      </c>
      <c r="J57" s="16">
        <v>3580</v>
      </c>
      <c r="K57" s="16">
        <v>2706</v>
      </c>
      <c r="L57" s="16">
        <v>38.913043478260803</v>
      </c>
      <c r="M57" s="16">
        <v>29.4130434782608</v>
      </c>
      <c r="N57" s="16">
        <v>75.5865921787709</v>
      </c>
    </row>
    <row r="58" spans="1:14" x14ac:dyDescent="0.35">
      <c r="A58" s="2">
        <v>9</v>
      </c>
      <c r="B58" s="16">
        <v>2020</v>
      </c>
      <c r="C58" s="16">
        <v>1</v>
      </c>
      <c r="D58" s="16" t="s">
        <v>23</v>
      </c>
      <c r="E58" s="16" t="s">
        <v>24</v>
      </c>
      <c r="F58" s="16" t="s">
        <v>23</v>
      </c>
      <c r="G58" s="16" t="s">
        <v>16</v>
      </c>
      <c r="H58" s="16" t="s">
        <v>17</v>
      </c>
      <c r="I58" s="16" t="s">
        <v>18</v>
      </c>
      <c r="J58" s="16">
        <v>3414</v>
      </c>
      <c r="K58" s="16">
        <v>2742</v>
      </c>
      <c r="L58" s="16">
        <v>37.516483516483497</v>
      </c>
      <c r="M58" s="16">
        <v>30.131868131868099</v>
      </c>
      <c r="N58" s="16">
        <v>80.316344463971802</v>
      </c>
    </row>
    <row r="59" spans="1:14" x14ac:dyDescent="0.35">
      <c r="A59" s="2">
        <v>10</v>
      </c>
      <c r="B59" s="16">
        <v>2020</v>
      </c>
      <c r="C59" s="16">
        <v>2</v>
      </c>
      <c r="D59" s="16" t="s">
        <v>23</v>
      </c>
      <c r="E59" s="16" t="s">
        <v>24</v>
      </c>
      <c r="F59" s="16" t="s">
        <v>23</v>
      </c>
      <c r="G59" s="16" t="s">
        <v>16</v>
      </c>
      <c r="H59" s="16" t="s">
        <v>17</v>
      </c>
      <c r="I59" s="16" t="s">
        <v>18</v>
      </c>
      <c r="J59" s="16">
        <v>3276</v>
      </c>
      <c r="K59" s="16">
        <v>1410</v>
      </c>
      <c r="L59" s="16">
        <v>36</v>
      </c>
      <c r="M59" s="16">
        <v>15.4945054945054</v>
      </c>
      <c r="N59" s="16">
        <v>43.040293040293001</v>
      </c>
    </row>
    <row r="60" spans="1:14" x14ac:dyDescent="0.35">
      <c r="A60" s="2">
        <v>11</v>
      </c>
      <c r="B60" s="16">
        <v>2020</v>
      </c>
      <c r="C60" s="16">
        <v>3</v>
      </c>
      <c r="D60" s="16" t="s">
        <v>23</v>
      </c>
      <c r="E60" s="16" t="s">
        <v>24</v>
      </c>
      <c r="F60" s="16" t="s">
        <v>23</v>
      </c>
      <c r="G60" s="16" t="s">
        <v>16</v>
      </c>
      <c r="H60" s="16" t="s">
        <v>17</v>
      </c>
      <c r="I60" s="16" t="s">
        <v>18</v>
      </c>
      <c r="J60" s="16">
        <v>2781</v>
      </c>
      <c r="K60" s="16">
        <v>1857</v>
      </c>
      <c r="L60" s="16">
        <v>30.228260869565201</v>
      </c>
      <c r="M60" s="16">
        <v>20.184782608695599</v>
      </c>
      <c r="N60" s="16">
        <v>66.774541531823004</v>
      </c>
    </row>
    <row r="61" spans="1:14" x14ac:dyDescent="0.35">
      <c r="A61" s="2">
        <v>12</v>
      </c>
      <c r="B61" s="16">
        <v>2020</v>
      </c>
      <c r="C61" s="16">
        <v>4</v>
      </c>
      <c r="D61" s="16" t="s">
        <v>23</v>
      </c>
      <c r="E61" s="16" t="s">
        <v>24</v>
      </c>
      <c r="F61" s="16" t="s">
        <v>23</v>
      </c>
      <c r="G61" s="16" t="s">
        <v>16</v>
      </c>
      <c r="H61" s="16" t="s">
        <v>17</v>
      </c>
      <c r="I61" s="16" t="s">
        <v>18</v>
      </c>
      <c r="J61" s="16">
        <v>3147</v>
      </c>
      <c r="K61" s="16">
        <v>2067</v>
      </c>
      <c r="L61" s="16">
        <v>34.206521739130402</v>
      </c>
      <c r="M61" s="16">
        <v>22.4673913043478</v>
      </c>
      <c r="N61" s="16">
        <v>65.681601525262096</v>
      </c>
    </row>
    <row r="62" spans="1:14" x14ac:dyDescent="0.35">
      <c r="A62" s="2">
        <v>13</v>
      </c>
      <c r="B62" s="16">
        <v>2021</v>
      </c>
      <c r="C62" s="16">
        <v>1</v>
      </c>
      <c r="D62" s="16" t="s">
        <v>23</v>
      </c>
      <c r="E62" s="16" t="s">
        <v>24</v>
      </c>
      <c r="F62" s="16" t="s">
        <v>23</v>
      </c>
      <c r="G62" s="16" t="s">
        <v>16</v>
      </c>
      <c r="H62" s="16" t="s">
        <v>17</v>
      </c>
      <c r="I62" s="16" t="s">
        <v>18</v>
      </c>
      <c r="J62" s="16">
        <v>3060</v>
      </c>
      <c r="K62" s="16">
        <v>2207</v>
      </c>
      <c r="L62" s="16">
        <v>34</v>
      </c>
      <c r="M62" s="16">
        <v>24.522222222222201</v>
      </c>
      <c r="N62" s="16">
        <v>72.124183006535901</v>
      </c>
    </row>
    <row r="63" spans="1:14" x14ac:dyDescent="0.35">
      <c r="A63" s="2">
        <v>14</v>
      </c>
      <c r="B63" s="16">
        <v>2021</v>
      </c>
      <c r="C63" s="16">
        <v>2</v>
      </c>
      <c r="D63" s="16" t="s">
        <v>23</v>
      </c>
      <c r="E63" s="16" t="s">
        <v>24</v>
      </c>
      <c r="F63" s="16" t="s">
        <v>23</v>
      </c>
      <c r="G63" s="16" t="s">
        <v>16</v>
      </c>
      <c r="H63" s="16" t="s">
        <v>17</v>
      </c>
      <c r="I63" s="16" t="s">
        <v>18</v>
      </c>
      <c r="J63" s="16">
        <v>3175</v>
      </c>
      <c r="K63" s="16">
        <v>2362</v>
      </c>
      <c r="L63" s="16">
        <v>34.890109890109798</v>
      </c>
      <c r="M63" s="16">
        <v>25.956043956043899</v>
      </c>
      <c r="N63" s="16">
        <v>74.393700787401499</v>
      </c>
    </row>
    <row r="64" spans="1:14" x14ac:dyDescent="0.35">
      <c r="A64" s="2">
        <v>15</v>
      </c>
      <c r="B64" s="16">
        <v>2021</v>
      </c>
      <c r="C64" s="16">
        <v>3</v>
      </c>
      <c r="D64" s="16" t="s">
        <v>23</v>
      </c>
      <c r="E64" s="16" t="s">
        <v>24</v>
      </c>
      <c r="F64" s="16" t="s">
        <v>23</v>
      </c>
      <c r="G64" s="16" t="s">
        <v>16</v>
      </c>
      <c r="H64" s="16" t="s">
        <v>17</v>
      </c>
      <c r="I64" s="16" t="s">
        <v>18</v>
      </c>
      <c r="J64" s="16">
        <v>3202</v>
      </c>
      <c r="K64" s="16">
        <v>2447</v>
      </c>
      <c r="L64" s="16">
        <v>34.804347826086897</v>
      </c>
      <c r="M64" s="16">
        <v>26.597826086956498</v>
      </c>
      <c r="N64" s="16">
        <v>76.420986883197997</v>
      </c>
    </row>
    <row r="65" spans="1:14" x14ac:dyDescent="0.35">
      <c r="A65" s="2">
        <v>16</v>
      </c>
      <c r="B65" s="16">
        <v>2021</v>
      </c>
      <c r="C65" s="16">
        <v>4</v>
      </c>
      <c r="D65" s="16" t="s">
        <v>23</v>
      </c>
      <c r="E65" s="16" t="s">
        <v>24</v>
      </c>
      <c r="F65" s="16" t="s">
        <v>23</v>
      </c>
      <c r="G65" s="16" t="s">
        <v>16</v>
      </c>
      <c r="H65" s="16" t="s">
        <v>17</v>
      </c>
      <c r="I65" s="16" t="s">
        <v>18</v>
      </c>
      <c r="J65" s="16">
        <v>3107</v>
      </c>
      <c r="K65" s="16">
        <v>2362</v>
      </c>
      <c r="L65" s="16">
        <v>33.771739130434703</v>
      </c>
      <c r="M65" s="16">
        <v>25.673913043478201</v>
      </c>
      <c r="N65" s="16">
        <v>76.021886063726996</v>
      </c>
    </row>
    <row r="66" spans="1:14" x14ac:dyDescent="0.35">
      <c r="A66" s="2">
        <v>1</v>
      </c>
      <c r="B66" s="16">
        <v>2018</v>
      </c>
      <c r="C66" s="16">
        <v>1</v>
      </c>
      <c r="D66" s="16" t="s">
        <v>25</v>
      </c>
      <c r="E66" s="16" t="s">
        <v>26</v>
      </c>
      <c r="F66" s="16" t="s">
        <v>25</v>
      </c>
      <c r="G66" s="16" t="s">
        <v>16</v>
      </c>
      <c r="H66" s="16" t="s">
        <v>17</v>
      </c>
      <c r="I66" s="16" t="s">
        <v>18</v>
      </c>
      <c r="J66" s="16">
        <v>7449</v>
      </c>
      <c r="K66" s="16">
        <v>6241</v>
      </c>
      <c r="L66" s="16">
        <v>82.766666666666595</v>
      </c>
      <c r="M66" s="16">
        <v>69.344444444444406</v>
      </c>
      <c r="N66" s="16">
        <v>83.783058128607806</v>
      </c>
    </row>
    <row r="67" spans="1:14" x14ac:dyDescent="0.35">
      <c r="A67" s="2">
        <v>2</v>
      </c>
      <c r="B67" s="16">
        <v>2018</v>
      </c>
      <c r="C67" s="16">
        <v>2</v>
      </c>
      <c r="D67" s="16" t="s">
        <v>25</v>
      </c>
      <c r="E67" s="16" t="s">
        <v>26</v>
      </c>
      <c r="F67" s="16" t="s">
        <v>25</v>
      </c>
      <c r="G67" s="16" t="s">
        <v>16</v>
      </c>
      <c r="H67" s="16" t="s">
        <v>17</v>
      </c>
      <c r="I67" s="16" t="s">
        <v>18</v>
      </c>
      <c r="J67" s="16">
        <v>7032</v>
      </c>
      <c r="K67" s="16">
        <v>5581</v>
      </c>
      <c r="L67" s="16">
        <v>77.274725274725199</v>
      </c>
      <c r="M67" s="16">
        <v>61.3296703296703</v>
      </c>
      <c r="N67" s="16">
        <v>79.365756541524405</v>
      </c>
    </row>
    <row r="68" spans="1:14" x14ac:dyDescent="0.35">
      <c r="A68" s="2">
        <v>3</v>
      </c>
      <c r="B68" s="16">
        <v>2018</v>
      </c>
      <c r="C68" s="16">
        <v>3</v>
      </c>
      <c r="D68" s="16" t="s">
        <v>25</v>
      </c>
      <c r="E68" s="16" t="s">
        <v>26</v>
      </c>
      <c r="F68" s="16" t="s">
        <v>25</v>
      </c>
      <c r="G68" s="16" t="s">
        <v>16</v>
      </c>
      <c r="H68" s="16" t="s">
        <v>17</v>
      </c>
      <c r="I68" s="16" t="s">
        <v>18</v>
      </c>
      <c r="J68" s="16">
        <v>7414</v>
      </c>
      <c r="K68" s="16">
        <v>5951</v>
      </c>
      <c r="L68" s="16">
        <v>80.586956521739097</v>
      </c>
      <c r="M68" s="16">
        <v>64.684782608695599</v>
      </c>
      <c r="N68" s="16">
        <v>80.267062314539999</v>
      </c>
    </row>
    <row r="69" spans="1:14" x14ac:dyDescent="0.35">
      <c r="A69" s="2">
        <v>4</v>
      </c>
      <c r="B69" s="16">
        <v>2018</v>
      </c>
      <c r="C69" s="16">
        <v>4</v>
      </c>
      <c r="D69" s="16" t="s">
        <v>25</v>
      </c>
      <c r="E69" s="16" t="s">
        <v>26</v>
      </c>
      <c r="F69" s="16" t="s">
        <v>25</v>
      </c>
      <c r="G69" s="16" t="s">
        <v>16</v>
      </c>
      <c r="H69" s="16" t="s">
        <v>17</v>
      </c>
      <c r="I69" s="16" t="s">
        <v>18</v>
      </c>
      <c r="J69" s="16">
        <v>8002</v>
      </c>
      <c r="K69" s="16">
        <v>6401</v>
      </c>
      <c r="L69" s="16">
        <v>86.978260869565204</v>
      </c>
      <c r="M69" s="16">
        <v>69.576086956521706</v>
      </c>
      <c r="N69" s="16">
        <v>79.9925018745313</v>
      </c>
    </row>
    <row r="70" spans="1:14" x14ac:dyDescent="0.35">
      <c r="A70" s="2">
        <v>5</v>
      </c>
      <c r="B70" s="16">
        <v>2019</v>
      </c>
      <c r="C70" s="16">
        <v>1</v>
      </c>
      <c r="D70" s="16" t="s">
        <v>25</v>
      </c>
      <c r="E70" s="16" t="s">
        <v>26</v>
      </c>
      <c r="F70" s="16" t="s">
        <v>25</v>
      </c>
      <c r="G70" s="16" t="s">
        <v>16</v>
      </c>
      <c r="H70" s="16" t="s">
        <v>17</v>
      </c>
      <c r="I70" s="16" t="s">
        <v>18</v>
      </c>
      <c r="J70" s="16">
        <v>7477</v>
      </c>
      <c r="K70" s="16">
        <v>6383</v>
      </c>
      <c r="L70" s="16">
        <v>83.077777777777698</v>
      </c>
      <c r="M70" s="16">
        <v>70.922222222222203</v>
      </c>
      <c r="N70" s="16">
        <v>85.368463287414698</v>
      </c>
    </row>
    <row r="71" spans="1:14" x14ac:dyDescent="0.35">
      <c r="A71" s="2">
        <v>6</v>
      </c>
      <c r="B71" s="16">
        <v>2019</v>
      </c>
      <c r="C71" s="16">
        <v>2</v>
      </c>
      <c r="D71" s="16" t="s">
        <v>25</v>
      </c>
      <c r="E71" s="16" t="s">
        <v>26</v>
      </c>
      <c r="F71" s="16" t="s">
        <v>25</v>
      </c>
      <c r="G71" s="16" t="s">
        <v>16</v>
      </c>
      <c r="H71" s="16" t="s">
        <v>17</v>
      </c>
      <c r="I71" s="16" t="s">
        <v>18</v>
      </c>
      <c r="J71" s="16">
        <v>7817</v>
      </c>
      <c r="K71" s="16">
        <v>6481</v>
      </c>
      <c r="L71" s="16">
        <v>85.901098901098905</v>
      </c>
      <c r="M71" s="16">
        <v>71.219780219780205</v>
      </c>
      <c r="N71" s="16">
        <v>82.909044390431106</v>
      </c>
    </row>
    <row r="72" spans="1:14" x14ac:dyDescent="0.35">
      <c r="A72" s="2">
        <v>7</v>
      </c>
      <c r="B72" s="16">
        <v>2019</v>
      </c>
      <c r="C72" s="16">
        <v>3</v>
      </c>
      <c r="D72" s="16" t="s">
        <v>25</v>
      </c>
      <c r="E72" s="16" t="s">
        <v>26</v>
      </c>
      <c r="F72" s="16" t="s">
        <v>25</v>
      </c>
      <c r="G72" s="16" t="s">
        <v>16</v>
      </c>
      <c r="H72" s="16" t="s">
        <v>17</v>
      </c>
      <c r="I72" s="16" t="s">
        <v>18</v>
      </c>
      <c r="J72" s="16">
        <v>7600</v>
      </c>
      <c r="K72" s="16">
        <v>6409</v>
      </c>
      <c r="L72" s="16">
        <v>82.608695652173907</v>
      </c>
      <c r="M72" s="16">
        <v>69.663043478260803</v>
      </c>
      <c r="N72" s="16">
        <v>84.328947368420998</v>
      </c>
    </row>
    <row r="73" spans="1:14" x14ac:dyDescent="0.35">
      <c r="A73" s="2">
        <v>8</v>
      </c>
      <c r="B73" s="16">
        <v>2019</v>
      </c>
      <c r="C73" s="16">
        <v>4</v>
      </c>
      <c r="D73" s="16" t="s">
        <v>25</v>
      </c>
      <c r="E73" s="16" t="s">
        <v>26</v>
      </c>
      <c r="F73" s="16" t="s">
        <v>25</v>
      </c>
      <c r="G73" s="16" t="s">
        <v>16</v>
      </c>
      <c r="H73" s="16" t="s">
        <v>17</v>
      </c>
      <c r="I73" s="16" t="s">
        <v>18</v>
      </c>
      <c r="J73" s="16">
        <v>8021</v>
      </c>
      <c r="K73" s="16">
        <v>6781</v>
      </c>
      <c r="L73" s="16">
        <v>87.184782608695599</v>
      </c>
      <c r="M73" s="16">
        <v>73.706521739130395</v>
      </c>
      <c r="N73" s="16">
        <v>84.540580974940696</v>
      </c>
    </row>
    <row r="74" spans="1:14" x14ac:dyDescent="0.35">
      <c r="A74" s="2">
        <v>9</v>
      </c>
      <c r="B74" s="16">
        <v>2020</v>
      </c>
      <c r="C74" s="16">
        <v>1</v>
      </c>
      <c r="D74" s="16" t="s">
        <v>25</v>
      </c>
      <c r="E74" s="16" t="s">
        <v>26</v>
      </c>
      <c r="F74" s="16" t="s">
        <v>25</v>
      </c>
      <c r="G74" s="16" t="s">
        <v>16</v>
      </c>
      <c r="H74" s="16" t="s">
        <v>17</v>
      </c>
      <c r="I74" s="16" t="s">
        <v>18</v>
      </c>
      <c r="J74" s="16">
        <v>8069</v>
      </c>
      <c r="K74" s="16">
        <v>6777</v>
      </c>
      <c r="L74" s="16">
        <v>88.670329670329593</v>
      </c>
      <c r="M74" s="16">
        <v>74.472527472527403</v>
      </c>
      <c r="N74" s="16">
        <v>83.988102614946101</v>
      </c>
    </row>
    <row r="75" spans="1:14" x14ac:dyDescent="0.35">
      <c r="A75" s="2">
        <v>10</v>
      </c>
      <c r="B75" s="16">
        <v>2020</v>
      </c>
      <c r="C75" s="16">
        <v>2</v>
      </c>
      <c r="D75" s="16" t="s">
        <v>25</v>
      </c>
      <c r="E75" s="16" t="s">
        <v>26</v>
      </c>
      <c r="F75" s="16" t="s">
        <v>25</v>
      </c>
      <c r="G75" s="16" t="s">
        <v>16</v>
      </c>
      <c r="H75" s="16" t="s">
        <v>17</v>
      </c>
      <c r="I75" s="16" t="s">
        <v>18</v>
      </c>
      <c r="J75" s="16">
        <v>8280</v>
      </c>
      <c r="K75" s="16">
        <v>4281</v>
      </c>
      <c r="L75" s="16">
        <v>90.989010989011007</v>
      </c>
      <c r="M75" s="16">
        <v>47.043956043956001</v>
      </c>
      <c r="N75" s="16">
        <v>51.702898550724598</v>
      </c>
    </row>
    <row r="76" spans="1:14" x14ac:dyDescent="0.35">
      <c r="A76" s="2">
        <v>11</v>
      </c>
      <c r="B76" s="16">
        <v>2020</v>
      </c>
      <c r="C76" s="16">
        <v>3</v>
      </c>
      <c r="D76" s="16" t="s">
        <v>25</v>
      </c>
      <c r="E76" s="16" t="s">
        <v>26</v>
      </c>
      <c r="F76" s="16" t="s">
        <v>25</v>
      </c>
      <c r="G76" s="16" t="s">
        <v>16</v>
      </c>
      <c r="H76" s="16" t="s">
        <v>17</v>
      </c>
      <c r="I76" s="16" t="s">
        <v>18</v>
      </c>
      <c r="J76" s="16">
        <v>7735</v>
      </c>
      <c r="K76" s="16">
        <v>5313</v>
      </c>
      <c r="L76" s="16">
        <v>84.076086956521706</v>
      </c>
      <c r="M76" s="16">
        <v>57.75</v>
      </c>
      <c r="N76" s="16">
        <v>68.687782805429805</v>
      </c>
    </row>
    <row r="77" spans="1:14" x14ac:dyDescent="0.35">
      <c r="A77" s="2">
        <v>12</v>
      </c>
      <c r="B77" s="16">
        <v>2020</v>
      </c>
      <c r="C77" s="16">
        <v>4</v>
      </c>
      <c r="D77" s="16" t="s">
        <v>25</v>
      </c>
      <c r="E77" s="16" t="s">
        <v>26</v>
      </c>
      <c r="F77" s="16" t="s">
        <v>25</v>
      </c>
      <c r="G77" s="16" t="s">
        <v>16</v>
      </c>
      <c r="H77" s="16" t="s">
        <v>17</v>
      </c>
      <c r="I77" s="16" t="s">
        <v>18</v>
      </c>
      <c r="J77" s="16">
        <v>7311</v>
      </c>
      <c r="K77" s="16">
        <v>5309</v>
      </c>
      <c r="L77" s="16">
        <v>79.4673913043478</v>
      </c>
      <c r="M77" s="16">
        <v>57.706521739130402</v>
      </c>
      <c r="N77" s="16">
        <v>72.616605115579205</v>
      </c>
    </row>
    <row r="78" spans="1:14" x14ac:dyDescent="0.35">
      <c r="A78" s="2">
        <v>13</v>
      </c>
      <c r="B78" s="16">
        <v>2021</v>
      </c>
      <c r="C78" s="16">
        <v>1</v>
      </c>
      <c r="D78" s="16" t="s">
        <v>25</v>
      </c>
      <c r="E78" s="16" t="s">
        <v>26</v>
      </c>
      <c r="F78" s="16" t="s">
        <v>25</v>
      </c>
      <c r="G78" s="16" t="s">
        <v>16</v>
      </c>
      <c r="H78" s="16" t="s">
        <v>17</v>
      </c>
      <c r="I78" s="16" t="s">
        <v>18</v>
      </c>
      <c r="J78" s="16">
        <v>7700</v>
      </c>
      <c r="K78" s="16">
        <v>5560</v>
      </c>
      <c r="L78" s="16">
        <v>85.5555555555555</v>
      </c>
      <c r="M78" s="16">
        <v>61.7777777777777</v>
      </c>
      <c r="N78" s="16">
        <v>72.207792207792195</v>
      </c>
    </row>
    <row r="79" spans="1:14" x14ac:dyDescent="0.35">
      <c r="A79" s="2">
        <v>14</v>
      </c>
      <c r="B79" s="16">
        <v>2021</v>
      </c>
      <c r="C79" s="16">
        <v>2</v>
      </c>
      <c r="D79" s="16" t="s">
        <v>25</v>
      </c>
      <c r="E79" s="16" t="s">
        <v>26</v>
      </c>
      <c r="F79" s="16" t="s">
        <v>25</v>
      </c>
      <c r="G79" s="16" t="s">
        <v>16</v>
      </c>
      <c r="H79" s="16" t="s">
        <v>17</v>
      </c>
      <c r="I79" s="16" t="s">
        <v>18</v>
      </c>
      <c r="J79" s="16">
        <v>7578</v>
      </c>
      <c r="K79" s="16">
        <v>5997</v>
      </c>
      <c r="L79" s="16">
        <v>83.274725274725199</v>
      </c>
      <c r="M79" s="16">
        <v>65.901098901098905</v>
      </c>
      <c r="N79" s="16">
        <v>79.136975455265201</v>
      </c>
    </row>
    <row r="80" spans="1:14" x14ac:dyDescent="0.35">
      <c r="A80" s="2">
        <v>15</v>
      </c>
      <c r="B80" s="16">
        <v>2021</v>
      </c>
      <c r="C80" s="16">
        <v>3</v>
      </c>
      <c r="D80" s="16" t="s">
        <v>25</v>
      </c>
      <c r="E80" s="16" t="s">
        <v>26</v>
      </c>
      <c r="F80" s="16" t="s">
        <v>25</v>
      </c>
      <c r="G80" s="16" t="s">
        <v>16</v>
      </c>
      <c r="H80" s="16" t="s">
        <v>17</v>
      </c>
      <c r="I80" s="16" t="s">
        <v>18</v>
      </c>
      <c r="J80" s="16">
        <v>7567</v>
      </c>
      <c r="K80" s="16">
        <v>6266</v>
      </c>
      <c r="L80" s="16">
        <v>82.25</v>
      </c>
      <c r="M80" s="16">
        <v>68.108695652173907</v>
      </c>
      <c r="N80" s="16">
        <v>82.806924805074601</v>
      </c>
    </row>
    <row r="81" spans="1:14" x14ac:dyDescent="0.35">
      <c r="A81" s="2">
        <v>16</v>
      </c>
      <c r="B81" s="16">
        <v>2021</v>
      </c>
      <c r="C81" s="16">
        <v>4</v>
      </c>
      <c r="D81" s="16" t="s">
        <v>25</v>
      </c>
      <c r="E81" s="16" t="s">
        <v>26</v>
      </c>
      <c r="F81" s="16" t="s">
        <v>25</v>
      </c>
      <c r="G81" s="16" t="s">
        <v>16</v>
      </c>
      <c r="H81" s="16" t="s">
        <v>17</v>
      </c>
      <c r="I81" s="16" t="s">
        <v>18</v>
      </c>
      <c r="J81" s="16">
        <v>6769</v>
      </c>
      <c r="K81" s="16">
        <v>5837</v>
      </c>
      <c r="L81" s="16">
        <v>73.576086956521706</v>
      </c>
      <c r="M81" s="16">
        <v>63.445652173912997</v>
      </c>
      <c r="N81" s="16">
        <v>86.231348795981603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7177-0CA9-4E5A-864D-E3CBAC905FBF}">
  <dimension ref="A4:E15"/>
  <sheetViews>
    <sheetView topLeftCell="A2" workbookViewId="0">
      <selection activeCell="C20" sqref="C20"/>
    </sheetView>
  </sheetViews>
  <sheetFormatPr defaultRowHeight="14.5" x14ac:dyDescent="0.35"/>
  <cols>
    <col min="1" max="1" width="13.26953125" bestFit="1" customWidth="1"/>
    <col min="2" max="2" width="13.54296875" customWidth="1"/>
    <col min="3" max="3" width="29" customWidth="1"/>
  </cols>
  <sheetData>
    <row r="4" spans="1:5" x14ac:dyDescent="0.35">
      <c r="C4" t="s">
        <v>78</v>
      </c>
    </row>
    <row r="5" spans="1:5" x14ac:dyDescent="0.35">
      <c r="A5" t="s">
        <v>79</v>
      </c>
      <c r="B5" t="s">
        <v>80</v>
      </c>
    </row>
    <row r="6" spans="1:5" x14ac:dyDescent="0.35">
      <c r="C6" s="32" t="s">
        <v>72</v>
      </c>
      <c r="D6" s="33" t="s">
        <v>58</v>
      </c>
    </row>
    <row r="7" spans="1:5" x14ac:dyDescent="0.35">
      <c r="A7" t="s">
        <v>81</v>
      </c>
      <c r="B7" s="31" t="s">
        <v>20</v>
      </c>
      <c r="C7" s="34" t="s">
        <v>73</v>
      </c>
      <c r="D7" s="35">
        <v>66.56</v>
      </c>
    </row>
    <row r="8" spans="1:5" x14ac:dyDescent="0.35">
      <c r="A8" t="s">
        <v>81</v>
      </c>
      <c r="B8" s="31" t="s">
        <v>20</v>
      </c>
      <c r="C8" s="36" t="s">
        <v>74</v>
      </c>
      <c r="D8" s="36">
        <v>61.3</v>
      </c>
    </row>
    <row r="9" spans="1:5" x14ac:dyDescent="0.35">
      <c r="A9" t="s">
        <v>81</v>
      </c>
      <c r="B9" s="31" t="s">
        <v>20</v>
      </c>
      <c r="C9" s="37" t="s">
        <v>76</v>
      </c>
      <c r="D9" s="37">
        <v>54.33</v>
      </c>
      <c r="E9" t="s">
        <v>75</v>
      </c>
    </row>
    <row r="10" spans="1:5" x14ac:dyDescent="0.35">
      <c r="A10" t="s">
        <v>81</v>
      </c>
      <c r="B10" s="31" t="s">
        <v>15</v>
      </c>
      <c r="C10" s="34" t="s">
        <v>73</v>
      </c>
      <c r="D10" s="34">
        <v>163.22999999999999</v>
      </c>
    </row>
    <row r="11" spans="1:5" x14ac:dyDescent="0.35">
      <c r="A11" t="s">
        <v>81</v>
      </c>
      <c r="B11" s="31" t="s">
        <v>15</v>
      </c>
      <c r="C11" s="37" t="s">
        <v>74</v>
      </c>
      <c r="D11" s="37">
        <v>126.17</v>
      </c>
      <c r="E11" t="s">
        <v>75</v>
      </c>
    </row>
    <row r="12" spans="1:5" x14ac:dyDescent="0.35">
      <c r="A12" t="s">
        <v>81</v>
      </c>
      <c r="B12" s="31" t="s">
        <v>15</v>
      </c>
      <c r="C12" s="36" t="s">
        <v>76</v>
      </c>
      <c r="D12" s="36">
        <v>213.44</v>
      </c>
    </row>
    <row r="13" spans="1:5" x14ac:dyDescent="0.35">
      <c r="A13" t="s">
        <v>81</v>
      </c>
      <c r="B13" s="31" t="s">
        <v>22</v>
      </c>
      <c r="C13" s="34" t="s">
        <v>73</v>
      </c>
      <c r="D13" s="34">
        <v>0</v>
      </c>
    </row>
    <row r="14" spans="1:5" x14ac:dyDescent="0.35">
      <c r="A14" t="s">
        <v>81</v>
      </c>
      <c r="B14" s="31" t="s">
        <v>22</v>
      </c>
      <c r="C14" s="34" t="s">
        <v>74</v>
      </c>
      <c r="D14" s="34">
        <v>0</v>
      </c>
    </row>
    <row r="15" spans="1:5" x14ac:dyDescent="0.35">
      <c r="A15" t="s">
        <v>81</v>
      </c>
      <c r="B15" s="31" t="s">
        <v>22</v>
      </c>
      <c r="C15" s="36" t="s">
        <v>76</v>
      </c>
      <c r="D15" s="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9D92-08B2-4D98-B902-53309B7FA3BD}">
  <dimension ref="A1:N17"/>
  <sheetViews>
    <sheetView topLeftCell="A13" workbookViewId="0">
      <selection activeCell="T9" sqref="T9"/>
    </sheetView>
  </sheetViews>
  <sheetFormatPr defaultRowHeight="14.5" x14ac:dyDescent="0.35"/>
  <cols>
    <col min="5" max="5" width="13.54296875" customWidth="1"/>
    <col min="6" max="13" width="0" hidden="1" customWidth="1"/>
    <col min="14" max="14" width="20" customWidth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>
        <v>1</v>
      </c>
      <c r="B2" s="4">
        <v>2018</v>
      </c>
      <c r="C2" s="4">
        <v>1</v>
      </c>
      <c r="D2" s="4" t="s">
        <v>14</v>
      </c>
      <c r="E2" s="4" t="s">
        <v>15</v>
      </c>
      <c r="F2" s="4" t="s">
        <v>14</v>
      </c>
      <c r="G2" s="4" t="s">
        <v>16</v>
      </c>
      <c r="H2" s="4" t="s">
        <v>17</v>
      </c>
      <c r="I2" s="4" t="s">
        <v>18</v>
      </c>
      <c r="J2" s="4">
        <v>1792</v>
      </c>
      <c r="K2" s="4">
        <v>1538</v>
      </c>
      <c r="L2" s="4">
        <v>19.911111111111101</v>
      </c>
      <c r="M2" s="4">
        <v>17.0888888888888</v>
      </c>
      <c r="N2" s="4">
        <v>85.825892857142804</v>
      </c>
    </row>
    <row r="3" spans="1:14" x14ac:dyDescent="0.35">
      <c r="A3" s="2">
        <v>2</v>
      </c>
      <c r="B3" s="4">
        <v>2018</v>
      </c>
      <c r="C3" s="4">
        <v>2</v>
      </c>
      <c r="D3" s="4" t="s">
        <v>14</v>
      </c>
      <c r="E3" s="4" t="s">
        <v>15</v>
      </c>
      <c r="F3" s="4" t="s">
        <v>14</v>
      </c>
      <c r="G3" s="4" t="s">
        <v>16</v>
      </c>
      <c r="H3" s="4" t="s">
        <v>17</v>
      </c>
      <c r="I3" s="4" t="s">
        <v>18</v>
      </c>
      <c r="J3" s="4">
        <v>1329</v>
      </c>
      <c r="K3" s="4">
        <v>1064</v>
      </c>
      <c r="L3" s="4">
        <v>14.6043956043956</v>
      </c>
      <c r="M3" s="4">
        <v>11.692307692307599</v>
      </c>
      <c r="N3" s="4">
        <v>80.060195635816399</v>
      </c>
    </row>
    <row r="4" spans="1:14" x14ac:dyDescent="0.35">
      <c r="A4" s="2">
        <v>3</v>
      </c>
      <c r="B4" s="4">
        <v>2018</v>
      </c>
      <c r="C4" s="4">
        <v>3</v>
      </c>
      <c r="D4" s="4" t="s">
        <v>14</v>
      </c>
      <c r="E4" s="4" t="s">
        <v>15</v>
      </c>
      <c r="F4" s="4" t="s">
        <v>14</v>
      </c>
      <c r="G4" s="4" t="s">
        <v>16</v>
      </c>
      <c r="H4" s="4" t="s">
        <v>17</v>
      </c>
      <c r="I4" s="4" t="s">
        <v>18</v>
      </c>
      <c r="J4" s="4">
        <v>1492</v>
      </c>
      <c r="K4" s="4">
        <v>1154</v>
      </c>
      <c r="L4" s="4">
        <v>16.2173913043478</v>
      </c>
      <c r="M4" s="4">
        <v>12.543478260869501</v>
      </c>
      <c r="N4" s="4">
        <v>77.3458445040214</v>
      </c>
    </row>
    <row r="5" spans="1:14" x14ac:dyDescent="0.35">
      <c r="A5" s="2">
        <v>4</v>
      </c>
      <c r="B5" s="4">
        <v>2018</v>
      </c>
      <c r="C5" s="4">
        <v>4</v>
      </c>
      <c r="D5" s="4" t="s">
        <v>14</v>
      </c>
      <c r="E5" s="4" t="s">
        <v>15</v>
      </c>
      <c r="F5" s="4" t="s">
        <v>14</v>
      </c>
      <c r="G5" s="4" t="s">
        <v>16</v>
      </c>
      <c r="H5" s="4" t="s">
        <v>17</v>
      </c>
      <c r="I5" s="4" t="s">
        <v>18</v>
      </c>
      <c r="J5" s="4">
        <v>1543</v>
      </c>
      <c r="K5" s="4">
        <v>1225</v>
      </c>
      <c r="L5" s="4">
        <v>16.7717391304347</v>
      </c>
      <c r="M5" s="4">
        <v>13.3152173913043</v>
      </c>
      <c r="N5" s="4">
        <v>79.390797148412105</v>
      </c>
    </row>
    <row r="6" spans="1:14" x14ac:dyDescent="0.35">
      <c r="A6" s="2">
        <v>5</v>
      </c>
      <c r="B6" s="4">
        <v>2019</v>
      </c>
      <c r="C6" s="4">
        <v>1</v>
      </c>
      <c r="D6" s="4" t="s">
        <v>14</v>
      </c>
      <c r="E6" s="4" t="s">
        <v>15</v>
      </c>
      <c r="F6" s="4" t="s">
        <v>14</v>
      </c>
      <c r="G6" s="4" t="s">
        <v>16</v>
      </c>
      <c r="H6" s="4" t="s">
        <v>17</v>
      </c>
      <c r="I6" s="4" t="s">
        <v>18</v>
      </c>
      <c r="J6" s="4">
        <v>1609</v>
      </c>
      <c r="K6" s="4">
        <v>1370</v>
      </c>
      <c r="L6" s="4">
        <v>17.877777777777698</v>
      </c>
      <c r="M6" s="4">
        <v>15.2222222222222</v>
      </c>
      <c r="N6" s="4">
        <v>85.146053449347406</v>
      </c>
    </row>
    <row r="7" spans="1:14" x14ac:dyDescent="0.35">
      <c r="A7" s="2">
        <v>6</v>
      </c>
      <c r="B7" s="4">
        <v>2019</v>
      </c>
      <c r="C7" s="4">
        <v>2</v>
      </c>
      <c r="D7" s="4" t="s">
        <v>14</v>
      </c>
      <c r="E7" s="4" t="s">
        <v>15</v>
      </c>
      <c r="F7" s="4" t="s">
        <v>14</v>
      </c>
      <c r="G7" s="4" t="s">
        <v>16</v>
      </c>
      <c r="H7" s="4" t="s">
        <v>17</v>
      </c>
      <c r="I7" s="4" t="s">
        <v>18</v>
      </c>
      <c r="J7" s="4">
        <v>1787</v>
      </c>
      <c r="K7" s="4">
        <v>1532</v>
      </c>
      <c r="L7" s="4">
        <v>19.6373626373626</v>
      </c>
      <c r="M7" s="4">
        <v>16.8351648351648</v>
      </c>
      <c r="N7" s="4">
        <v>85.730274202574094</v>
      </c>
    </row>
    <row r="8" spans="1:14" x14ac:dyDescent="0.35">
      <c r="A8" s="2">
        <v>7</v>
      </c>
      <c r="B8" s="4">
        <v>2019</v>
      </c>
      <c r="C8" s="4">
        <v>3</v>
      </c>
      <c r="D8" s="4" t="s">
        <v>14</v>
      </c>
      <c r="E8" s="4" t="s">
        <v>15</v>
      </c>
      <c r="F8" s="4" t="s">
        <v>14</v>
      </c>
      <c r="G8" s="4" t="s">
        <v>16</v>
      </c>
      <c r="H8" s="4" t="s">
        <v>17</v>
      </c>
      <c r="I8" s="4" t="s">
        <v>18</v>
      </c>
      <c r="J8" s="4">
        <v>1465</v>
      </c>
      <c r="K8" s="4">
        <v>1270</v>
      </c>
      <c r="L8" s="4">
        <v>15.923913043478199</v>
      </c>
      <c r="M8" s="4">
        <v>13.8043478260869</v>
      </c>
      <c r="N8" s="4">
        <v>86.689419795221795</v>
      </c>
    </row>
    <row r="9" spans="1:14" x14ac:dyDescent="0.35">
      <c r="A9" s="2">
        <v>8</v>
      </c>
      <c r="B9" s="4">
        <v>2019</v>
      </c>
      <c r="C9" s="4">
        <v>4</v>
      </c>
      <c r="D9" s="4" t="s">
        <v>14</v>
      </c>
      <c r="E9" s="4" t="s">
        <v>15</v>
      </c>
      <c r="F9" s="4" t="s">
        <v>14</v>
      </c>
      <c r="G9" s="4" t="s">
        <v>16</v>
      </c>
      <c r="H9" s="4" t="s">
        <v>17</v>
      </c>
      <c r="I9" s="4" t="s">
        <v>18</v>
      </c>
      <c r="J9" s="4">
        <v>1510</v>
      </c>
      <c r="K9" s="4">
        <v>1299</v>
      </c>
      <c r="L9" s="4">
        <v>16.4130434782608</v>
      </c>
      <c r="M9" s="4">
        <v>14.119565217391299</v>
      </c>
      <c r="N9" s="4">
        <v>86.026490066225094</v>
      </c>
    </row>
    <row r="10" spans="1:14" x14ac:dyDescent="0.35">
      <c r="A10" s="2">
        <v>9</v>
      </c>
      <c r="B10" s="4">
        <v>2020</v>
      </c>
      <c r="C10" s="4">
        <v>1</v>
      </c>
      <c r="D10" s="4" t="s">
        <v>14</v>
      </c>
      <c r="E10" s="4" t="s">
        <v>15</v>
      </c>
      <c r="F10" s="4" t="s">
        <v>14</v>
      </c>
      <c r="G10" s="4" t="s">
        <v>16</v>
      </c>
      <c r="H10" s="4" t="s">
        <v>17</v>
      </c>
      <c r="I10" s="4" t="s">
        <v>18</v>
      </c>
      <c r="J10" s="4">
        <v>1862</v>
      </c>
      <c r="K10" s="4">
        <v>1501</v>
      </c>
      <c r="L10" s="4">
        <v>20.4615384615384</v>
      </c>
      <c r="M10" s="4">
        <v>16.4945054945054</v>
      </c>
      <c r="N10" s="4">
        <v>80.612244897959101</v>
      </c>
    </row>
    <row r="11" spans="1:14" x14ac:dyDescent="0.35">
      <c r="A11" s="2">
        <v>10</v>
      </c>
      <c r="B11" s="4">
        <v>2020</v>
      </c>
      <c r="C11" s="4">
        <v>2</v>
      </c>
      <c r="D11" s="4" t="s">
        <v>14</v>
      </c>
      <c r="E11" s="4" t="s">
        <v>15</v>
      </c>
      <c r="F11" s="4" t="s">
        <v>14</v>
      </c>
      <c r="G11" s="4" t="s">
        <v>16</v>
      </c>
      <c r="H11" s="4" t="s">
        <v>17</v>
      </c>
      <c r="I11" s="4" t="s">
        <v>18</v>
      </c>
      <c r="J11" s="4">
        <v>2032</v>
      </c>
      <c r="K11" s="4">
        <v>812</v>
      </c>
      <c r="L11" s="4">
        <v>22.3296703296703</v>
      </c>
      <c r="M11" s="4">
        <v>8.9230769230769198</v>
      </c>
      <c r="N11" s="4">
        <v>39.960629921259802</v>
      </c>
    </row>
    <row r="12" spans="1:14" x14ac:dyDescent="0.35">
      <c r="A12" s="2">
        <v>11</v>
      </c>
      <c r="B12" s="4">
        <v>2020</v>
      </c>
      <c r="C12" s="4">
        <v>3</v>
      </c>
      <c r="D12" s="4" t="s">
        <v>14</v>
      </c>
      <c r="E12" s="4" t="s">
        <v>15</v>
      </c>
      <c r="F12" s="4" t="s">
        <v>14</v>
      </c>
      <c r="G12" s="4" t="s">
        <v>16</v>
      </c>
      <c r="H12" s="4" t="s">
        <v>17</v>
      </c>
      <c r="I12" s="4" t="s">
        <v>18</v>
      </c>
      <c r="J12" s="4">
        <v>1660</v>
      </c>
      <c r="K12" s="4">
        <v>1043</v>
      </c>
      <c r="L12" s="4">
        <v>18.043478260869499</v>
      </c>
      <c r="M12" s="4">
        <v>11.336956521739101</v>
      </c>
      <c r="N12" s="4">
        <v>62.831325301204799</v>
      </c>
    </row>
    <row r="13" spans="1:14" x14ac:dyDescent="0.35">
      <c r="A13" s="2">
        <v>12</v>
      </c>
      <c r="B13" s="4">
        <v>2020</v>
      </c>
      <c r="C13" s="4">
        <v>4</v>
      </c>
      <c r="D13" s="4" t="s">
        <v>14</v>
      </c>
      <c r="E13" s="4" t="s">
        <v>15</v>
      </c>
      <c r="F13" s="4" t="s">
        <v>14</v>
      </c>
      <c r="G13" s="4" t="s">
        <v>16</v>
      </c>
      <c r="H13" s="4" t="s">
        <v>17</v>
      </c>
      <c r="I13" s="4" t="s">
        <v>18</v>
      </c>
      <c r="J13" s="4">
        <v>1379</v>
      </c>
      <c r="K13" s="4">
        <v>978</v>
      </c>
      <c r="L13" s="4">
        <v>14.9891304347826</v>
      </c>
      <c r="M13" s="4">
        <v>10.630434782608599</v>
      </c>
      <c r="N13" s="4">
        <v>70.920957215373406</v>
      </c>
    </row>
    <row r="14" spans="1:14" x14ac:dyDescent="0.35">
      <c r="A14" s="2">
        <v>13</v>
      </c>
      <c r="B14" s="4">
        <v>2021</v>
      </c>
      <c r="C14" s="4">
        <v>1</v>
      </c>
      <c r="D14" s="4" t="s">
        <v>14</v>
      </c>
      <c r="E14" s="4" t="s">
        <v>15</v>
      </c>
      <c r="F14" s="4" t="s">
        <v>14</v>
      </c>
      <c r="G14" s="4" t="s">
        <v>16</v>
      </c>
      <c r="H14" s="4" t="s">
        <v>17</v>
      </c>
      <c r="I14" s="4" t="s">
        <v>18</v>
      </c>
      <c r="J14" s="4">
        <v>1791</v>
      </c>
      <c r="K14" s="4">
        <v>838</v>
      </c>
      <c r="L14" s="4">
        <v>19.899999999999999</v>
      </c>
      <c r="M14" s="4">
        <v>9.31111111111111</v>
      </c>
      <c r="N14" s="4">
        <v>46.789503070910101</v>
      </c>
    </row>
    <row r="15" spans="1:14" x14ac:dyDescent="0.35">
      <c r="A15" s="2">
        <v>14</v>
      </c>
      <c r="B15" s="4">
        <v>2021</v>
      </c>
      <c r="C15" s="4">
        <v>2</v>
      </c>
      <c r="D15" s="4" t="s">
        <v>14</v>
      </c>
      <c r="E15" s="4" t="s">
        <v>15</v>
      </c>
      <c r="F15" s="4" t="s">
        <v>14</v>
      </c>
      <c r="G15" s="4" t="s">
        <v>16</v>
      </c>
      <c r="H15" s="4" t="s">
        <v>17</v>
      </c>
      <c r="I15" s="4" t="s">
        <v>18</v>
      </c>
      <c r="J15" s="4">
        <v>1760</v>
      </c>
      <c r="K15" s="4">
        <v>1118</v>
      </c>
      <c r="L15" s="4">
        <v>19.3406593406593</v>
      </c>
      <c r="M15" s="4">
        <v>12.285714285714199</v>
      </c>
      <c r="N15" s="4">
        <v>63.522727272727202</v>
      </c>
    </row>
    <row r="16" spans="1:14" x14ac:dyDescent="0.35">
      <c r="A16" s="2">
        <v>15</v>
      </c>
      <c r="B16" s="4">
        <v>2021</v>
      </c>
      <c r="C16" s="4">
        <v>3</v>
      </c>
      <c r="D16" s="4" t="s">
        <v>14</v>
      </c>
      <c r="E16" s="4" t="s">
        <v>15</v>
      </c>
      <c r="F16" s="4" t="s">
        <v>14</v>
      </c>
      <c r="G16" s="4" t="s">
        <v>16</v>
      </c>
      <c r="H16" s="4" t="s">
        <v>17</v>
      </c>
      <c r="I16" s="4" t="s">
        <v>18</v>
      </c>
      <c r="J16" s="4">
        <v>1360</v>
      </c>
      <c r="K16" s="4">
        <v>923</v>
      </c>
      <c r="L16" s="4">
        <v>14.782608695652099</v>
      </c>
      <c r="M16" s="4">
        <v>10.032608695652099</v>
      </c>
      <c r="N16" s="4">
        <v>67.867647058823493</v>
      </c>
    </row>
    <row r="17" spans="1:14" x14ac:dyDescent="0.35">
      <c r="A17" s="2">
        <v>16</v>
      </c>
      <c r="B17" s="4">
        <v>2021</v>
      </c>
      <c r="C17" s="4">
        <v>4</v>
      </c>
      <c r="D17" s="4" t="s">
        <v>14</v>
      </c>
      <c r="E17" s="4" t="s">
        <v>15</v>
      </c>
      <c r="F17" s="4" t="s">
        <v>14</v>
      </c>
      <c r="G17" s="4" t="s">
        <v>16</v>
      </c>
      <c r="H17" s="4" t="s">
        <v>17</v>
      </c>
      <c r="I17" s="4" t="s">
        <v>18</v>
      </c>
      <c r="J17" s="4">
        <v>1191</v>
      </c>
      <c r="K17" s="4">
        <v>1059</v>
      </c>
      <c r="L17" s="4">
        <v>12.945652173913</v>
      </c>
      <c r="M17" s="4">
        <v>11.5108695652173</v>
      </c>
      <c r="N17" s="4">
        <v>88.916876574307295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45AB-630B-4BD1-A05A-AF133812E0B2}">
  <dimension ref="A1:N17"/>
  <sheetViews>
    <sheetView workbookViewId="0">
      <selection activeCell="B2" sqref="B2:N17"/>
    </sheetView>
  </sheetViews>
  <sheetFormatPr defaultRowHeight="14.5" x14ac:dyDescent="0.35"/>
  <cols>
    <col min="6" max="13" width="0" hidden="1" customWidth="1"/>
    <col min="14" max="14" width="20" customWidth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>
        <v>1</v>
      </c>
      <c r="B2" s="16">
        <v>2018</v>
      </c>
      <c r="C2" s="16">
        <v>1</v>
      </c>
      <c r="D2" s="16" t="s">
        <v>19</v>
      </c>
      <c r="E2" s="16" t="s">
        <v>20</v>
      </c>
      <c r="F2" s="16" t="s">
        <v>19</v>
      </c>
      <c r="G2" s="16" t="s">
        <v>16</v>
      </c>
      <c r="H2" s="16" t="s">
        <v>17</v>
      </c>
      <c r="I2" s="16" t="s">
        <v>18</v>
      </c>
      <c r="J2" s="16">
        <v>1957</v>
      </c>
      <c r="K2" s="16">
        <v>1889</v>
      </c>
      <c r="L2" s="16">
        <v>21.744444444444401</v>
      </c>
      <c r="M2" s="16">
        <v>20.988888888888798</v>
      </c>
      <c r="N2" s="16">
        <v>96.525293817066895</v>
      </c>
    </row>
    <row r="3" spans="1:14" x14ac:dyDescent="0.35">
      <c r="A3" s="2">
        <v>2</v>
      </c>
      <c r="B3" s="16">
        <v>2018</v>
      </c>
      <c r="C3" s="16">
        <v>2</v>
      </c>
      <c r="D3" s="16" t="s">
        <v>19</v>
      </c>
      <c r="E3" s="16" t="s">
        <v>20</v>
      </c>
      <c r="F3" s="16" t="s">
        <v>19</v>
      </c>
      <c r="G3" s="16" t="s">
        <v>16</v>
      </c>
      <c r="H3" s="16" t="s">
        <v>17</v>
      </c>
      <c r="I3" s="16" t="s">
        <v>18</v>
      </c>
      <c r="J3" s="16">
        <v>2080</v>
      </c>
      <c r="K3" s="16">
        <v>1967</v>
      </c>
      <c r="L3" s="16">
        <v>22.857142857142801</v>
      </c>
      <c r="M3" s="16">
        <v>21.615384615384599</v>
      </c>
      <c r="N3" s="16">
        <v>94.567307692307693</v>
      </c>
    </row>
    <row r="4" spans="1:14" x14ac:dyDescent="0.35">
      <c r="A4" s="2">
        <v>3</v>
      </c>
      <c r="B4" s="16">
        <v>2018</v>
      </c>
      <c r="C4" s="16">
        <v>3</v>
      </c>
      <c r="D4" s="16" t="s">
        <v>19</v>
      </c>
      <c r="E4" s="16" t="s">
        <v>20</v>
      </c>
      <c r="F4" s="16" t="s">
        <v>19</v>
      </c>
      <c r="G4" s="16" t="s">
        <v>16</v>
      </c>
      <c r="H4" s="16" t="s">
        <v>17</v>
      </c>
      <c r="I4" s="16" t="s">
        <v>18</v>
      </c>
      <c r="J4" s="16">
        <v>2224</v>
      </c>
      <c r="K4" s="16">
        <v>2106</v>
      </c>
      <c r="L4" s="16">
        <v>24.173913043478201</v>
      </c>
      <c r="M4" s="16">
        <v>22.891304347826001</v>
      </c>
      <c r="N4" s="16">
        <v>94.694244604316495</v>
      </c>
    </row>
    <row r="5" spans="1:14" x14ac:dyDescent="0.35">
      <c r="A5" s="2">
        <v>4</v>
      </c>
      <c r="B5" s="16">
        <v>2018</v>
      </c>
      <c r="C5" s="16">
        <v>4</v>
      </c>
      <c r="D5" s="16" t="s">
        <v>19</v>
      </c>
      <c r="E5" s="16" t="s">
        <v>20</v>
      </c>
      <c r="F5" s="16" t="s">
        <v>19</v>
      </c>
      <c r="G5" s="16" t="s">
        <v>16</v>
      </c>
      <c r="H5" s="16" t="s">
        <v>17</v>
      </c>
      <c r="I5" s="16" t="s">
        <v>18</v>
      </c>
      <c r="J5" s="16">
        <v>2641</v>
      </c>
      <c r="K5" s="16">
        <v>2546</v>
      </c>
      <c r="L5" s="16">
        <v>28.706521739130402</v>
      </c>
      <c r="M5" s="16">
        <v>27.673913043478201</v>
      </c>
      <c r="N5" s="16">
        <v>96.402877697841703</v>
      </c>
    </row>
    <row r="6" spans="1:14" x14ac:dyDescent="0.35">
      <c r="A6" s="2">
        <v>5</v>
      </c>
      <c r="B6" s="16">
        <v>2019</v>
      </c>
      <c r="C6" s="16">
        <v>1</v>
      </c>
      <c r="D6" s="16" t="s">
        <v>19</v>
      </c>
      <c r="E6" s="16" t="s">
        <v>20</v>
      </c>
      <c r="F6" s="16" t="s">
        <v>19</v>
      </c>
      <c r="G6" s="16" t="s">
        <v>16</v>
      </c>
      <c r="H6" s="16" t="s">
        <v>17</v>
      </c>
      <c r="I6" s="16" t="s">
        <v>18</v>
      </c>
      <c r="J6" s="16">
        <v>2273</v>
      </c>
      <c r="K6" s="16">
        <v>2143</v>
      </c>
      <c r="L6" s="16">
        <v>25.2555555555555</v>
      </c>
      <c r="M6" s="16">
        <v>23.811111111111099</v>
      </c>
      <c r="N6" s="16">
        <v>94.280686317641795</v>
      </c>
    </row>
    <row r="7" spans="1:14" x14ac:dyDescent="0.35">
      <c r="A7" s="2">
        <v>6</v>
      </c>
      <c r="B7" s="16">
        <v>2019</v>
      </c>
      <c r="C7" s="16">
        <v>2</v>
      </c>
      <c r="D7" s="16" t="s">
        <v>19</v>
      </c>
      <c r="E7" s="16" t="s">
        <v>20</v>
      </c>
      <c r="F7" s="16" t="s">
        <v>19</v>
      </c>
      <c r="G7" s="16" t="s">
        <v>16</v>
      </c>
      <c r="H7" s="16" t="s">
        <v>17</v>
      </c>
      <c r="I7" s="16" t="s">
        <v>18</v>
      </c>
      <c r="J7" s="16">
        <v>2365</v>
      </c>
      <c r="K7" s="16">
        <v>2151</v>
      </c>
      <c r="L7" s="16">
        <v>25.9890109890109</v>
      </c>
      <c r="M7" s="16">
        <v>23.6373626373626</v>
      </c>
      <c r="N7" s="16">
        <v>90.951374207188096</v>
      </c>
    </row>
    <row r="8" spans="1:14" x14ac:dyDescent="0.35">
      <c r="A8" s="2">
        <v>7</v>
      </c>
      <c r="B8" s="16">
        <v>2019</v>
      </c>
      <c r="C8" s="16">
        <v>3</v>
      </c>
      <c r="D8" s="16" t="s">
        <v>19</v>
      </c>
      <c r="E8" s="16" t="s">
        <v>20</v>
      </c>
      <c r="F8" s="16" t="s">
        <v>19</v>
      </c>
      <c r="G8" s="16" t="s">
        <v>16</v>
      </c>
      <c r="H8" s="16" t="s">
        <v>17</v>
      </c>
      <c r="I8" s="16" t="s">
        <v>18</v>
      </c>
      <c r="J8" s="16">
        <v>2667</v>
      </c>
      <c r="K8" s="16">
        <v>2549</v>
      </c>
      <c r="L8" s="16">
        <v>28.989130434782599</v>
      </c>
      <c r="M8" s="16">
        <v>27.706521739130402</v>
      </c>
      <c r="N8" s="16">
        <v>95.575553055867999</v>
      </c>
    </row>
    <row r="9" spans="1:14" x14ac:dyDescent="0.35">
      <c r="A9" s="2">
        <v>8</v>
      </c>
      <c r="B9" s="16">
        <v>2019</v>
      </c>
      <c r="C9" s="16">
        <v>4</v>
      </c>
      <c r="D9" s="16" t="s">
        <v>19</v>
      </c>
      <c r="E9" s="16" t="s">
        <v>20</v>
      </c>
      <c r="F9" s="16" t="s">
        <v>19</v>
      </c>
      <c r="G9" s="16" t="s">
        <v>16</v>
      </c>
      <c r="H9" s="16" t="s">
        <v>17</v>
      </c>
      <c r="I9" s="16" t="s">
        <v>18</v>
      </c>
      <c r="J9" s="16">
        <v>2703</v>
      </c>
      <c r="K9" s="16">
        <v>2588</v>
      </c>
      <c r="L9" s="16">
        <v>29.380434782608599</v>
      </c>
      <c r="M9" s="16">
        <v>28.130434782608599</v>
      </c>
      <c r="N9" s="16">
        <v>95.745467998520098</v>
      </c>
    </row>
    <row r="10" spans="1:14" x14ac:dyDescent="0.35">
      <c r="A10" s="2">
        <v>9</v>
      </c>
      <c r="B10" s="16">
        <v>2020</v>
      </c>
      <c r="C10" s="16">
        <v>1</v>
      </c>
      <c r="D10" s="16" t="s">
        <v>19</v>
      </c>
      <c r="E10" s="16" t="s">
        <v>20</v>
      </c>
      <c r="F10" s="16" t="s">
        <v>19</v>
      </c>
      <c r="G10" s="16" t="s">
        <v>16</v>
      </c>
      <c r="H10" s="16" t="s">
        <v>17</v>
      </c>
      <c r="I10" s="16" t="s">
        <v>18</v>
      </c>
      <c r="J10" s="16">
        <v>2453</v>
      </c>
      <c r="K10" s="16">
        <v>2261</v>
      </c>
      <c r="L10" s="16">
        <v>26.956043956043899</v>
      </c>
      <c r="M10" s="16">
        <v>24.846153846153801</v>
      </c>
      <c r="N10" s="16">
        <v>92.172849571952696</v>
      </c>
    </row>
    <row r="11" spans="1:14" x14ac:dyDescent="0.35">
      <c r="A11" s="2">
        <v>10</v>
      </c>
      <c r="B11" s="16">
        <v>2020</v>
      </c>
      <c r="C11" s="16">
        <v>2</v>
      </c>
      <c r="D11" s="16" t="s">
        <v>19</v>
      </c>
      <c r="E11" s="16" t="s">
        <v>20</v>
      </c>
      <c r="F11" s="16" t="s">
        <v>19</v>
      </c>
      <c r="G11" s="16" t="s">
        <v>16</v>
      </c>
      <c r="H11" s="16" t="s">
        <v>17</v>
      </c>
      <c r="I11" s="16" t="s">
        <v>18</v>
      </c>
      <c r="J11" s="16">
        <v>2828</v>
      </c>
      <c r="K11" s="16">
        <v>1939</v>
      </c>
      <c r="L11" s="16">
        <v>31.076923076922998</v>
      </c>
      <c r="M11" s="16">
        <v>21.307692307692299</v>
      </c>
      <c r="N11" s="16">
        <v>68.564356435643504</v>
      </c>
    </row>
    <row r="12" spans="1:14" x14ac:dyDescent="0.35">
      <c r="A12" s="2">
        <v>11</v>
      </c>
      <c r="B12" s="16">
        <v>2020</v>
      </c>
      <c r="C12" s="16">
        <v>3</v>
      </c>
      <c r="D12" s="16" t="s">
        <v>19</v>
      </c>
      <c r="E12" s="16" t="s">
        <v>20</v>
      </c>
      <c r="F12" s="16" t="s">
        <v>19</v>
      </c>
      <c r="G12" s="16" t="s">
        <v>16</v>
      </c>
      <c r="H12" s="16" t="s">
        <v>17</v>
      </c>
      <c r="I12" s="16" t="s">
        <v>18</v>
      </c>
      <c r="J12" s="16">
        <v>3075</v>
      </c>
      <c r="K12" s="16">
        <v>2289</v>
      </c>
      <c r="L12" s="16">
        <v>33.423913043478201</v>
      </c>
      <c r="M12" s="16">
        <v>24.880434782608599</v>
      </c>
      <c r="N12" s="16">
        <v>74.439024390243901</v>
      </c>
    </row>
    <row r="13" spans="1:14" x14ac:dyDescent="0.35">
      <c r="A13" s="2">
        <v>12</v>
      </c>
      <c r="B13" s="16">
        <v>2020</v>
      </c>
      <c r="C13" s="16">
        <v>4</v>
      </c>
      <c r="D13" s="16" t="s">
        <v>19</v>
      </c>
      <c r="E13" s="16" t="s">
        <v>20</v>
      </c>
      <c r="F13" s="16" t="s">
        <v>19</v>
      </c>
      <c r="G13" s="16" t="s">
        <v>16</v>
      </c>
      <c r="H13" s="16" t="s">
        <v>17</v>
      </c>
      <c r="I13" s="16" t="s">
        <v>18</v>
      </c>
      <c r="J13" s="16">
        <v>2598</v>
      </c>
      <c r="K13" s="16">
        <v>2077</v>
      </c>
      <c r="L13" s="16">
        <v>28.239130434782599</v>
      </c>
      <c r="M13" s="16">
        <v>22.576086956521699</v>
      </c>
      <c r="N13" s="16">
        <v>79.946112394149296</v>
      </c>
    </row>
    <row r="14" spans="1:14" x14ac:dyDescent="0.35">
      <c r="A14" s="2">
        <v>13</v>
      </c>
      <c r="B14" s="16">
        <v>2021</v>
      </c>
      <c r="C14" s="16">
        <v>1</v>
      </c>
      <c r="D14" s="16" t="s">
        <v>19</v>
      </c>
      <c r="E14" s="16" t="s">
        <v>20</v>
      </c>
      <c r="F14" s="16" t="s">
        <v>19</v>
      </c>
      <c r="G14" s="16" t="s">
        <v>16</v>
      </c>
      <c r="H14" s="16" t="s">
        <v>17</v>
      </c>
      <c r="I14" s="16" t="s">
        <v>18</v>
      </c>
      <c r="J14" s="16">
        <v>2635</v>
      </c>
      <c r="K14" s="16">
        <v>2301</v>
      </c>
      <c r="L14" s="16">
        <v>29.2777777777777</v>
      </c>
      <c r="M14" s="16">
        <v>25.566666666666599</v>
      </c>
      <c r="N14" s="16">
        <v>87.324478178368096</v>
      </c>
    </row>
    <row r="15" spans="1:14" x14ac:dyDescent="0.35">
      <c r="A15" s="2">
        <v>14</v>
      </c>
      <c r="B15" s="16">
        <v>2021</v>
      </c>
      <c r="C15" s="16">
        <v>2</v>
      </c>
      <c r="D15" s="16" t="s">
        <v>19</v>
      </c>
      <c r="E15" s="16" t="s">
        <v>20</v>
      </c>
      <c r="F15" s="16" t="s">
        <v>19</v>
      </c>
      <c r="G15" s="16" t="s">
        <v>16</v>
      </c>
      <c r="H15" s="16" t="s">
        <v>17</v>
      </c>
      <c r="I15" s="16" t="s">
        <v>18</v>
      </c>
      <c r="J15" s="16">
        <v>2471</v>
      </c>
      <c r="K15" s="16">
        <v>2345</v>
      </c>
      <c r="L15" s="16">
        <v>27.1538461538461</v>
      </c>
      <c r="M15" s="16">
        <v>25.769230769230699</v>
      </c>
      <c r="N15" s="16">
        <v>94.900849858356906</v>
      </c>
    </row>
    <row r="16" spans="1:14" x14ac:dyDescent="0.35">
      <c r="A16" s="2">
        <v>15</v>
      </c>
      <c r="B16" s="16">
        <v>2021</v>
      </c>
      <c r="C16" s="16">
        <v>3</v>
      </c>
      <c r="D16" s="16" t="s">
        <v>19</v>
      </c>
      <c r="E16" s="16" t="s">
        <v>20</v>
      </c>
      <c r="F16" s="16" t="s">
        <v>19</v>
      </c>
      <c r="G16" s="16" t="s">
        <v>16</v>
      </c>
      <c r="H16" s="16" t="s">
        <v>17</v>
      </c>
      <c r="I16" s="16" t="s">
        <v>18</v>
      </c>
      <c r="J16" s="16">
        <v>2712</v>
      </c>
      <c r="K16" s="16">
        <v>2603</v>
      </c>
      <c r="L16" s="16">
        <v>29.478260869565201</v>
      </c>
      <c r="M16" s="16">
        <v>28.293478260869499</v>
      </c>
      <c r="N16" s="16">
        <v>95.980825958701999</v>
      </c>
    </row>
    <row r="17" spans="1:14" x14ac:dyDescent="0.35">
      <c r="A17" s="2">
        <v>16</v>
      </c>
      <c r="B17" s="16">
        <v>2021</v>
      </c>
      <c r="C17" s="16">
        <v>4</v>
      </c>
      <c r="D17" s="16" t="s">
        <v>19</v>
      </c>
      <c r="E17" s="16" t="s">
        <v>20</v>
      </c>
      <c r="F17" s="16" t="s">
        <v>19</v>
      </c>
      <c r="G17" s="16" t="s">
        <v>16</v>
      </c>
      <c r="H17" s="16" t="s">
        <v>17</v>
      </c>
      <c r="I17" s="16" t="s">
        <v>18</v>
      </c>
      <c r="J17" s="16">
        <v>2319</v>
      </c>
      <c r="K17" s="16">
        <v>2264</v>
      </c>
      <c r="L17" s="16">
        <v>25.206521739130402</v>
      </c>
      <c r="M17" s="16">
        <v>24.6086956521739</v>
      </c>
      <c r="N17" s="16">
        <v>97.628288055196194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35A1-EA1F-414D-9E9F-5640ED4D455C}">
  <dimension ref="A1:N17"/>
  <sheetViews>
    <sheetView workbookViewId="0">
      <selection activeCell="N39" sqref="N39"/>
    </sheetView>
  </sheetViews>
  <sheetFormatPr defaultRowHeight="14.5" x14ac:dyDescent="0.35"/>
  <cols>
    <col min="6" max="13" width="0" hidden="1" customWidth="1"/>
    <col min="14" max="14" width="20" customWidth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>
        <v>1</v>
      </c>
      <c r="B2" s="16">
        <v>2018</v>
      </c>
      <c r="C2" s="16">
        <v>1</v>
      </c>
      <c r="D2" s="16" t="s">
        <v>21</v>
      </c>
      <c r="E2" s="16" t="s">
        <v>22</v>
      </c>
      <c r="F2" s="16" t="s">
        <v>21</v>
      </c>
      <c r="G2" s="16" t="s">
        <v>16</v>
      </c>
      <c r="H2" s="16" t="s">
        <v>17</v>
      </c>
      <c r="I2" s="16" t="s">
        <v>18</v>
      </c>
      <c r="J2" s="16">
        <v>191</v>
      </c>
      <c r="K2" s="16">
        <v>191</v>
      </c>
      <c r="L2" s="16">
        <v>2.12222222222222</v>
      </c>
      <c r="M2" s="16">
        <v>2.12222222222222</v>
      </c>
      <c r="N2" s="16">
        <v>100</v>
      </c>
    </row>
    <row r="3" spans="1:14" x14ac:dyDescent="0.35">
      <c r="A3" s="2">
        <v>2</v>
      </c>
      <c r="B3" s="16">
        <v>2018</v>
      </c>
      <c r="C3" s="16">
        <v>2</v>
      </c>
      <c r="D3" s="16" t="s">
        <v>21</v>
      </c>
      <c r="E3" s="16" t="s">
        <v>22</v>
      </c>
      <c r="F3" s="16" t="s">
        <v>21</v>
      </c>
      <c r="G3" s="16" t="s">
        <v>16</v>
      </c>
      <c r="H3" s="16" t="s">
        <v>17</v>
      </c>
      <c r="I3" s="16" t="s">
        <v>18</v>
      </c>
      <c r="J3" s="16">
        <v>88</v>
      </c>
      <c r="K3" s="16">
        <v>88</v>
      </c>
      <c r="L3" s="16">
        <v>0.96703296703296704</v>
      </c>
      <c r="M3" s="16">
        <v>0.96703296703296704</v>
      </c>
      <c r="N3" s="16">
        <v>100</v>
      </c>
    </row>
    <row r="4" spans="1:14" x14ac:dyDescent="0.35">
      <c r="A4" s="2">
        <v>3</v>
      </c>
      <c r="B4" s="16">
        <v>2018</v>
      </c>
      <c r="C4" s="16">
        <v>3</v>
      </c>
      <c r="D4" s="16" t="s">
        <v>21</v>
      </c>
      <c r="E4" s="16" t="s">
        <v>22</v>
      </c>
      <c r="F4" s="16" t="s">
        <v>21</v>
      </c>
      <c r="G4" s="16" t="s">
        <v>16</v>
      </c>
      <c r="H4" s="16" t="s">
        <v>17</v>
      </c>
      <c r="I4" s="16" t="s">
        <v>18</v>
      </c>
      <c r="J4" s="16">
        <v>99</v>
      </c>
      <c r="K4" s="16">
        <v>99</v>
      </c>
      <c r="L4" s="16">
        <v>1.0760869565217299</v>
      </c>
      <c r="M4" s="16">
        <v>1.0760869565217299</v>
      </c>
      <c r="N4" s="16">
        <v>100</v>
      </c>
    </row>
    <row r="5" spans="1:14" x14ac:dyDescent="0.35">
      <c r="A5" s="2">
        <v>4</v>
      </c>
      <c r="B5" s="16">
        <v>2018</v>
      </c>
      <c r="C5" s="16">
        <v>4</v>
      </c>
      <c r="D5" s="16" t="s">
        <v>21</v>
      </c>
      <c r="E5" s="16" t="s">
        <v>22</v>
      </c>
      <c r="F5" s="16" t="s">
        <v>21</v>
      </c>
      <c r="G5" s="16" t="s">
        <v>16</v>
      </c>
      <c r="H5" s="16" t="s">
        <v>17</v>
      </c>
      <c r="I5" s="16" t="s">
        <v>18</v>
      </c>
      <c r="J5" s="16">
        <v>201</v>
      </c>
      <c r="K5" s="16">
        <v>201</v>
      </c>
      <c r="L5" s="16">
        <v>2.1847826086956501</v>
      </c>
      <c r="M5" s="16">
        <v>2.1847826086956501</v>
      </c>
      <c r="N5" s="16">
        <v>100</v>
      </c>
    </row>
    <row r="6" spans="1:14" x14ac:dyDescent="0.35">
      <c r="A6" s="2">
        <v>5</v>
      </c>
      <c r="B6" s="16">
        <v>2019</v>
      </c>
      <c r="C6" s="16">
        <v>1</v>
      </c>
      <c r="D6" s="16" t="s">
        <v>21</v>
      </c>
      <c r="E6" s="16" t="s">
        <v>22</v>
      </c>
      <c r="F6" s="16" t="s">
        <v>21</v>
      </c>
      <c r="G6" s="16" t="s">
        <v>16</v>
      </c>
      <c r="H6" s="16" t="s">
        <v>17</v>
      </c>
      <c r="I6" s="16" t="s">
        <v>18</v>
      </c>
      <c r="J6" s="16">
        <v>203</v>
      </c>
      <c r="K6" s="16">
        <v>203</v>
      </c>
      <c r="L6" s="16">
        <v>2.2555555555555502</v>
      </c>
      <c r="M6" s="16">
        <v>2.2555555555555502</v>
      </c>
      <c r="N6" s="16">
        <v>100</v>
      </c>
    </row>
    <row r="7" spans="1:14" x14ac:dyDescent="0.35">
      <c r="A7" s="2">
        <v>6</v>
      </c>
      <c r="B7" s="16">
        <v>2019</v>
      </c>
      <c r="C7" s="16">
        <v>2</v>
      </c>
      <c r="D7" s="16" t="s">
        <v>21</v>
      </c>
      <c r="E7" s="16" t="s">
        <v>22</v>
      </c>
      <c r="F7" s="16" t="s">
        <v>21</v>
      </c>
      <c r="G7" s="16" t="s">
        <v>16</v>
      </c>
      <c r="H7" s="16" t="s">
        <v>17</v>
      </c>
      <c r="I7" s="16" t="s">
        <v>18</v>
      </c>
      <c r="J7" s="16">
        <v>181</v>
      </c>
      <c r="K7" s="16">
        <v>181</v>
      </c>
      <c r="L7" s="16">
        <v>1.9890109890109799</v>
      </c>
      <c r="M7" s="16">
        <v>1.9890109890109799</v>
      </c>
      <c r="N7" s="16">
        <v>100</v>
      </c>
    </row>
    <row r="8" spans="1:14" x14ac:dyDescent="0.35">
      <c r="A8" s="2">
        <v>7</v>
      </c>
      <c r="B8" s="16">
        <v>2019</v>
      </c>
      <c r="C8" s="16">
        <v>3</v>
      </c>
      <c r="D8" s="16" t="s">
        <v>21</v>
      </c>
      <c r="E8" s="16" t="s">
        <v>22</v>
      </c>
      <c r="F8" s="16" t="s">
        <v>21</v>
      </c>
      <c r="G8" s="16" t="s">
        <v>16</v>
      </c>
      <c r="H8" s="16" t="s">
        <v>17</v>
      </c>
      <c r="I8" s="16" t="s">
        <v>18</v>
      </c>
      <c r="J8" s="16">
        <v>147</v>
      </c>
      <c r="K8" s="16">
        <v>147</v>
      </c>
      <c r="L8" s="16">
        <v>1.59782608695652</v>
      </c>
      <c r="M8" s="16">
        <v>1.59782608695652</v>
      </c>
      <c r="N8" s="16">
        <v>100</v>
      </c>
    </row>
    <row r="9" spans="1:14" x14ac:dyDescent="0.35">
      <c r="A9" s="2">
        <v>8</v>
      </c>
      <c r="B9" s="16">
        <v>2019</v>
      </c>
      <c r="C9" s="16">
        <v>4</v>
      </c>
      <c r="D9" s="16" t="s">
        <v>21</v>
      </c>
      <c r="E9" s="16" t="s">
        <v>22</v>
      </c>
      <c r="F9" s="16" t="s">
        <v>21</v>
      </c>
      <c r="G9" s="16" t="s">
        <v>16</v>
      </c>
      <c r="H9" s="16" t="s">
        <v>17</v>
      </c>
      <c r="I9" s="16" t="s">
        <v>18</v>
      </c>
      <c r="J9" s="16">
        <v>184</v>
      </c>
      <c r="K9" s="16">
        <v>184</v>
      </c>
      <c r="L9" s="16">
        <v>2</v>
      </c>
      <c r="M9" s="16">
        <v>2</v>
      </c>
      <c r="N9" s="16">
        <v>100</v>
      </c>
    </row>
    <row r="10" spans="1:14" x14ac:dyDescent="0.35">
      <c r="A10" s="2">
        <v>9</v>
      </c>
      <c r="B10" s="16">
        <v>2020</v>
      </c>
      <c r="C10" s="16">
        <v>1</v>
      </c>
      <c r="D10" s="16" t="s">
        <v>21</v>
      </c>
      <c r="E10" s="16" t="s">
        <v>22</v>
      </c>
      <c r="F10" s="16" t="s">
        <v>21</v>
      </c>
      <c r="G10" s="16" t="s">
        <v>16</v>
      </c>
      <c r="H10" s="16" t="s">
        <v>17</v>
      </c>
      <c r="I10" s="16" t="s">
        <v>18</v>
      </c>
      <c r="J10" s="16">
        <v>256</v>
      </c>
      <c r="K10" s="16">
        <v>256</v>
      </c>
      <c r="L10" s="16">
        <v>2.8131868131868099</v>
      </c>
      <c r="M10" s="16">
        <v>2.8131868131868099</v>
      </c>
      <c r="N10" s="16">
        <v>100</v>
      </c>
    </row>
    <row r="11" spans="1:14" x14ac:dyDescent="0.35">
      <c r="A11" s="2">
        <v>10</v>
      </c>
      <c r="B11" s="16">
        <v>2020</v>
      </c>
      <c r="C11" s="16">
        <v>2</v>
      </c>
      <c r="D11" s="16" t="s">
        <v>21</v>
      </c>
      <c r="E11" s="16" t="s">
        <v>22</v>
      </c>
      <c r="F11" s="16" t="s">
        <v>21</v>
      </c>
      <c r="G11" s="16" t="s">
        <v>16</v>
      </c>
      <c r="H11" s="16" t="s">
        <v>17</v>
      </c>
      <c r="I11" s="16" t="s">
        <v>18</v>
      </c>
      <c r="J11" s="16">
        <v>113</v>
      </c>
      <c r="K11" s="16">
        <v>113</v>
      </c>
      <c r="L11" s="16">
        <v>1.24175824175824</v>
      </c>
      <c r="M11" s="16">
        <v>1.24175824175824</v>
      </c>
      <c r="N11" s="16">
        <v>100</v>
      </c>
    </row>
    <row r="12" spans="1:14" x14ac:dyDescent="0.35">
      <c r="A12" s="2">
        <v>11</v>
      </c>
      <c r="B12" s="16">
        <v>2020</v>
      </c>
      <c r="C12" s="16">
        <v>3</v>
      </c>
      <c r="D12" s="16" t="s">
        <v>21</v>
      </c>
      <c r="E12" s="16" t="s">
        <v>22</v>
      </c>
      <c r="F12" s="16" t="s">
        <v>21</v>
      </c>
      <c r="G12" s="16" t="s">
        <v>16</v>
      </c>
      <c r="H12" s="16" t="s">
        <v>17</v>
      </c>
      <c r="I12" s="16" t="s">
        <v>18</v>
      </c>
      <c r="J12" s="16">
        <v>122</v>
      </c>
      <c r="K12" s="16">
        <v>122</v>
      </c>
      <c r="L12" s="16">
        <v>1.3260869565217299</v>
      </c>
      <c r="M12" s="16">
        <v>1.3260869565217299</v>
      </c>
      <c r="N12" s="16">
        <v>100</v>
      </c>
    </row>
    <row r="13" spans="1:14" x14ac:dyDescent="0.35">
      <c r="A13" s="2">
        <v>12</v>
      </c>
      <c r="B13" s="16">
        <v>2020</v>
      </c>
      <c r="C13" s="16">
        <v>4</v>
      </c>
      <c r="D13" s="16" t="s">
        <v>21</v>
      </c>
      <c r="E13" s="16" t="s">
        <v>22</v>
      </c>
      <c r="F13" s="16" t="s">
        <v>21</v>
      </c>
      <c r="G13" s="16" t="s">
        <v>16</v>
      </c>
      <c r="H13" s="16" t="s">
        <v>17</v>
      </c>
      <c r="I13" s="16" t="s">
        <v>18</v>
      </c>
      <c r="J13" s="16">
        <v>183</v>
      </c>
      <c r="K13" s="16">
        <v>183</v>
      </c>
      <c r="L13" s="16">
        <v>1.9891304347826</v>
      </c>
      <c r="M13" s="16">
        <v>1.9891304347826</v>
      </c>
      <c r="N13" s="16">
        <v>100</v>
      </c>
    </row>
    <row r="14" spans="1:14" x14ac:dyDescent="0.35">
      <c r="A14" s="2">
        <v>13</v>
      </c>
      <c r="B14" s="16">
        <v>2021</v>
      </c>
      <c r="C14" s="16">
        <v>1</v>
      </c>
      <c r="D14" s="16" t="s">
        <v>21</v>
      </c>
      <c r="E14" s="16" t="s">
        <v>22</v>
      </c>
      <c r="F14" s="16" t="s">
        <v>21</v>
      </c>
      <c r="G14" s="16" t="s">
        <v>16</v>
      </c>
      <c r="H14" s="16" t="s">
        <v>17</v>
      </c>
      <c r="I14" s="16" t="s">
        <v>18</v>
      </c>
      <c r="J14" s="16">
        <v>210</v>
      </c>
      <c r="K14" s="16">
        <v>210</v>
      </c>
      <c r="L14" s="16">
        <v>2.3333333333333299</v>
      </c>
      <c r="M14" s="16">
        <v>2.3333333333333299</v>
      </c>
      <c r="N14" s="16">
        <v>100</v>
      </c>
    </row>
    <row r="15" spans="1:14" x14ac:dyDescent="0.35">
      <c r="A15" s="2">
        <v>14</v>
      </c>
      <c r="B15" s="16">
        <v>2021</v>
      </c>
      <c r="C15" s="16">
        <v>2</v>
      </c>
      <c r="D15" s="16" t="s">
        <v>21</v>
      </c>
      <c r="E15" s="16" t="s">
        <v>22</v>
      </c>
      <c r="F15" s="16" t="s">
        <v>21</v>
      </c>
      <c r="G15" s="16" t="s">
        <v>16</v>
      </c>
      <c r="H15" s="16" t="s">
        <v>17</v>
      </c>
      <c r="I15" s="16" t="s">
        <v>18</v>
      </c>
      <c r="J15" s="16">
        <v>169</v>
      </c>
      <c r="K15" s="16">
        <v>169</v>
      </c>
      <c r="L15" s="16">
        <v>1.8571428571428501</v>
      </c>
      <c r="M15" s="16">
        <v>1.8571428571428501</v>
      </c>
      <c r="N15" s="16">
        <v>100</v>
      </c>
    </row>
    <row r="16" spans="1:14" x14ac:dyDescent="0.35">
      <c r="A16" s="2">
        <v>15</v>
      </c>
      <c r="B16" s="16">
        <v>2021</v>
      </c>
      <c r="C16" s="16">
        <v>3</v>
      </c>
      <c r="D16" s="16" t="s">
        <v>21</v>
      </c>
      <c r="E16" s="16" t="s">
        <v>22</v>
      </c>
      <c r="F16" s="16" t="s">
        <v>21</v>
      </c>
      <c r="G16" s="16" t="s">
        <v>16</v>
      </c>
      <c r="H16" s="16" t="s">
        <v>17</v>
      </c>
      <c r="I16" s="16" t="s">
        <v>18</v>
      </c>
      <c r="J16" s="16">
        <v>292</v>
      </c>
      <c r="K16" s="16">
        <v>292</v>
      </c>
      <c r="L16" s="16">
        <v>3.1739130434782599</v>
      </c>
      <c r="M16" s="16">
        <v>3.1739130434782599</v>
      </c>
      <c r="N16" s="16">
        <v>100</v>
      </c>
    </row>
    <row r="17" spans="1:14" x14ac:dyDescent="0.35">
      <c r="A17" s="2">
        <v>16</v>
      </c>
      <c r="B17" s="16">
        <v>2021</v>
      </c>
      <c r="C17" s="16">
        <v>4</v>
      </c>
      <c r="D17" s="16" t="s">
        <v>21</v>
      </c>
      <c r="E17" s="16" t="s">
        <v>22</v>
      </c>
      <c r="F17" s="16" t="s">
        <v>21</v>
      </c>
      <c r="G17" s="16" t="s">
        <v>16</v>
      </c>
      <c r="H17" s="16" t="s">
        <v>17</v>
      </c>
      <c r="I17" s="16" t="s">
        <v>18</v>
      </c>
      <c r="J17" s="16">
        <v>142</v>
      </c>
      <c r="K17" s="16">
        <v>142</v>
      </c>
      <c r="L17" s="16">
        <v>1.5434782608695601</v>
      </c>
      <c r="M17" s="16">
        <v>1.5434782608695601</v>
      </c>
      <c r="N17" s="16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7852-2828-46A0-A0B5-5B2E1FE6B343}">
  <dimension ref="A1:X83"/>
  <sheetViews>
    <sheetView workbookViewId="0">
      <selection activeCell="W78" sqref="W78"/>
    </sheetView>
  </sheetViews>
  <sheetFormatPr defaultRowHeight="14.5" x14ac:dyDescent="0.35"/>
  <cols>
    <col min="5" max="5" width="11.453125" customWidth="1"/>
    <col min="6" max="13" width="0" hidden="1" customWidth="1"/>
    <col min="14" max="14" width="21" customWidth="1"/>
    <col min="15" max="15" width="10.54296875" bestFit="1" customWidth="1"/>
    <col min="17" max="17" width="10.453125" customWidth="1"/>
  </cols>
  <sheetData>
    <row r="1" spans="1:23" ht="23.5" x14ac:dyDescent="0.55000000000000004">
      <c r="A1" s="1" t="s">
        <v>68</v>
      </c>
    </row>
    <row r="2" spans="1:23" ht="18.5" x14ac:dyDescent="0.45">
      <c r="A2" s="13" t="s">
        <v>54</v>
      </c>
    </row>
    <row r="3" spans="1:23" x14ac:dyDescent="0.35">
      <c r="A3" s="17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28</v>
      </c>
      <c r="P3" s="3" t="s">
        <v>55</v>
      </c>
      <c r="Q3" s="3" t="s">
        <v>56</v>
      </c>
    </row>
    <row r="4" spans="1:23" x14ac:dyDescent="0.35">
      <c r="A4" s="17">
        <v>1</v>
      </c>
      <c r="B4" s="16">
        <v>2018</v>
      </c>
      <c r="C4" s="16">
        <v>1</v>
      </c>
      <c r="D4" s="16" t="s">
        <v>19</v>
      </c>
      <c r="E4" s="16" t="s">
        <v>20</v>
      </c>
      <c r="F4" s="16" t="s">
        <v>19</v>
      </c>
      <c r="G4" s="16" t="s">
        <v>16</v>
      </c>
      <c r="H4" s="16" t="s">
        <v>17</v>
      </c>
      <c r="I4" s="16" t="s">
        <v>18</v>
      </c>
      <c r="J4" s="16">
        <v>1957</v>
      </c>
      <c r="K4" s="16">
        <v>1889</v>
      </c>
      <c r="L4" s="16">
        <v>21.744444444444401</v>
      </c>
      <c r="M4" s="16">
        <v>20.988888888888798</v>
      </c>
      <c r="N4" s="18">
        <v>96.525293817066895</v>
      </c>
      <c r="O4" s="18">
        <f t="shared" ref="O4:O19" si="0">$O$24+$O$25*A4</f>
        <v>94.047646393432586</v>
      </c>
      <c r="P4" s="18">
        <f>N4-O4</f>
        <v>2.4776474236343091</v>
      </c>
      <c r="Q4" s="18">
        <f>P4*P4</f>
        <v>6.1387367558417294</v>
      </c>
    </row>
    <row r="5" spans="1:23" x14ac:dyDescent="0.35">
      <c r="A5" s="17">
        <v>2</v>
      </c>
      <c r="B5" s="16">
        <v>2018</v>
      </c>
      <c r="C5" s="16">
        <v>2</v>
      </c>
      <c r="D5" s="16" t="s">
        <v>19</v>
      </c>
      <c r="E5" s="16" t="s">
        <v>20</v>
      </c>
      <c r="F5" s="16" t="s">
        <v>19</v>
      </c>
      <c r="G5" s="16" t="s">
        <v>16</v>
      </c>
      <c r="H5" s="16" t="s">
        <v>17</v>
      </c>
      <c r="I5" s="16" t="s">
        <v>18</v>
      </c>
      <c r="J5" s="16">
        <v>2080</v>
      </c>
      <c r="K5" s="16">
        <v>1967</v>
      </c>
      <c r="L5" s="16">
        <v>22.857142857142801</v>
      </c>
      <c r="M5" s="16">
        <v>21.615384615384599</v>
      </c>
      <c r="N5" s="18">
        <v>94.567307692307693</v>
      </c>
      <c r="O5" s="18">
        <f t="shared" si="0"/>
        <v>93.588790126252945</v>
      </c>
      <c r="P5" s="18">
        <f t="shared" ref="P5:P19" si="1">N5-O5</f>
        <v>0.97851756605474804</v>
      </c>
      <c r="Q5" s="18">
        <f t="shared" ref="Q5:Q19" si="2">P5*P5</f>
        <v>0.95749662707770822</v>
      </c>
    </row>
    <row r="6" spans="1:23" x14ac:dyDescent="0.35">
      <c r="A6" s="17">
        <v>3</v>
      </c>
      <c r="B6" s="16">
        <v>2018</v>
      </c>
      <c r="C6" s="16">
        <v>3</v>
      </c>
      <c r="D6" s="16" t="s">
        <v>19</v>
      </c>
      <c r="E6" s="16" t="s">
        <v>20</v>
      </c>
      <c r="F6" s="16" t="s">
        <v>19</v>
      </c>
      <c r="G6" s="16" t="s">
        <v>16</v>
      </c>
      <c r="H6" s="16" t="s">
        <v>17</v>
      </c>
      <c r="I6" s="16" t="s">
        <v>18</v>
      </c>
      <c r="J6" s="16">
        <v>2224</v>
      </c>
      <c r="K6" s="16">
        <v>2106</v>
      </c>
      <c r="L6" s="16">
        <v>24.173913043478201</v>
      </c>
      <c r="M6" s="16">
        <v>22.891304347826001</v>
      </c>
      <c r="N6" s="18">
        <v>94.694244604316495</v>
      </c>
      <c r="O6" s="18">
        <f t="shared" si="0"/>
        <v>93.12993385907329</v>
      </c>
      <c r="P6" s="18">
        <f t="shared" si="1"/>
        <v>1.5643107452432048</v>
      </c>
      <c r="Q6" s="18">
        <f t="shared" si="2"/>
        <v>2.4470681076833509</v>
      </c>
    </row>
    <row r="7" spans="1:23" x14ac:dyDescent="0.35">
      <c r="A7" s="17">
        <v>4</v>
      </c>
      <c r="B7" s="16">
        <v>2018</v>
      </c>
      <c r="C7" s="16">
        <v>4</v>
      </c>
      <c r="D7" s="16" t="s">
        <v>19</v>
      </c>
      <c r="E7" s="16" t="s">
        <v>20</v>
      </c>
      <c r="F7" s="16" t="s">
        <v>19</v>
      </c>
      <c r="G7" s="16" t="s">
        <v>16</v>
      </c>
      <c r="H7" s="16" t="s">
        <v>17</v>
      </c>
      <c r="I7" s="16" t="s">
        <v>18</v>
      </c>
      <c r="J7" s="16">
        <v>2641</v>
      </c>
      <c r="K7" s="16">
        <v>2546</v>
      </c>
      <c r="L7" s="16">
        <v>28.706521739130402</v>
      </c>
      <c r="M7" s="16">
        <v>27.673913043478201</v>
      </c>
      <c r="N7" s="18">
        <v>96.402877697841703</v>
      </c>
      <c r="O7" s="18">
        <f t="shared" si="0"/>
        <v>92.671077591893649</v>
      </c>
      <c r="P7" s="18">
        <f t="shared" si="1"/>
        <v>3.7318001059480537</v>
      </c>
      <c r="Q7" s="18">
        <f t="shared" si="2"/>
        <v>13.926332030753905</v>
      </c>
    </row>
    <row r="8" spans="1:23" x14ac:dyDescent="0.35">
      <c r="A8" s="17">
        <v>5</v>
      </c>
      <c r="B8" s="16">
        <v>2019</v>
      </c>
      <c r="C8" s="16">
        <v>1</v>
      </c>
      <c r="D8" s="16" t="s">
        <v>19</v>
      </c>
      <c r="E8" s="16" t="s">
        <v>20</v>
      </c>
      <c r="F8" s="16" t="s">
        <v>19</v>
      </c>
      <c r="G8" s="16" t="s">
        <v>16</v>
      </c>
      <c r="H8" s="16" t="s">
        <v>17</v>
      </c>
      <c r="I8" s="16" t="s">
        <v>18</v>
      </c>
      <c r="J8" s="16">
        <v>2273</v>
      </c>
      <c r="K8" s="16">
        <v>2143</v>
      </c>
      <c r="L8" s="16">
        <v>25.2555555555555</v>
      </c>
      <c r="M8" s="16">
        <v>23.811111111111099</v>
      </c>
      <c r="N8" s="18">
        <v>94.280686317641795</v>
      </c>
      <c r="O8" s="18">
        <f t="shared" si="0"/>
        <v>92.212221324713994</v>
      </c>
      <c r="P8" s="18">
        <f t="shared" si="1"/>
        <v>2.0684649929278009</v>
      </c>
      <c r="Q8" s="18">
        <f t="shared" si="2"/>
        <v>4.2785474269678074</v>
      </c>
    </row>
    <row r="9" spans="1:23" x14ac:dyDescent="0.35">
      <c r="A9" s="17">
        <v>6</v>
      </c>
      <c r="B9" s="16">
        <v>2019</v>
      </c>
      <c r="C9" s="16">
        <v>2</v>
      </c>
      <c r="D9" s="16" t="s">
        <v>19</v>
      </c>
      <c r="E9" s="16" t="s">
        <v>20</v>
      </c>
      <c r="F9" s="16" t="s">
        <v>19</v>
      </c>
      <c r="G9" s="16" t="s">
        <v>16</v>
      </c>
      <c r="H9" s="16" t="s">
        <v>17</v>
      </c>
      <c r="I9" s="16" t="s">
        <v>18</v>
      </c>
      <c r="J9" s="16">
        <v>2365</v>
      </c>
      <c r="K9" s="16">
        <v>2151</v>
      </c>
      <c r="L9" s="16">
        <v>25.9890109890109</v>
      </c>
      <c r="M9" s="16">
        <v>23.6373626373626</v>
      </c>
      <c r="N9" s="18">
        <v>90.951374207188096</v>
      </c>
      <c r="O9" s="18">
        <f t="shared" si="0"/>
        <v>91.753365057534339</v>
      </c>
      <c r="P9" s="18">
        <f t="shared" si="1"/>
        <v>-0.80199085034624318</v>
      </c>
      <c r="Q9" s="18">
        <f t="shared" si="2"/>
        <v>0.64318932403909024</v>
      </c>
    </row>
    <row r="10" spans="1:23" x14ac:dyDescent="0.35">
      <c r="A10" s="17">
        <v>7</v>
      </c>
      <c r="B10" s="16">
        <v>2019</v>
      </c>
      <c r="C10" s="16">
        <v>3</v>
      </c>
      <c r="D10" s="16" t="s">
        <v>19</v>
      </c>
      <c r="E10" s="16" t="s">
        <v>20</v>
      </c>
      <c r="F10" s="16" t="s">
        <v>19</v>
      </c>
      <c r="G10" s="16" t="s">
        <v>16</v>
      </c>
      <c r="H10" s="16" t="s">
        <v>17</v>
      </c>
      <c r="I10" s="16" t="s">
        <v>18</v>
      </c>
      <c r="J10" s="16">
        <v>2667</v>
      </c>
      <c r="K10" s="16">
        <v>2549</v>
      </c>
      <c r="L10" s="16">
        <v>28.989130434782599</v>
      </c>
      <c r="M10" s="16">
        <v>27.706521739130402</v>
      </c>
      <c r="N10" s="18">
        <v>95.575553055867999</v>
      </c>
      <c r="O10" s="18">
        <f t="shared" si="0"/>
        <v>91.294508790354698</v>
      </c>
      <c r="P10" s="18">
        <f t="shared" si="1"/>
        <v>4.2810442655133016</v>
      </c>
      <c r="Q10" s="18">
        <f t="shared" si="2"/>
        <v>18.327340003284323</v>
      </c>
      <c r="V10" s="19" t="s">
        <v>59</v>
      </c>
      <c r="W10" s="19"/>
    </row>
    <row r="11" spans="1:23" x14ac:dyDescent="0.35">
      <c r="A11" s="17">
        <v>8</v>
      </c>
      <c r="B11" s="16">
        <v>2019</v>
      </c>
      <c r="C11" s="16">
        <v>4</v>
      </c>
      <c r="D11" s="16" t="s">
        <v>19</v>
      </c>
      <c r="E11" s="16" t="s">
        <v>20</v>
      </c>
      <c r="F11" s="16" t="s">
        <v>19</v>
      </c>
      <c r="G11" s="16" t="s">
        <v>16</v>
      </c>
      <c r="H11" s="16" t="s">
        <v>17</v>
      </c>
      <c r="I11" s="16" t="s">
        <v>18</v>
      </c>
      <c r="J11" s="16">
        <v>2703</v>
      </c>
      <c r="K11" s="16">
        <v>2588</v>
      </c>
      <c r="L11" s="16">
        <v>29.380434782608599</v>
      </c>
      <c r="M11" s="16">
        <v>28.130434782608599</v>
      </c>
      <c r="N11" s="18">
        <v>95.745467998520098</v>
      </c>
      <c r="O11" s="18">
        <f t="shared" si="0"/>
        <v>90.835652523175042</v>
      </c>
      <c r="P11" s="18">
        <f t="shared" si="1"/>
        <v>4.9098154753450558</v>
      </c>
      <c r="Q11" s="18">
        <f t="shared" si="2"/>
        <v>24.106288001937795</v>
      </c>
      <c r="V11" s="19" t="s">
        <v>58</v>
      </c>
      <c r="W11" s="22">
        <f>AVERAGE(Q4:Q19)</f>
        <v>66.556425990920985</v>
      </c>
    </row>
    <row r="12" spans="1:23" x14ac:dyDescent="0.35">
      <c r="A12" s="17">
        <v>9</v>
      </c>
      <c r="B12" s="16">
        <v>2020</v>
      </c>
      <c r="C12" s="16">
        <v>1</v>
      </c>
      <c r="D12" s="16" t="s">
        <v>19</v>
      </c>
      <c r="E12" s="16" t="s">
        <v>20</v>
      </c>
      <c r="F12" s="16" t="s">
        <v>19</v>
      </c>
      <c r="G12" s="16" t="s">
        <v>16</v>
      </c>
      <c r="H12" s="16" t="s">
        <v>17</v>
      </c>
      <c r="I12" s="16" t="s">
        <v>18</v>
      </c>
      <c r="J12" s="16">
        <v>2453</v>
      </c>
      <c r="K12" s="16">
        <v>2261</v>
      </c>
      <c r="L12" s="16">
        <v>26.956043956043899</v>
      </c>
      <c r="M12" s="16">
        <v>24.846153846153801</v>
      </c>
      <c r="N12" s="18">
        <v>92.172849571952696</v>
      </c>
      <c r="O12" s="18">
        <f t="shared" si="0"/>
        <v>90.376796255995387</v>
      </c>
      <c r="P12" s="18">
        <f t="shared" si="1"/>
        <v>1.7960533159573089</v>
      </c>
      <c r="Q12" s="18">
        <f t="shared" si="2"/>
        <v>3.2258075137612447</v>
      </c>
    </row>
    <row r="13" spans="1:23" x14ac:dyDescent="0.35">
      <c r="A13" s="17">
        <v>10</v>
      </c>
      <c r="B13" s="16">
        <v>2020</v>
      </c>
      <c r="C13" s="16">
        <v>2</v>
      </c>
      <c r="D13" s="16" t="s">
        <v>19</v>
      </c>
      <c r="E13" s="16" t="s">
        <v>20</v>
      </c>
      <c r="F13" s="16" t="s">
        <v>19</v>
      </c>
      <c r="G13" s="16" t="s">
        <v>16</v>
      </c>
      <c r="H13" s="16" t="s">
        <v>17</v>
      </c>
      <c r="I13" s="16" t="s">
        <v>18</v>
      </c>
      <c r="J13" s="16">
        <v>2828</v>
      </c>
      <c r="K13" s="16">
        <v>1939</v>
      </c>
      <c r="L13" s="16">
        <v>31.076923076922998</v>
      </c>
      <c r="M13" s="16">
        <v>21.307692307692299</v>
      </c>
      <c r="N13" s="18">
        <v>68.564356435643504</v>
      </c>
      <c r="O13" s="18">
        <f t="shared" si="0"/>
        <v>89.917939988815746</v>
      </c>
      <c r="P13" s="18">
        <f t="shared" si="1"/>
        <v>-21.353583553172243</v>
      </c>
      <c r="Q13" s="18">
        <f t="shared" si="2"/>
        <v>455.97553056230811</v>
      </c>
    </row>
    <row r="14" spans="1:23" x14ac:dyDescent="0.35">
      <c r="A14" s="17">
        <v>11</v>
      </c>
      <c r="B14" s="16">
        <v>2020</v>
      </c>
      <c r="C14" s="16">
        <v>3</v>
      </c>
      <c r="D14" s="16" t="s">
        <v>19</v>
      </c>
      <c r="E14" s="16" t="s">
        <v>20</v>
      </c>
      <c r="F14" s="16" t="s">
        <v>19</v>
      </c>
      <c r="G14" s="16" t="s">
        <v>16</v>
      </c>
      <c r="H14" s="16" t="s">
        <v>17</v>
      </c>
      <c r="I14" s="16" t="s">
        <v>18</v>
      </c>
      <c r="J14" s="16">
        <v>3075</v>
      </c>
      <c r="K14" s="16">
        <v>2289</v>
      </c>
      <c r="L14" s="16">
        <v>33.423913043478201</v>
      </c>
      <c r="M14" s="16">
        <v>24.880434782608599</v>
      </c>
      <c r="N14" s="18">
        <v>74.439024390243901</v>
      </c>
      <c r="O14" s="18">
        <f t="shared" si="0"/>
        <v>89.459083721636091</v>
      </c>
      <c r="P14" s="18">
        <f t="shared" si="1"/>
        <v>-15.02005933139219</v>
      </c>
      <c r="Q14" s="18">
        <f t="shared" si="2"/>
        <v>225.60218231854159</v>
      </c>
    </row>
    <row r="15" spans="1:23" x14ac:dyDescent="0.35">
      <c r="A15" s="17">
        <v>12</v>
      </c>
      <c r="B15" s="16">
        <v>2020</v>
      </c>
      <c r="C15" s="16">
        <v>4</v>
      </c>
      <c r="D15" s="16" t="s">
        <v>19</v>
      </c>
      <c r="E15" s="16" t="s">
        <v>20</v>
      </c>
      <c r="F15" s="16" t="s">
        <v>19</v>
      </c>
      <c r="G15" s="16" t="s">
        <v>16</v>
      </c>
      <c r="H15" s="16" t="s">
        <v>17</v>
      </c>
      <c r="I15" s="16" t="s">
        <v>18</v>
      </c>
      <c r="J15" s="16">
        <v>2598</v>
      </c>
      <c r="K15" s="16">
        <v>2077</v>
      </c>
      <c r="L15" s="16">
        <v>28.239130434782599</v>
      </c>
      <c r="M15" s="16">
        <v>22.576086956521699</v>
      </c>
      <c r="N15" s="18">
        <v>79.946112394149296</v>
      </c>
      <c r="O15" s="18">
        <f t="shared" si="0"/>
        <v>89.00022745445645</v>
      </c>
      <c r="P15" s="18">
        <f t="shared" si="1"/>
        <v>-9.0541150603071543</v>
      </c>
      <c r="Q15" s="18">
        <f t="shared" si="2"/>
        <v>81.976999525280817</v>
      </c>
    </row>
    <row r="16" spans="1:23" x14ac:dyDescent="0.35">
      <c r="A16" s="17">
        <v>13</v>
      </c>
      <c r="B16" s="16">
        <v>2021</v>
      </c>
      <c r="C16" s="16">
        <v>1</v>
      </c>
      <c r="D16" s="16" t="s">
        <v>19</v>
      </c>
      <c r="E16" s="16" t="s">
        <v>20</v>
      </c>
      <c r="F16" s="16" t="s">
        <v>19</v>
      </c>
      <c r="G16" s="16" t="s">
        <v>16</v>
      </c>
      <c r="H16" s="16" t="s">
        <v>17</v>
      </c>
      <c r="I16" s="16" t="s">
        <v>18</v>
      </c>
      <c r="J16" s="16">
        <v>2635</v>
      </c>
      <c r="K16" s="16">
        <v>2301</v>
      </c>
      <c r="L16" s="16">
        <v>29.2777777777777</v>
      </c>
      <c r="M16" s="16">
        <v>25.566666666666599</v>
      </c>
      <c r="N16" s="18">
        <v>87.324478178368096</v>
      </c>
      <c r="O16" s="18">
        <f t="shared" si="0"/>
        <v>88.541371187276795</v>
      </c>
      <c r="P16" s="18">
        <f t="shared" si="1"/>
        <v>-1.2168930089086984</v>
      </c>
      <c r="Q16" s="18">
        <f t="shared" si="2"/>
        <v>1.4808285951308657</v>
      </c>
    </row>
    <row r="17" spans="1:21" x14ac:dyDescent="0.35">
      <c r="A17" s="17">
        <v>14</v>
      </c>
      <c r="B17" s="16">
        <v>2021</v>
      </c>
      <c r="C17" s="16">
        <v>2</v>
      </c>
      <c r="D17" s="16" t="s">
        <v>19</v>
      </c>
      <c r="E17" s="16" t="s">
        <v>20</v>
      </c>
      <c r="F17" s="16" t="s">
        <v>19</v>
      </c>
      <c r="G17" s="16" t="s">
        <v>16</v>
      </c>
      <c r="H17" s="16" t="s">
        <v>17</v>
      </c>
      <c r="I17" s="16" t="s">
        <v>18</v>
      </c>
      <c r="J17" s="16">
        <v>2471</v>
      </c>
      <c r="K17" s="16">
        <v>2345</v>
      </c>
      <c r="L17" s="16">
        <v>27.1538461538461</v>
      </c>
      <c r="M17" s="16">
        <v>25.769230769230699</v>
      </c>
      <c r="N17" s="18">
        <v>94.900849858356906</v>
      </c>
      <c r="O17" s="18">
        <f t="shared" si="0"/>
        <v>88.08251492009714</v>
      </c>
      <c r="P17" s="18">
        <f t="shared" si="1"/>
        <v>6.8183349382597669</v>
      </c>
      <c r="Q17" s="18">
        <f t="shared" si="2"/>
        <v>46.489691330293816</v>
      </c>
    </row>
    <row r="18" spans="1:21" x14ac:dyDescent="0.35">
      <c r="A18" s="17">
        <v>15</v>
      </c>
      <c r="B18" s="16">
        <v>2021</v>
      </c>
      <c r="C18" s="16">
        <v>3</v>
      </c>
      <c r="D18" s="16" t="s">
        <v>19</v>
      </c>
      <c r="E18" s="16" t="s">
        <v>20</v>
      </c>
      <c r="F18" s="16" t="s">
        <v>19</v>
      </c>
      <c r="G18" s="16" t="s">
        <v>16</v>
      </c>
      <c r="H18" s="16" t="s">
        <v>17</v>
      </c>
      <c r="I18" s="16" t="s">
        <v>18</v>
      </c>
      <c r="J18" s="16">
        <v>2712</v>
      </c>
      <c r="K18" s="16">
        <v>2603</v>
      </c>
      <c r="L18" s="16">
        <v>29.478260869565201</v>
      </c>
      <c r="M18" s="16">
        <v>28.293478260869499</v>
      </c>
      <c r="N18" s="18">
        <v>95.980825958701999</v>
      </c>
      <c r="O18" s="18">
        <f t="shared" si="0"/>
        <v>87.623658652917499</v>
      </c>
      <c r="P18" s="18">
        <f t="shared" si="1"/>
        <v>8.3571673057845004</v>
      </c>
      <c r="Q18" s="18">
        <f t="shared" si="2"/>
        <v>69.842245376873365</v>
      </c>
    </row>
    <row r="19" spans="1:21" x14ac:dyDescent="0.35">
      <c r="A19" s="17">
        <v>16</v>
      </c>
      <c r="B19" s="16">
        <v>2021</v>
      </c>
      <c r="C19" s="16">
        <v>4</v>
      </c>
      <c r="D19" s="16" t="s">
        <v>19</v>
      </c>
      <c r="E19" s="16" t="s">
        <v>20</v>
      </c>
      <c r="F19" s="16" t="s">
        <v>19</v>
      </c>
      <c r="G19" s="16" t="s">
        <v>16</v>
      </c>
      <c r="H19" s="16" t="s">
        <v>17</v>
      </c>
      <c r="I19" s="16" t="s">
        <v>18</v>
      </c>
      <c r="J19" s="16">
        <v>2319</v>
      </c>
      <c r="K19" s="16">
        <v>2264</v>
      </c>
      <c r="L19" s="16">
        <v>25.206521739130402</v>
      </c>
      <c r="M19" s="16">
        <v>24.6086956521739</v>
      </c>
      <c r="N19" s="18">
        <v>97.628288055196194</v>
      </c>
      <c r="O19" s="18">
        <f t="shared" si="0"/>
        <v>87.164802385737843</v>
      </c>
      <c r="P19" s="18">
        <f t="shared" si="1"/>
        <v>10.46348566945835</v>
      </c>
      <c r="Q19" s="18">
        <f t="shared" si="2"/>
        <v>109.48453235496027</v>
      </c>
    </row>
    <row r="23" spans="1:21" x14ac:dyDescent="0.35">
      <c r="N23" s="19"/>
      <c r="O23" s="19" t="s">
        <v>46</v>
      </c>
    </row>
    <row r="24" spans="1:21" x14ac:dyDescent="0.35">
      <c r="N24" s="19" t="s">
        <v>40</v>
      </c>
      <c r="O24" s="19">
        <v>94.506502660612242</v>
      </c>
    </row>
    <row r="25" spans="1:21" x14ac:dyDescent="0.35">
      <c r="N25" s="19" t="s">
        <v>53</v>
      </c>
      <c r="O25" s="19">
        <v>-0.45885626717964978</v>
      </c>
    </row>
    <row r="28" spans="1:21" ht="18.5" x14ac:dyDescent="0.45">
      <c r="A28" s="13" t="s">
        <v>70</v>
      </c>
    </row>
    <row r="30" spans="1:21" x14ac:dyDescent="0.35">
      <c r="A30" s="2" t="s">
        <v>0</v>
      </c>
      <c r="B30" s="3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0</v>
      </c>
      <c r="O30" s="3" t="s">
        <v>60</v>
      </c>
      <c r="P30" s="3" t="s">
        <v>61</v>
      </c>
      <c r="Q30" s="3" t="s">
        <v>62</v>
      </c>
      <c r="R30" s="3" t="s">
        <v>13</v>
      </c>
      <c r="S30" s="3" t="s">
        <v>28</v>
      </c>
      <c r="T30" s="3" t="s">
        <v>55</v>
      </c>
      <c r="U30" s="3" t="s">
        <v>56</v>
      </c>
    </row>
    <row r="31" spans="1:21" x14ac:dyDescent="0.35">
      <c r="A31" s="2">
        <v>1</v>
      </c>
      <c r="B31" s="16">
        <v>2018</v>
      </c>
      <c r="C31" s="16">
        <v>1</v>
      </c>
      <c r="D31" s="16" t="s">
        <v>19</v>
      </c>
      <c r="E31" s="16" t="s">
        <v>20</v>
      </c>
      <c r="F31" s="16" t="s">
        <v>19</v>
      </c>
      <c r="G31" s="16" t="s">
        <v>16</v>
      </c>
      <c r="H31" s="16" t="s">
        <v>17</v>
      </c>
      <c r="I31" s="16" t="s">
        <v>18</v>
      </c>
      <c r="J31" s="16">
        <v>1957</v>
      </c>
      <c r="K31" s="16">
        <v>1889</v>
      </c>
      <c r="L31" s="16">
        <v>21.744444444444401</v>
      </c>
      <c r="M31" s="16">
        <v>20.988888888888798</v>
      </c>
      <c r="N31" s="16">
        <v>1</v>
      </c>
      <c r="O31" s="16">
        <v>1</v>
      </c>
      <c r="P31" s="16">
        <v>0</v>
      </c>
      <c r="Q31" s="16">
        <v>0</v>
      </c>
      <c r="R31" s="18">
        <v>96.525293817066895</v>
      </c>
      <c r="S31" s="18">
        <f>$V$53+$V$54*N31+$V$55*O31+$V$56*P31+$V$57*Q31</f>
        <v>95.594448873880779</v>
      </c>
      <c r="T31" s="18">
        <f>R31-S31</f>
        <v>0.93084494318611632</v>
      </c>
      <c r="U31" s="18">
        <f>T31*T31</f>
        <v>0.86647230825516408</v>
      </c>
    </row>
    <row r="32" spans="1:21" x14ac:dyDescent="0.35">
      <c r="A32" s="2">
        <v>2</v>
      </c>
      <c r="B32" s="16">
        <v>2018</v>
      </c>
      <c r="C32" s="16">
        <v>2</v>
      </c>
      <c r="D32" s="16" t="s">
        <v>19</v>
      </c>
      <c r="E32" s="16" t="s">
        <v>20</v>
      </c>
      <c r="F32" s="16" t="s">
        <v>19</v>
      </c>
      <c r="G32" s="16" t="s">
        <v>16</v>
      </c>
      <c r="H32" s="16" t="s">
        <v>17</v>
      </c>
      <c r="I32" s="16" t="s">
        <v>18</v>
      </c>
      <c r="J32" s="16">
        <v>2080</v>
      </c>
      <c r="K32" s="16">
        <v>1967</v>
      </c>
      <c r="L32" s="16">
        <v>22.857142857142801</v>
      </c>
      <c r="M32" s="16">
        <v>21.615384615384599</v>
      </c>
      <c r="N32" s="16">
        <v>2</v>
      </c>
      <c r="O32" s="16">
        <v>0</v>
      </c>
      <c r="P32" s="16">
        <v>1</v>
      </c>
      <c r="Q32" s="16">
        <v>0</v>
      </c>
      <c r="R32" s="18">
        <v>94.567307692307693</v>
      </c>
      <c r="S32" s="18">
        <f t="shared" ref="S32:S50" si="3">$V$53+$V$54*N32+$V$55*O32+$V$56*P32+$V$57*Q32</f>
        <v>90.264593950997465</v>
      </c>
      <c r="T32" s="18">
        <f t="shared" ref="T32:T46" si="4">R32-S32</f>
        <v>4.3027137413102281</v>
      </c>
      <c r="U32" s="18">
        <f t="shared" ref="U32:U46" si="5">T32*T32</f>
        <v>18.513345539659859</v>
      </c>
    </row>
    <row r="33" spans="1:24" x14ac:dyDescent="0.35">
      <c r="A33" s="2">
        <v>3</v>
      </c>
      <c r="B33" s="16">
        <v>2018</v>
      </c>
      <c r="C33" s="16">
        <v>3</v>
      </c>
      <c r="D33" s="16" t="s">
        <v>19</v>
      </c>
      <c r="E33" s="16" t="s">
        <v>20</v>
      </c>
      <c r="F33" s="16" t="s">
        <v>19</v>
      </c>
      <c r="G33" s="16" t="s">
        <v>16</v>
      </c>
      <c r="H33" s="16" t="s">
        <v>17</v>
      </c>
      <c r="I33" s="16" t="s">
        <v>18</v>
      </c>
      <c r="J33" s="16">
        <v>2224</v>
      </c>
      <c r="K33" s="16">
        <v>2106</v>
      </c>
      <c r="L33" s="16">
        <v>24.173913043478201</v>
      </c>
      <c r="M33" s="16">
        <v>22.891304347826001</v>
      </c>
      <c r="N33" s="16">
        <v>3</v>
      </c>
      <c r="O33" s="16">
        <v>0</v>
      </c>
      <c r="P33" s="16">
        <v>0</v>
      </c>
      <c r="Q33" s="16">
        <v>1</v>
      </c>
      <c r="R33" s="18">
        <v>94.694244604316495</v>
      </c>
      <c r="S33" s="18">
        <f t="shared" si="3"/>
        <v>93.191033904906007</v>
      </c>
      <c r="T33" s="18">
        <f t="shared" si="4"/>
        <v>1.5032106994104879</v>
      </c>
      <c r="U33" s="18">
        <f t="shared" si="5"/>
        <v>2.2596424068221683</v>
      </c>
    </row>
    <row r="34" spans="1:24" x14ac:dyDescent="0.35">
      <c r="A34" s="2">
        <v>4</v>
      </c>
      <c r="B34" s="16">
        <v>2018</v>
      </c>
      <c r="C34" s="16">
        <v>4</v>
      </c>
      <c r="D34" s="16" t="s">
        <v>19</v>
      </c>
      <c r="E34" s="16" t="s">
        <v>20</v>
      </c>
      <c r="F34" s="16" t="s">
        <v>19</v>
      </c>
      <c r="G34" s="16" t="s">
        <v>16</v>
      </c>
      <c r="H34" s="16" t="s">
        <v>17</v>
      </c>
      <c r="I34" s="16" t="s">
        <v>18</v>
      </c>
      <c r="J34" s="16">
        <v>2641</v>
      </c>
      <c r="K34" s="16">
        <v>2546</v>
      </c>
      <c r="L34" s="16">
        <v>28.706521739130402</v>
      </c>
      <c r="M34" s="16">
        <v>27.673913043478201</v>
      </c>
      <c r="N34" s="16">
        <v>4</v>
      </c>
      <c r="O34" s="16">
        <v>0</v>
      </c>
      <c r="P34" s="16">
        <v>0</v>
      </c>
      <c r="Q34" s="16">
        <v>0</v>
      </c>
      <c r="R34" s="18">
        <v>96.402877697841703</v>
      </c>
      <c r="S34" s="18">
        <f t="shared" si="3"/>
        <v>95.449308439050242</v>
      </c>
      <c r="T34" s="18">
        <f t="shared" si="4"/>
        <v>0.95356925879146104</v>
      </c>
      <c r="U34" s="18">
        <f t="shared" si="5"/>
        <v>0.90929433131209636</v>
      </c>
    </row>
    <row r="35" spans="1:24" x14ac:dyDescent="0.35">
      <c r="A35" s="2">
        <v>5</v>
      </c>
      <c r="B35" s="16">
        <v>2019</v>
      </c>
      <c r="C35" s="16">
        <v>1</v>
      </c>
      <c r="D35" s="16" t="s">
        <v>19</v>
      </c>
      <c r="E35" s="16" t="s">
        <v>20</v>
      </c>
      <c r="F35" s="16" t="s">
        <v>19</v>
      </c>
      <c r="G35" s="16" t="s">
        <v>16</v>
      </c>
      <c r="H35" s="16" t="s">
        <v>17</v>
      </c>
      <c r="I35" s="16" t="s">
        <v>18</v>
      </c>
      <c r="J35" s="16">
        <v>2273</v>
      </c>
      <c r="K35" s="16">
        <v>2143</v>
      </c>
      <c r="L35" s="16">
        <v>25.2555555555555</v>
      </c>
      <c r="M35" s="16">
        <v>23.811111111111099</v>
      </c>
      <c r="N35" s="16">
        <v>5</v>
      </c>
      <c r="O35" s="16">
        <v>1</v>
      </c>
      <c r="P35" s="16">
        <v>0</v>
      </c>
      <c r="Q35" s="16">
        <v>0</v>
      </c>
      <c r="R35" s="18">
        <v>94.280686317641795</v>
      </c>
      <c r="S35" s="18">
        <f t="shared" si="3"/>
        <v>93.58203427213185</v>
      </c>
      <c r="T35" s="18">
        <f t="shared" si="4"/>
        <v>0.6986520455099452</v>
      </c>
      <c r="U35" s="18">
        <f t="shared" si="5"/>
        <v>0.48811468069523051</v>
      </c>
      <c r="W35" s="19" t="s">
        <v>59</v>
      </c>
      <c r="X35" s="19"/>
    </row>
    <row r="36" spans="1:24" x14ac:dyDescent="0.35">
      <c r="A36" s="2">
        <v>6</v>
      </c>
      <c r="B36" s="16">
        <v>2019</v>
      </c>
      <c r="C36" s="16">
        <v>2</v>
      </c>
      <c r="D36" s="16" t="s">
        <v>19</v>
      </c>
      <c r="E36" s="16" t="s">
        <v>20</v>
      </c>
      <c r="F36" s="16" t="s">
        <v>19</v>
      </c>
      <c r="G36" s="16" t="s">
        <v>16</v>
      </c>
      <c r="H36" s="16" t="s">
        <v>17</v>
      </c>
      <c r="I36" s="16" t="s">
        <v>18</v>
      </c>
      <c r="J36" s="16">
        <v>2365</v>
      </c>
      <c r="K36" s="16">
        <v>2151</v>
      </c>
      <c r="L36" s="16">
        <v>25.9890109890109</v>
      </c>
      <c r="M36" s="16">
        <v>23.6373626373626</v>
      </c>
      <c r="N36" s="16">
        <v>6</v>
      </c>
      <c r="O36" s="16">
        <v>0</v>
      </c>
      <c r="P36" s="16">
        <v>1</v>
      </c>
      <c r="Q36" s="16">
        <v>0</v>
      </c>
      <c r="R36" s="18">
        <v>90.951374207188096</v>
      </c>
      <c r="S36" s="18">
        <f t="shared" si="3"/>
        <v>88.252179349248536</v>
      </c>
      <c r="T36" s="18">
        <f t="shared" si="4"/>
        <v>2.6991948579395597</v>
      </c>
      <c r="U36" s="18">
        <f t="shared" si="5"/>
        <v>7.2856528811273602</v>
      </c>
      <c r="W36" s="19" t="s">
        <v>58</v>
      </c>
      <c r="X36" s="22">
        <f>AVERAGE(U31:U46)</f>
        <v>61.296456790524019</v>
      </c>
    </row>
    <row r="37" spans="1:24" x14ac:dyDescent="0.35">
      <c r="A37" s="2">
        <v>7</v>
      </c>
      <c r="B37" s="16">
        <v>2019</v>
      </c>
      <c r="C37" s="16">
        <v>3</v>
      </c>
      <c r="D37" s="16" t="s">
        <v>19</v>
      </c>
      <c r="E37" s="16" t="s">
        <v>20</v>
      </c>
      <c r="F37" s="16" t="s">
        <v>19</v>
      </c>
      <c r="G37" s="16" t="s">
        <v>16</v>
      </c>
      <c r="H37" s="16" t="s">
        <v>17</v>
      </c>
      <c r="I37" s="16" t="s">
        <v>18</v>
      </c>
      <c r="J37" s="16">
        <v>2667</v>
      </c>
      <c r="K37" s="16">
        <v>2549</v>
      </c>
      <c r="L37" s="16">
        <v>28.989130434782599</v>
      </c>
      <c r="M37" s="16">
        <v>27.706521739130402</v>
      </c>
      <c r="N37" s="16">
        <v>7</v>
      </c>
      <c r="O37" s="16">
        <v>0</v>
      </c>
      <c r="P37" s="16">
        <v>0</v>
      </c>
      <c r="Q37" s="16">
        <v>1</v>
      </c>
      <c r="R37" s="18">
        <v>95.575553055867999</v>
      </c>
      <c r="S37" s="18">
        <f t="shared" si="3"/>
        <v>91.178619303157078</v>
      </c>
      <c r="T37" s="18">
        <f t="shared" si="4"/>
        <v>4.3969337527109218</v>
      </c>
      <c r="U37" s="18">
        <f t="shared" si="5"/>
        <v>19.333026425728551</v>
      </c>
    </row>
    <row r="38" spans="1:24" x14ac:dyDescent="0.35">
      <c r="A38" s="2">
        <v>8</v>
      </c>
      <c r="B38" s="16">
        <v>2019</v>
      </c>
      <c r="C38" s="16">
        <v>4</v>
      </c>
      <c r="D38" s="16" t="s">
        <v>19</v>
      </c>
      <c r="E38" s="16" t="s">
        <v>20</v>
      </c>
      <c r="F38" s="16" t="s">
        <v>19</v>
      </c>
      <c r="G38" s="16" t="s">
        <v>16</v>
      </c>
      <c r="H38" s="16" t="s">
        <v>17</v>
      </c>
      <c r="I38" s="16" t="s">
        <v>18</v>
      </c>
      <c r="J38" s="16">
        <v>2703</v>
      </c>
      <c r="K38" s="16">
        <v>2588</v>
      </c>
      <c r="L38" s="16">
        <v>29.380434782608599</v>
      </c>
      <c r="M38" s="16">
        <v>28.130434782608599</v>
      </c>
      <c r="N38" s="16">
        <v>8</v>
      </c>
      <c r="O38" s="16">
        <v>0</v>
      </c>
      <c r="P38" s="16">
        <v>0</v>
      </c>
      <c r="Q38" s="16">
        <v>0</v>
      </c>
      <c r="R38" s="18">
        <v>95.745467998520098</v>
      </c>
      <c r="S38" s="18">
        <f t="shared" si="3"/>
        <v>93.436893837301298</v>
      </c>
      <c r="T38" s="18">
        <f t="shared" si="4"/>
        <v>2.3085741612188002</v>
      </c>
      <c r="U38" s="18">
        <f t="shared" si="5"/>
        <v>5.3295146578470867</v>
      </c>
    </row>
    <row r="39" spans="1:24" x14ac:dyDescent="0.35">
      <c r="A39" s="2">
        <v>9</v>
      </c>
      <c r="B39" s="16">
        <v>2020</v>
      </c>
      <c r="C39" s="16">
        <v>1</v>
      </c>
      <c r="D39" s="16" t="s">
        <v>19</v>
      </c>
      <c r="E39" s="16" t="s">
        <v>20</v>
      </c>
      <c r="F39" s="16" t="s">
        <v>19</v>
      </c>
      <c r="G39" s="16" t="s">
        <v>16</v>
      </c>
      <c r="H39" s="16" t="s">
        <v>17</v>
      </c>
      <c r="I39" s="16" t="s">
        <v>18</v>
      </c>
      <c r="J39" s="16">
        <v>2453</v>
      </c>
      <c r="K39" s="16">
        <v>2261</v>
      </c>
      <c r="L39" s="16">
        <v>26.956043956043899</v>
      </c>
      <c r="M39" s="16">
        <v>24.846153846153801</v>
      </c>
      <c r="N39" s="16">
        <v>9</v>
      </c>
      <c r="O39" s="16">
        <v>1</v>
      </c>
      <c r="P39" s="16">
        <v>0</v>
      </c>
      <c r="Q39" s="16">
        <v>0</v>
      </c>
      <c r="R39" s="18">
        <v>92.172849571952696</v>
      </c>
      <c r="S39" s="18">
        <f t="shared" si="3"/>
        <v>91.56961967038292</v>
      </c>
      <c r="T39" s="18">
        <f t="shared" si="4"/>
        <v>0.60322990156977596</v>
      </c>
      <c r="U39" s="18">
        <f t="shared" si="5"/>
        <v>0.36388631414788158</v>
      </c>
    </row>
    <row r="40" spans="1:24" x14ac:dyDescent="0.35">
      <c r="A40" s="2">
        <v>10</v>
      </c>
      <c r="B40" s="16">
        <v>2020</v>
      </c>
      <c r="C40" s="16">
        <v>2</v>
      </c>
      <c r="D40" s="16" t="s">
        <v>19</v>
      </c>
      <c r="E40" s="16" t="s">
        <v>20</v>
      </c>
      <c r="F40" s="16" t="s">
        <v>19</v>
      </c>
      <c r="G40" s="16" t="s">
        <v>16</v>
      </c>
      <c r="H40" s="16" t="s">
        <v>17</v>
      </c>
      <c r="I40" s="16" t="s">
        <v>18</v>
      </c>
      <c r="J40" s="16">
        <v>2828</v>
      </c>
      <c r="K40" s="16">
        <v>1939</v>
      </c>
      <c r="L40" s="16">
        <v>31.076923076922998</v>
      </c>
      <c r="M40" s="16">
        <v>21.307692307692299</v>
      </c>
      <c r="N40" s="16">
        <v>10</v>
      </c>
      <c r="O40" s="16">
        <v>0</v>
      </c>
      <c r="P40" s="16">
        <v>1</v>
      </c>
      <c r="Q40" s="16">
        <v>0</v>
      </c>
      <c r="R40" s="18">
        <v>68.564356435643504</v>
      </c>
      <c r="S40" s="18">
        <f t="shared" si="3"/>
        <v>86.239764747499592</v>
      </c>
      <c r="T40" s="18">
        <f t="shared" si="4"/>
        <v>-17.675408311856089</v>
      </c>
      <c r="U40" s="18">
        <f t="shared" si="5"/>
        <v>312.42005899083131</v>
      </c>
    </row>
    <row r="41" spans="1:24" x14ac:dyDescent="0.35">
      <c r="A41" s="2">
        <v>11</v>
      </c>
      <c r="B41" s="16">
        <v>2020</v>
      </c>
      <c r="C41" s="16">
        <v>3</v>
      </c>
      <c r="D41" s="16" t="s">
        <v>19</v>
      </c>
      <c r="E41" s="16" t="s">
        <v>20</v>
      </c>
      <c r="F41" s="16" t="s">
        <v>19</v>
      </c>
      <c r="G41" s="16" t="s">
        <v>16</v>
      </c>
      <c r="H41" s="16" t="s">
        <v>17</v>
      </c>
      <c r="I41" s="16" t="s">
        <v>18</v>
      </c>
      <c r="J41" s="16">
        <v>3075</v>
      </c>
      <c r="K41" s="16">
        <v>2289</v>
      </c>
      <c r="L41" s="16">
        <v>33.423913043478201</v>
      </c>
      <c r="M41" s="16">
        <v>24.880434782608599</v>
      </c>
      <c r="N41" s="16">
        <v>11</v>
      </c>
      <c r="O41" s="16">
        <v>0</v>
      </c>
      <c r="P41" s="16">
        <v>0</v>
      </c>
      <c r="Q41" s="16">
        <v>1</v>
      </c>
      <c r="R41" s="18">
        <v>74.439024390243901</v>
      </c>
      <c r="S41" s="18">
        <f t="shared" si="3"/>
        <v>89.166204701408148</v>
      </c>
      <c r="T41" s="18">
        <f t="shared" si="4"/>
        <v>-14.727180311164247</v>
      </c>
      <c r="U41" s="18">
        <f t="shared" si="5"/>
        <v>216.88983991754384</v>
      </c>
    </row>
    <row r="42" spans="1:24" x14ac:dyDescent="0.35">
      <c r="A42" s="2">
        <v>12</v>
      </c>
      <c r="B42" s="16">
        <v>2020</v>
      </c>
      <c r="C42" s="16">
        <v>4</v>
      </c>
      <c r="D42" s="16" t="s">
        <v>19</v>
      </c>
      <c r="E42" s="16" t="s">
        <v>20</v>
      </c>
      <c r="F42" s="16" t="s">
        <v>19</v>
      </c>
      <c r="G42" s="16" t="s">
        <v>16</v>
      </c>
      <c r="H42" s="16" t="s">
        <v>17</v>
      </c>
      <c r="I42" s="16" t="s">
        <v>18</v>
      </c>
      <c r="J42" s="16">
        <v>2598</v>
      </c>
      <c r="K42" s="16">
        <v>2077</v>
      </c>
      <c r="L42" s="16">
        <v>28.239130434782599</v>
      </c>
      <c r="M42" s="16">
        <v>22.576086956521699</v>
      </c>
      <c r="N42" s="16">
        <v>12</v>
      </c>
      <c r="O42" s="16">
        <v>0</v>
      </c>
      <c r="P42" s="16">
        <v>0</v>
      </c>
      <c r="Q42" s="16">
        <v>0</v>
      </c>
      <c r="R42" s="18">
        <v>79.946112394149296</v>
      </c>
      <c r="S42" s="18">
        <f t="shared" si="3"/>
        <v>91.424479235552369</v>
      </c>
      <c r="T42" s="18">
        <f t="shared" si="4"/>
        <v>-11.478366841403073</v>
      </c>
      <c r="U42" s="18">
        <f t="shared" si="5"/>
        <v>131.75290534582155</v>
      </c>
    </row>
    <row r="43" spans="1:24" x14ac:dyDescent="0.35">
      <c r="A43" s="2">
        <v>13</v>
      </c>
      <c r="B43" s="16">
        <v>2021</v>
      </c>
      <c r="C43" s="16">
        <v>1</v>
      </c>
      <c r="D43" s="16" t="s">
        <v>19</v>
      </c>
      <c r="E43" s="16" t="s">
        <v>20</v>
      </c>
      <c r="F43" s="16" t="s">
        <v>19</v>
      </c>
      <c r="G43" s="16" t="s">
        <v>16</v>
      </c>
      <c r="H43" s="16" t="s">
        <v>17</v>
      </c>
      <c r="I43" s="16" t="s">
        <v>18</v>
      </c>
      <c r="J43" s="16">
        <v>2635</v>
      </c>
      <c r="K43" s="16">
        <v>2301</v>
      </c>
      <c r="L43" s="16">
        <v>29.2777777777777</v>
      </c>
      <c r="M43" s="16">
        <v>25.566666666666599</v>
      </c>
      <c r="N43" s="16">
        <v>13</v>
      </c>
      <c r="O43" s="16">
        <v>1</v>
      </c>
      <c r="P43" s="16">
        <v>0</v>
      </c>
      <c r="Q43" s="16">
        <v>0</v>
      </c>
      <c r="R43" s="18">
        <v>87.324478178368096</v>
      </c>
      <c r="S43" s="18">
        <f t="shared" si="3"/>
        <v>89.557205068633976</v>
      </c>
      <c r="T43" s="18">
        <f t="shared" si="4"/>
        <v>-2.2327268902658801</v>
      </c>
      <c r="U43" s="18">
        <f t="shared" si="5"/>
        <v>4.9850693665163472</v>
      </c>
    </row>
    <row r="44" spans="1:24" x14ac:dyDescent="0.35">
      <c r="A44" s="2">
        <v>14</v>
      </c>
      <c r="B44" s="16">
        <v>2021</v>
      </c>
      <c r="C44" s="16">
        <v>2</v>
      </c>
      <c r="D44" s="16" t="s">
        <v>19</v>
      </c>
      <c r="E44" s="16" t="s">
        <v>20</v>
      </c>
      <c r="F44" s="16" t="s">
        <v>19</v>
      </c>
      <c r="G44" s="16" t="s">
        <v>16</v>
      </c>
      <c r="H44" s="16" t="s">
        <v>17</v>
      </c>
      <c r="I44" s="16" t="s">
        <v>18</v>
      </c>
      <c r="J44" s="16">
        <v>2471</v>
      </c>
      <c r="K44" s="16">
        <v>2345</v>
      </c>
      <c r="L44" s="16">
        <v>27.1538461538461</v>
      </c>
      <c r="M44" s="16">
        <v>25.769230769230699</v>
      </c>
      <c r="N44" s="16">
        <v>14</v>
      </c>
      <c r="O44" s="16">
        <v>0</v>
      </c>
      <c r="P44" s="16">
        <v>1</v>
      </c>
      <c r="Q44" s="16">
        <v>0</v>
      </c>
      <c r="R44" s="18">
        <v>94.900849858356906</v>
      </c>
      <c r="S44" s="18">
        <f t="shared" si="3"/>
        <v>84.227350145750663</v>
      </c>
      <c r="T44" s="18">
        <f t="shared" si="4"/>
        <v>10.673499712606244</v>
      </c>
      <c r="U44" s="18">
        <f t="shared" si="5"/>
        <v>113.92359611500557</v>
      </c>
    </row>
    <row r="45" spans="1:24" x14ac:dyDescent="0.35">
      <c r="A45" s="2">
        <v>15</v>
      </c>
      <c r="B45" s="16">
        <v>2021</v>
      </c>
      <c r="C45" s="16">
        <v>3</v>
      </c>
      <c r="D45" s="16" t="s">
        <v>19</v>
      </c>
      <c r="E45" s="16" t="s">
        <v>20</v>
      </c>
      <c r="F45" s="16" t="s">
        <v>19</v>
      </c>
      <c r="G45" s="16" t="s">
        <v>16</v>
      </c>
      <c r="H45" s="16" t="s">
        <v>17</v>
      </c>
      <c r="I45" s="16" t="s">
        <v>18</v>
      </c>
      <c r="J45" s="16">
        <v>2712</v>
      </c>
      <c r="K45" s="16">
        <v>2603</v>
      </c>
      <c r="L45" s="16">
        <v>29.478260869565201</v>
      </c>
      <c r="M45" s="16">
        <v>28.293478260869499</v>
      </c>
      <c r="N45" s="16">
        <v>15</v>
      </c>
      <c r="O45" s="16">
        <v>0</v>
      </c>
      <c r="P45" s="16">
        <v>0</v>
      </c>
      <c r="Q45" s="16">
        <v>1</v>
      </c>
      <c r="R45" s="18">
        <v>95.980825958701999</v>
      </c>
      <c r="S45" s="18">
        <f t="shared" si="3"/>
        <v>87.153790099659204</v>
      </c>
      <c r="T45" s="18">
        <f t="shared" si="4"/>
        <v>8.8270358590427946</v>
      </c>
      <c r="U45" s="18">
        <f t="shared" si="5"/>
        <v>77.916562056827374</v>
      </c>
    </row>
    <row r="46" spans="1:24" x14ac:dyDescent="0.35">
      <c r="A46" s="2">
        <v>16</v>
      </c>
      <c r="B46" s="16">
        <v>2021</v>
      </c>
      <c r="C46" s="16">
        <v>4</v>
      </c>
      <c r="D46" s="16" t="s">
        <v>19</v>
      </c>
      <c r="E46" s="16" t="s">
        <v>20</v>
      </c>
      <c r="F46" s="16" t="s">
        <v>19</v>
      </c>
      <c r="G46" s="16" t="s">
        <v>16</v>
      </c>
      <c r="H46" s="16" t="s">
        <v>17</v>
      </c>
      <c r="I46" s="16" t="s">
        <v>18</v>
      </c>
      <c r="J46" s="16">
        <v>2319</v>
      </c>
      <c r="K46" s="16">
        <v>2264</v>
      </c>
      <c r="L46" s="16">
        <v>25.206521739130402</v>
      </c>
      <c r="M46" s="16">
        <v>24.6086956521739</v>
      </c>
      <c r="N46" s="16">
        <v>16</v>
      </c>
      <c r="O46" s="16">
        <v>0</v>
      </c>
      <c r="P46" s="16">
        <v>0</v>
      </c>
      <c r="Q46" s="16">
        <v>0</v>
      </c>
      <c r="R46" s="18">
        <v>97.628288055196194</v>
      </c>
      <c r="S46" s="18">
        <f t="shared" si="3"/>
        <v>89.412064633803439</v>
      </c>
      <c r="T46" s="18">
        <f t="shared" si="4"/>
        <v>8.2162234213927547</v>
      </c>
      <c r="U46" s="18">
        <f t="shared" si="5"/>
        <v>67.506327310242867</v>
      </c>
    </row>
    <row r="47" spans="1:24" x14ac:dyDescent="0.35">
      <c r="A47" s="2">
        <v>17</v>
      </c>
      <c r="B47" s="16">
        <v>2022</v>
      </c>
      <c r="C47" s="16">
        <v>1</v>
      </c>
      <c r="D47" s="16" t="s">
        <v>19</v>
      </c>
      <c r="E47" s="16" t="s">
        <v>20</v>
      </c>
      <c r="F47" s="16"/>
      <c r="G47" s="16"/>
      <c r="H47" s="16"/>
      <c r="I47" s="16"/>
      <c r="J47" s="16"/>
      <c r="K47" s="16"/>
      <c r="L47" s="16"/>
      <c r="M47" s="16"/>
      <c r="N47" s="16">
        <v>17</v>
      </c>
      <c r="O47" s="16">
        <v>1</v>
      </c>
      <c r="P47" s="16">
        <v>0</v>
      </c>
      <c r="Q47" s="16">
        <v>0</v>
      </c>
      <c r="R47" s="18"/>
      <c r="S47" s="18">
        <f t="shared" si="3"/>
        <v>87.544790466885047</v>
      </c>
      <c r="T47" s="18"/>
      <c r="U47" s="18"/>
    </row>
    <row r="48" spans="1:24" x14ac:dyDescent="0.35">
      <c r="A48" s="2">
        <v>18</v>
      </c>
      <c r="B48" s="16">
        <v>2022</v>
      </c>
      <c r="C48" s="16">
        <v>2</v>
      </c>
      <c r="D48" s="16" t="s">
        <v>19</v>
      </c>
      <c r="E48" s="16" t="s">
        <v>20</v>
      </c>
      <c r="F48" s="16"/>
      <c r="G48" s="16"/>
      <c r="H48" s="16"/>
      <c r="I48" s="16"/>
      <c r="J48" s="16"/>
      <c r="K48" s="16"/>
      <c r="L48" s="16"/>
      <c r="M48" s="16"/>
      <c r="N48" s="16">
        <v>18</v>
      </c>
      <c r="O48" s="16">
        <v>0</v>
      </c>
      <c r="P48" s="16">
        <v>1</v>
      </c>
      <c r="Q48" s="16">
        <v>0</v>
      </c>
      <c r="R48" s="18"/>
      <c r="S48" s="18">
        <f t="shared" si="3"/>
        <v>82.214935544001733</v>
      </c>
      <c r="T48" s="18"/>
      <c r="U48" s="18"/>
    </row>
    <row r="49" spans="1:22" x14ac:dyDescent="0.35">
      <c r="A49" s="2">
        <v>19</v>
      </c>
      <c r="B49" s="16">
        <v>2022</v>
      </c>
      <c r="C49" s="16">
        <v>3</v>
      </c>
      <c r="D49" s="16" t="s">
        <v>19</v>
      </c>
      <c r="E49" s="16" t="s">
        <v>20</v>
      </c>
      <c r="F49" s="16"/>
      <c r="G49" s="16"/>
      <c r="H49" s="16"/>
      <c r="I49" s="16"/>
      <c r="J49" s="16"/>
      <c r="K49" s="16"/>
      <c r="L49" s="16"/>
      <c r="M49" s="16"/>
      <c r="N49" s="16">
        <v>19</v>
      </c>
      <c r="O49" s="16">
        <v>0</v>
      </c>
      <c r="P49" s="16">
        <v>0</v>
      </c>
      <c r="Q49" s="16">
        <v>1</v>
      </c>
      <c r="R49" s="18"/>
      <c r="S49" s="18">
        <f t="shared" si="3"/>
        <v>85.141375497910275</v>
      </c>
      <c r="T49" s="18"/>
      <c r="U49" s="18"/>
    </row>
    <row r="50" spans="1:22" x14ac:dyDescent="0.35">
      <c r="A50" s="2">
        <v>20</v>
      </c>
      <c r="B50" s="16">
        <v>2022</v>
      </c>
      <c r="C50" s="16">
        <v>4</v>
      </c>
      <c r="D50" s="16" t="s">
        <v>19</v>
      </c>
      <c r="E50" s="16" t="s">
        <v>20</v>
      </c>
      <c r="F50" s="16"/>
      <c r="G50" s="16"/>
      <c r="H50" s="16"/>
      <c r="I50" s="16"/>
      <c r="J50" s="16"/>
      <c r="K50" s="16"/>
      <c r="L50" s="16"/>
      <c r="M50" s="16"/>
      <c r="N50" s="16">
        <v>20</v>
      </c>
      <c r="O50" s="16">
        <v>0</v>
      </c>
      <c r="P50" s="16">
        <v>0</v>
      </c>
      <c r="Q50" s="16">
        <v>0</v>
      </c>
      <c r="R50" s="16"/>
      <c r="S50" s="18">
        <f t="shared" si="3"/>
        <v>87.399650032054495</v>
      </c>
      <c r="T50" s="16"/>
      <c r="U50" s="16"/>
    </row>
    <row r="51" spans="1:22" ht="15" thickBot="1" x14ac:dyDescent="0.4"/>
    <row r="52" spans="1:22" x14ac:dyDescent="0.35">
      <c r="U52" s="20"/>
      <c r="V52" s="20" t="s">
        <v>46</v>
      </c>
    </row>
    <row r="53" spans="1:22" x14ac:dyDescent="0.35">
      <c r="U53" s="19" t="s">
        <v>40</v>
      </c>
      <c r="V53" s="19">
        <v>97.461723040799171</v>
      </c>
    </row>
    <row r="54" spans="1:22" x14ac:dyDescent="0.35">
      <c r="U54" s="19" t="s">
        <v>53</v>
      </c>
      <c r="V54" s="19">
        <v>-0.50310365043723348</v>
      </c>
    </row>
    <row r="55" spans="1:22" x14ac:dyDescent="0.35">
      <c r="U55" s="19" t="s">
        <v>63</v>
      </c>
      <c r="V55" s="19">
        <v>-1.3641705164811513</v>
      </c>
    </row>
    <row r="56" spans="1:22" x14ac:dyDescent="0.35">
      <c r="U56" s="19" t="s">
        <v>64</v>
      </c>
      <c r="V56" s="19">
        <v>-6.1909217889272377</v>
      </c>
    </row>
    <row r="57" spans="1:22" ht="15" thickBot="1" x14ac:dyDescent="0.4">
      <c r="U57" s="21" t="s">
        <v>65</v>
      </c>
      <c r="V57" s="21">
        <v>-2.7613781845814565</v>
      </c>
    </row>
    <row r="61" spans="1:22" ht="18.5" x14ac:dyDescent="0.45">
      <c r="A61" s="13" t="s">
        <v>71</v>
      </c>
      <c r="N61" s="30" t="s">
        <v>66</v>
      </c>
      <c r="O61" s="30">
        <v>0.9</v>
      </c>
    </row>
    <row r="64" spans="1:22" x14ac:dyDescent="0.35">
      <c r="A64" s="17" t="s">
        <v>0</v>
      </c>
      <c r="B64" s="3" t="s">
        <v>1</v>
      </c>
      <c r="C64" s="3" t="s">
        <v>2</v>
      </c>
      <c r="D64" s="3" t="s">
        <v>3</v>
      </c>
      <c r="E64" s="3" t="s">
        <v>4</v>
      </c>
      <c r="F64" s="3" t="s">
        <v>5</v>
      </c>
      <c r="G64" s="3" t="s">
        <v>6</v>
      </c>
      <c r="H64" s="3" t="s">
        <v>7</v>
      </c>
      <c r="I64" s="3" t="s">
        <v>8</v>
      </c>
      <c r="J64" s="3" t="s">
        <v>9</v>
      </c>
      <c r="K64" s="3" t="s">
        <v>10</v>
      </c>
      <c r="L64" s="3" t="s">
        <v>11</v>
      </c>
      <c r="M64" s="3" t="s">
        <v>12</v>
      </c>
      <c r="N64" s="3" t="s">
        <v>13</v>
      </c>
      <c r="O64" s="3" t="s">
        <v>28</v>
      </c>
      <c r="P64" s="3" t="s">
        <v>55</v>
      </c>
      <c r="Q64" s="3" t="s">
        <v>56</v>
      </c>
    </row>
    <row r="65" spans="1:22" x14ac:dyDescent="0.35">
      <c r="A65" s="17">
        <v>1</v>
      </c>
      <c r="B65" s="16">
        <v>2018</v>
      </c>
      <c r="C65" s="16">
        <v>1</v>
      </c>
      <c r="D65" s="16" t="s">
        <v>19</v>
      </c>
      <c r="E65" s="16" t="s">
        <v>20</v>
      </c>
      <c r="F65" s="16" t="s">
        <v>19</v>
      </c>
      <c r="G65" s="16" t="s">
        <v>16</v>
      </c>
      <c r="H65" s="16" t="s">
        <v>17</v>
      </c>
      <c r="I65" s="16" t="s">
        <v>18</v>
      </c>
      <c r="J65" s="16">
        <v>1957</v>
      </c>
      <c r="K65" s="16">
        <v>1889</v>
      </c>
      <c r="L65" s="16">
        <v>21.744444444444401</v>
      </c>
      <c r="M65" s="16">
        <v>20.988888888888798</v>
      </c>
      <c r="N65" s="18">
        <v>96.525293817066895</v>
      </c>
      <c r="O65" s="16"/>
      <c r="P65" s="16"/>
      <c r="Q65" s="16"/>
    </row>
    <row r="66" spans="1:22" x14ac:dyDescent="0.35">
      <c r="A66" s="17">
        <v>2</v>
      </c>
      <c r="B66" s="16">
        <v>2018</v>
      </c>
      <c r="C66" s="16">
        <v>2</v>
      </c>
      <c r="D66" s="16" t="s">
        <v>19</v>
      </c>
      <c r="E66" s="16" t="s">
        <v>20</v>
      </c>
      <c r="F66" s="16" t="s">
        <v>19</v>
      </c>
      <c r="G66" s="16" t="s">
        <v>16</v>
      </c>
      <c r="H66" s="16" t="s">
        <v>17</v>
      </c>
      <c r="I66" s="16" t="s">
        <v>18</v>
      </c>
      <c r="J66" s="16">
        <v>2080</v>
      </c>
      <c r="K66" s="16">
        <v>1967</v>
      </c>
      <c r="L66" s="16">
        <v>22.857142857142801</v>
      </c>
      <c r="M66" s="16">
        <v>21.615384615384599</v>
      </c>
      <c r="N66" s="18">
        <v>94.567307692307693</v>
      </c>
      <c r="O66" s="18">
        <f>N65</f>
        <v>96.525293817066895</v>
      </c>
      <c r="P66" s="18">
        <f>N66-O66</f>
        <v>-1.9579861247592021</v>
      </c>
      <c r="Q66" s="18">
        <f>P66*P66</f>
        <v>3.8337096647495579</v>
      </c>
    </row>
    <row r="67" spans="1:22" x14ac:dyDescent="0.35">
      <c r="A67" s="17">
        <v>3</v>
      </c>
      <c r="B67" s="16">
        <v>2018</v>
      </c>
      <c r="C67" s="16">
        <v>3</v>
      </c>
      <c r="D67" s="16" t="s">
        <v>19</v>
      </c>
      <c r="E67" s="16" t="s">
        <v>20</v>
      </c>
      <c r="F67" s="16" t="s">
        <v>19</v>
      </c>
      <c r="G67" s="16" t="s">
        <v>16</v>
      </c>
      <c r="H67" s="16" t="s">
        <v>17</v>
      </c>
      <c r="I67" s="16" t="s">
        <v>18</v>
      </c>
      <c r="J67" s="16">
        <v>2224</v>
      </c>
      <c r="K67" s="16">
        <v>2106</v>
      </c>
      <c r="L67" s="16">
        <v>24.173913043478201</v>
      </c>
      <c r="M67" s="16">
        <v>22.891304347826001</v>
      </c>
      <c r="N67" s="18">
        <v>94.694244604316495</v>
      </c>
      <c r="O67" s="18">
        <f>$O$61*N66+(1-$O$61)*O66</f>
        <v>94.763106304783605</v>
      </c>
      <c r="P67" s="18">
        <f t="shared" ref="P67:P80" si="6">N67-O67</f>
        <v>-6.8861700467110154E-2</v>
      </c>
      <c r="Q67" s="18">
        <f t="shared" ref="Q67:Q80" si="7">P67*P67</f>
        <v>4.7419337912219988E-3</v>
      </c>
    </row>
    <row r="68" spans="1:22" x14ac:dyDescent="0.35">
      <c r="A68" s="17">
        <v>4</v>
      </c>
      <c r="B68" s="16">
        <v>2018</v>
      </c>
      <c r="C68" s="16">
        <v>4</v>
      </c>
      <c r="D68" s="16" t="s">
        <v>19</v>
      </c>
      <c r="E68" s="16" t="s">
        <v>20</v>
      </c>
      <c r="F68" s="16" t="s">
        <v>19</v>
      </c>
      <c r="G68" s="16" t="s">
        <v>16</v>
      </c>
      <c r="H68" s="16" t="s">
        <v>17</v>
      </c>
      <c r="I68" s="16" t="s">
        <v>18</v>
      </c>
      <c r="J68" s="16">
        <v>2641</v>
      </c>
      <c r="K68" s="16">
        <v>2546</v>
      </c>
      <c r="L68" s="16">
        <v>28.706521739130402</v>
      </c>
      <c r="M68" s="16">
        <v>27.673913043478201</v>
      </c>
      <c r="N68" s="18">
        <v>96.402877697841703</v>
      </c>
      <c r="O68" s="18">
        <f t="shared" ref="O68:O81" si="8">$O$61*N67+(1-$O$61)*O67</f>
        <v>94.701130774363207</v>
      </c>
      <c r="P68" s="18">
        <f t="shared" si="6"/>
        <v>1.7017469234784954</v>
      </c>
      <c r="Q68" s="18">
        <f t="shared" si="7"/>
        <v>2.8959425915685242</v>
      </c>
    </row>
    <row r="69" spans="1:22" x14ac:dyDescent="0.35">
      <c r="A69" s="17">
        <v>5</v>
      </c>
      <c r="B69" s="16">
        <v>2019</v>
      </c>
      <c r="C69" s="16">
        <v>1</v>
      </c>
      <c r="D69" s="16" t="s">
        <v>19</v>
      </c>
      <c r="E69" s="16" t="s">
        <v>20</v>
      </c>
      <c r="F69" s="16" t="s">
        <v>19</v>
      </c>
      <c r="G69" s="16" t="s">
        <v>16</v>
      </c>
      <c r="H69" s="16" t="s">
        <v>17</v>
      </c>
      <c r="I69" s="16" t="s">
        <v>18</v>
      </c>
      <c r="J69" s="16">
        <v>2273</v>
      </c>
      <c r="K69" s="16">
        <v>2143</v>
      </c>
      <c r="L69" s="16">
        <v>25.2555555555555</v>
      </c>
      <c r="M69" s="16">
        <v>23.811111111111099</v>
      </c>
      <c r="N69" s="18">
        <v>94.280686317641795</v>
      </c>
      <c r="O69" s="18">
        <f t="shared" si="8"/>
        <v>96.23270300549386</v>
      </c>
      <c r="P69" s="18">
        <f t="shared" si="6"/>
        <v>-1.9520166878520655</v>
      </c>
      <c r="Q69" s="18">
        <f t="shared" si="7"/>
        <v>3.8103691496529479</v>
      </c>
    </row>
    <row r="70" spans="1:22" x14ac:dyDescent="0.35">
      <c r="A70" s="17">
        <v>6</v>
      </c>
      <c r="B70" s="16">
        <v>2019</v>
      </c>
      <c r="C70" s="16">
        <v>2</v>
      </c>
      <c r="D70" s="16" t="s">
        <v>19</v>
      </c>
      <c r="E70" s="16" t="s">
        <v>20</v>
      </c>
      <c r="F70" s="16" t="s">
        <v>19</v>
      </c>
      <c r="G70" s="16" t="s">
        <v>16</v>
      </c>
      <c r="H70" s="16" t="s">
        <v>17</v>
      </c>
      <c r="I70" s="16" t="s">
        <v>18</v>
      </c>
      <c r="J70" s="16">
        <v>2365</v>
      </c>
      <c r="K70" s="16">
        <v>2151</v>
      </c>
      <c r="L70" s="16">
        <v>25.9890109890109</v>
      </c>
      <c r="M70" s="16">
        <v>23.6373626373626</v>
      </c>
      <c r="N70" s="18">
        <v>90.951374207188096</v>
      </c>
      <c r="O70" s="18">
        <f t="shared" si="8"/>
        <v>94.475887986426997</v>
      </c>
      <c r="P70" s="18">
        <f t="shared" si="6"/>
        <v>-3.5245137792389016</v>
      </c>
      <c r="Q70" s="18">
        <f t="shared" si="7"/>
        <v>12.422197380044885</v>
      </c>
    </row>
    <row r="71" spans="1:22" x14ac:dyDescent="0.35">
      <c r="A71" s="17">
        <v>7</v>
      </c>
      <c r="B71" s="16">
        <v>2019</v>
      </c>
      <c r="C71" s="16">
        <v>3</v>
      </c>
      <c r="D71" s="16" t="s">
        <v>19</v>
      </c>
      <c r="E71" s="16" t="s">
        <v>20</v>
      </c>
      <c r="F71" s="16" t="s">
        <v>19</v>
      </c>
      <c r="G71" s="16" t="s">
        <v>16</v>
      </c>
      <c r="H71" s="16" t="s">
        <v>17</v>
      </c>
      <c r="I71" s="16" t="s">
        <v>18</v>
      </c>
      <c r="J71" s="16">
        <v>2667</v>
      </c>
      <c r="K71" s="16">
        <v>2549</v>
      </c>
      <c r="L71" s="16">
        <v>28.989130434782599</v>
      </c>
      <c r="M71" s="16">
        <v>27.706521739130402</v>
      </c>
      <c r="N71" s="18">
        <v>95.575553055867999</v>
      </c>
      <c r="O71" s="18">
        <f t="shared" si="8"/>
        <v>91.30382558511198</v>
      </c>
      <c r="P71" s="18">
        <f t="shared" si="6"/>
        <v>4.2717274707560193</v>
      </c>
      <c r="Q71" s="18">
        <f t="shared" si="7"/>
        <v>18.247655584411618</v>
      </c>
    </row>
    <row r="72" spans="1:22" x14ac:dyDescent="0.35">
      <c r="A72" s="17">
        <v>8</v>
      </c>
      <c r="B72" s="16">
        <v>2019</v>
      </c>
      <c r="C72" s="16">
        <v>4</v>
      </c>
      <c r="D72" s="16" t="s">
        <v>19</v>
      </c>
      <c r="E72" s="16" t="s">
        <v>20</v>
      </c>
      <c r="F72" s="16" t="s">
        <v>19</v>
      </c>
      <c r="G72" s="16" t="s">
        <v>16</v>
      </c>
      <c r="H72" s="16" t="s">
        <v>17</v>
      </c>
      <c r="I72" s="16" t="s">
        <v>18</v>
      </c>
      <c r="J72" s="16">
        <v>2703</v>
      </c>
      <c r="K72" s="16">
        <v>2588</v>
      </c>
      <c r="L72" s="16">
        <v>29.380434782608599</v>
      </c>
      <c r="M72" s="16">
        <v>28.130434782608599</v>
      </c>
      <c r="N72" s="18">
        <v>95.745467998520098</v>
      </c>
      <c r="O72" s="18">
        <f t="shared" si="8"/>
        <v>95.148380308792397</v>
      </c>
      <c r="P72" s="18">
        <f t="shared" si="6"/>
        <v>0.59708768972770088</v>
      </c>
      <c r="Q72" s="18">
        <f t="shared" si="7"/>
        <v>0.35651370922436321</v>
      </c>
    </row>
    <row r="73" spans="1:22" x14ac:dyDescent="0.35">
      <c r="A73" s="17">
        <v>9</v>
      </c>
      <c r="B73" s="16">
        <v>2020</v>
      </c>
      <c r="C73" s="16">
        <v>1</v>
      </c>
      <c r="D73" s="16" t="s">
        <v>19</v>
      </c>
      <c r="E73" s="16" t="s">
        <v>20</v>
      </c>
      <c r="F73" s="16" t="s">
        <v>19</v>
      </c>
      <c r="G73" s="16" t="s">
        <v>16</v>
      </c>
      <c r="H73" s="16" t="s">
        <v>17</v>
      </c>
      <c r="I73" s="16" t="s">
        <v>18</v>
      </c>
      <c r="J73" s="16">
        <v>2453</v>
      </c>
      <c r="K73" s="16">
        <v>2261</v>
      </c>
      <c r="L73" s="16">
        <v>26.956043956043899</v>
      </c>
      <c r="M73" s="16">
        <v>24.846153846153801</v>
      </c>
      <c r="N73" s="18">
        <v>92.172849571952696</v>
      </c>
      <c r="O73" s="18">
        <f t="shared" si="8"/>
        <v>95.68575922954733</v>
      </c>
      <c r="P73" s="18">
        <f t="shared" si="6"/>
        <v>-3.5129096575946335</v>
      </c>
      <c r="Q73" s="18">
        <f t="shared" si="7"/>
        <v>12.340534262421645</v>
      </c>
    </row>
    <row r="74" spans="1:22" x14ac:dyDescent="0.35">
      <c r="A74" s="17">
        <v>10</v>
      </c>
      <c r="B74" s="16">
        <v>2020</v>
      </c>
      <c r="C74" s="16">
        <v>2</v>
      </c>
      <c r="D74" s="16" t="s">
        <v>19</v>
      </c>
      <c r="E74" s="16" t="s">
        <v>20</v>
      </c>
      <c r="F74" s="16" t="s">
        <v>19</v>
      </c>
      <c r="G74" s="16" t="s">
        <v>16</v>
      </c>
      <c r="H74" s="16" t="s">
        <v>17</v>
      </c>
      <c r="I74" s="16" t="s">
        <v>18</v>
      </c>
      <c r="J74" s="16">
        <v>2828</v>
      </c>
      <c r="K74" s="16">
        <v>1939</v>
      </c>
      <c r="L74" s="16">
        <v>31.076923076922998</v>
      </c>
      <c r="M74" s="16">
        <v>21.307692307692299</v>
      </c>
      <c r="N74" s="18">
        <v>68.564356435643504</v>
      </c>
      <c r="O74" s="18">
        <f t="shared" si="8"/>
        <v>92.524140537712171</v>
      </c>
      <c r="P74" s="18">
        <f t="shared" si="6"/>
        <v>-23.959784102068667</v>
      </c>
      <c r="Q74" s="18">
        <f t="shared" si="7"/>
        <v>574.07125421774242</v>
      </c>
      <c r="U74" s="19" t="s">
        <v>57</v>
      </c>
      <c r="V74" s="19"/>
    </row>
    <row r="75" spans="1:22" x14ac:dyDescent="0.35">
      <c r="A75" s="17">
        <v>11</v>
      </c>
      <c r="B75" s="16">
        <v>2020</v>
      </c>
      <c r="C75" s="16">
        <v>3</v>
      </c>
      <c r="D75" s="16" t="s">
        <v>19</v>
      </c>
      <c r="E75" s="16" t="s">
        <v>20</v>
      </c>
      <c r="F75" s="16" t="s">
        <v>19</v>
      </c>
      <c r="G75" s="16" t="s">
        <v>16</v>
      </c>
      <c r="H75" s="16" t="s">
        <v>17</v>
      </c>
      <c r="I75" s="16" t="s">
        <v>18</v>
      </c>
      <c r="J75" s="16">
        <v>3075</v>
      </c>
      <c r="K75" s="16">
        <v>2289</v>
      </c>
      <c r="L75" s="16">
        <v>33.423913043478201</v>
      </c>
      <c r="M75" s="16">
        <v>24.880434782608599</v>
      </c>
      <c r="N75" s="18">
        <v>74.439024390243901</v>
      </c>
      <c r="O75" s="18">
        <f t="shared" si="8"/>
        <v>70.960334845850369</v>
      </c>
      <c r="P75" s="18">
        <f t="shared" si="6"/>
        <v>3.4786895443935322</v>
      </c>
      <c r="Q75" s="18">
        <f t="shared" si="7"/>
        <v>12.10128094627288</v>
      </c>
      <c r="U75" s="19" t="s">
        <v>58</v>
      </c>
      <c r="V75" s="22">
        <f>AVERAGE(Q66:Q80)</f>
        <v>54.329956559712407</v>
      </c>
    </row>
    <row r="76" spans="1:22" x14ac:dyDescent="0.35">
      <c r="A76" s="17">
        <v>12</v>
      </c>
      <c r="B76" s="16">
        <v>2020</v>
      </c>
      <c r="C76" s="16">
        <v>4</v>
      </c>
      <c r="D76" s="16" t="s">
        <v>19</v>
      </c>
      <c r="E76" s="16" t="s">
        <v>20</v>
      </c>
      <c r="F76" s="16" t="s">
        <v>19</v>
      </c>
      <c r="G76" s="16" t="s">
        <v>16</v>
      </c>
      <c r="H76" s="16" t="s">
        <v>17</v>
      </c>
      <c r="I76" s="16" t="s">
        <v>18</v>
      </c>
      <c r="J76" s="16">
        <v>2598</v>
      </c>
      <c r="K76" s="16">
        <v>2077</v>
      </c>
      <c r="L76" s="16">
        <v>28.239130434782599</v>
      </c>
      <c r="M76" s="16">
        <v>22.576086956521699</v>
      </c>
      <c r="N76" s="18">
        <v>79.946112394149296</v>
      </c>
      <c r="O76" s="18">
        <f t="shared" si="8"/>
        <v>74.091155435804552</v>
      </c>
      <c r="P76" s="18">
        <f t="shared" si="6"/>
        <v>5.8549569583447436</v>
      </c>
      <c r="Q76" s="18">
        <f t="shared" si="7"/>
        <v>34.280520984069533</v>
      </c>
    </row>
    <row r="77" spans="1:22" x14ac:dyDescent="0.35">
      <c r="A77" s="17">
        <v>13</v>
      </c>
      <c r="B77" s="16">
        <v>2021</v>
      </c>
      <c r="C77" s="16">
        <v>1</v>
      </c>
      <c r="D77" s="16" t="s">
        <v>19</v>
      </c>
      <c r="E77" s="16" t="s">
        <v>20</v>
      </c>
      <c r="F77" s="16" t="s">
        <v>19</v>
      </c>
      <c r="G77" s="16" t="s">
        <v>16</v>
      </c>
      <c r="H77" s="16" t="s">
        <v>17</v>
      </c>
      <c r="I77" s="16" t="s">
        <v>18</v>
      </c>
      <c r="J77" s="16">
        <v>2635</v>
      </c>
      <c r="K77" s="16">
        <v>2301</v>
      </c>
      <c r="L77" s="16">
        <v>29.2777777777777</v>
      </c>
      <c r="M77" s="16">
        <v>25.566666666666599</v>
      </c>
      <c r="N77" s="18">
        <v>87.324478178368096</v>
      </c>
      <c r="O77" s="18">
        <f t="shared" si="8"/>
        <v>79.360616698314828</v>
      </c>
      <c r="P77" s="18">
        <f t="shared" si="6"/>
        <v>7.9638614800532679</v>
      </c>
      <c r="Q77" s="18">
        <f t="shared" si="7"/>
        <v>63.423089673476227</v>
      </c>
      <c r="U77" s="19" t="s">
        <v>67</v>
      </c>
      <c r="V77" s="19" t="s">
        <v>58</v>
      </c>
    </row>
    <row r="78" spans="1:22" x14ac:dyDescent="0.35">
      <c r="A78" s="17">
        <v>14</v>
      </c>
      <c r="B78" s="16">
        <v>2021</v>
      </c>
      <c r="C78" s="16">
        <v>2</v>
      </c>
      <c r="D78" s="16" t="s">
        <v>19</v>
      </c>
      <c r="E78" s="16" t="s">
        <v>20</v>
      </c>
      <c r="F78" s="16" t="s">
        <v>19</v>
      </c>
      <c r="G78" s="16" t="s">
        <v>16</v>
      </c>
      <c r="H78" s="16" t="s">
        <v>17</v>
      </c>
      <c r="I78" s="16" t="s">
        <v>18</v>
      </c>
      <c r="J78" s="16">
        <v>2471</v>
      </c>
      <c r="K78" s="16">
        <v>2345</v>
      </c>
      <c r="L78" s="16">
        <v>27.1538461538461</v>
      </c>
      <c r="M78" s="16">
        <v>25.769230769230699</v>
      </c>
      <c r="N78" s="18">
        <v>94.900849858356906</v>
      </c>
      <c r="O78" s="18">
        <f t="shared" si="8"/>
        <v>86.528092030362757</v>
      </c>
      <c r="P78" s="18">
        <f t="shared" si="6"/>
        <v>8.3727578279941497</v>
      </c>
      <c r="Q78" s="18">
        <f t="shared" si="7"/>
        <v>70.103073646237306</v>
      </c>
      <c r="U78" s="19">
        <v>0.2</v>
      </c>
      <c r="V78" s="19">
        <v>80.86</v>
      </c>
    </row>
    <row r="79" spans="1:22" x14ac:dyDescent="0.35">
      <c r="A79" s="17">
        <v>15</v>
      </c>
      <c r="B79" s="16">
        <v>2021</v>
      </c>
      <c r="C79" s="16">
        <v>3</v>
      </c>
      <c r="D79" s="16" t="s">
        <v>19</v>
      </c>
      <c r="E79" s="16" t="s">
        <v>20</v>
      </c>
      <c r="F79" s="16" t="s">
        <v>19</v>
      </c>
      <c r="G79" s="16" t="s">
        <v>16</v>
      </c>
      <c r="H79" s="16" t="s">
        <v>17</v>
      </c>
      <c r="I79" s="16" t="s">
        <v>18</v>
      </c>
      <c r="J79" s="16">
        <v>2712</v>
      </c>
      <c r="K79" s="16">
        <v>2603</v>
      </c>
      <c r="L79" s="16">
        <v>29.478260869565201</v>
      </c>
      <c r="M79" s="16">
        <v>28.293478260869499</v>
      </c>
      <c r="N79" s="18">
        <v>95.980825958701999</v>
      </c>
      <c r="O79" s="18">
        <f t="shared" si="8"/>
        <v>94.063574075557483</v>
      </c>
      <c r="P79" s="18">
        <f t="shared" si="6"/>
        <v>1.917251883144516</v>
      </c>
      <c r="Q79" s="18">
        <f t="shared" si="7"/>
        <v>3.675854783421193</v>
      </c>
      <c r="U79" s="19">
        <v>0.4</v>
      </c>
      <c r="V79" s="19">
        <v>71.489999999999995</v>
      </c>
    </row>
    <row r="80" spans="1:22" x14ac:dyDescent="0.35">
      <c r="A80" s="17">
        <v>16</v>
      </c>
      <c r="B80" s="16">
        <v>2021</v>
      </c>
      <c r="C80" s="16">
        <v>4</v>
      </c>
      <c r="D80" s="16" t="s">
        <v>19</v>
      </c>
      <c r="E80" s="16" t="s">
        <v>20</v>
      </c>
      <c r="F80" s="16" t="s">
        <v>19</v>
      </c>
      <c r="G80" s="16" t="s">
        <v>16</v>
      </c>
      <c r="H80" s="16" t="s">
        <v>17</v>
      </c>
      <c r="I80" s="16" t="s">
        <v>18</v>
      </c>
      <c r="J80" s="16">
        <v>2319</v>
      </c>
      <c r="K80" s="16">
        <v>2264</v>
      </c>
      <c r="L80" s="16">
        <v>25.206521739130402</v>
      </c>
      <c r="M80" s="16">
        <v>24.6086956521739</v>
      </c>
      <c r="N80" s="18">
        <v>97.628288055196194</v>
      </c>
      <c r="O80" s="18">
        <f t="shared" si="8"/>
        <v>95.789100770387549</v>
      </c>
      <c r="P80" s="18">
        <f t="shared" si="6"/>
        <v>1.839187284808645</v>
      </c>
      <c r="Q80" s="18">
        <f t="shared" si="7"/>
        <v>3.3826098686017958</v>
      </c>
      <c r="U80" s="19">
        <v>0.5</v>
      </c>
      <c r="V80" s="19">
        <v>66.91</v>
      </c>
    </row>
    <row r="81" spans="1:23" x14ac:dyDescent="0.35">
      <c r="A81" s="17">
        <v>17</v>
      </c>
      <c r="B81" s="16">
        <v>2022</v>
      </c>
      <c r="C81" s="16">
        <v>1</v>
      </c>
      <c r="D81" s="16" t="s">
        <v>19</v>
      </c>
      <c r="E81" s="16" t="s">
        <v>20</v>
      </c>
      <c r="F81" s="16"/>
      <c r="G81" s="16"/>
      <c r="H81" s="16"/>
      <c r="I81" s="16"/>
      <c r="J81" s="16"/>
      <c r="K81" s="16"/>
      <c r="L81" s="16"/>
      <c r="M81" s="16"/>
      <c r="N81" s="16"/>
      <c r="O81" s="18">
        <f t="shared" si="8"/>
        <v>97.444369326715332</v>
      </c>
      <c r="P81" s="16"/>
      <c r="Q81" s="16"/>
      <c r="U81" s="19">
        <v>0.6</v>
      </c>
      <c r="V81" s="19">
        <v>62.78</v>
      </c>
    </row>
    <row r="82" spans="1:23" x14ac:dyDescent="0.35">
      <c r="U82" s="19">
        <v>0.8</v>
      </c>
      <c r="V82" s="19">
        <v>56.44</v>
      </c>
    </row>
    <row r="83" spans="1:23" x14ac:dyDescent="0.35">
      <c r="U83" s="19">
        <v>0.9</v>
      </c>
      <c r="V83" s="19">
        <v>54.33</v>
      </c>
      <c r="W83" t="s">
        <v>77</v>
      </c>
    </row>
  </sheetData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E7B-38DA-49D8-AA01-2F18AAE2D78A}">
  <dimension ref="A1:I18"/>
  <sheetViews>
    <sheetView tabSelected="1" workbookViewId="0">
      <selection activeCell="J8" sqref="J8"/>
    </sheetView>
  </sheetViews>
  <sheetFormatPr defaultRowHeight="14.5" x14ac:dyDescent="0.35"/>
  <cols>
    <col min="6" max="6" width="11.7265625" customWidth="1"/>
  </cols>
  <sheetData>
    <row r="1" spans="1:9" x14ac:dyDescent="0.35">
      <c r="A1" t="s">
        <v>29</v>
      </c>
    </row>
    <row r="2" spans="1:9" ht="15" thickBot="1" x14ac:dyDescent="0.4"/>
    <row r="3" spans="1:9" x14ac:dyDescent="0.35">
      <c r="A3" s="7" t="s">
        <v>30</v>
      </c>
      <c r="B3" s="7"/>
    </row>
    <row r="4" spans="1:9" x14ac:dyDescent="0.35">
      <c r="A4" t="s">
        <v>31</v>
      </c>
      <c r="B4">
        <v>0.25097670443566777</v>
      </c>
    </row>
    <row r="5" spans="1:9" x14ac:dyDescent="0.35">
      <c r="A5" t="s">
        <v>32</v>
      </c>
      <c r="B5">
        <v>6.298930616938854E-2</v>
      </c>
    </row>
    <row r="6" spans="1:9" x14ac:dyDescent="0.35">
      <c r="A6" t="s">
        <v>33</v>
      </c>
      <c r="B6">
        <v>-3.9400291042265678E-3</v>
      </c>
    </row>
    <row r="7" spans="1:9" x14ac:dyDescent="0.35">
      <c r="A7" t="s">
        <v>34</v>
      </c>
      <c r="B7">
        <v>8.7214956771626522</v>
      </c>
    </row>
    <row r="8" spans="1:9" ht="15" thickBot="1" x14ac:dyDescent="0.4">
      <c r="A8" s="5" t="s">
        <v>35</v>
      </c>
      <c r="B8" s="5">
        <v>16</v>
      </c>
    </row>
    <row r="10" spans="1:9" ht="15" thickBot="1" x14ac:dyDescent="0.4">
      <c r="A10" t="s">
        <v>36</v>
      </c>
    </row>
    <row r="11" spans="1:9" x14ac:dyDescent="0.35">
      <c r="A11" s="6"/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9" x14ac:dyDescent="0.35">
      <c r="A12" t="s">
        <v>37</v>
      </c>
      <c r="B12">
        <v>1</v>
      </c>
      <c r="C12">
        <v>71.586685136214555</v>
      </c>
      <c r="D12">
        <v>71.586685136214555</v>
      </c>
      <c r="E12">
        <v>0.94113150701229498</v>
      </c>
      <c r="F12">
        <v>0.34844984815883928</v>
      </c>
    </row>
    <row r="13" spans="1:9" x14ac:dyDescent="0.35">
      <c r="A13" t="s">
        <v>38</v>
      </c>
      <c r="B13">
        <v>14</v>
      </c>
      <c r="C13">
        <v>1064.9028158547355</v>
      </c>
      <c r="D13">
        <v>76.064486846766826</v>
      </c>
    </row>
    <row r="14" spans="1:9" ht="15" thickBot="1" x14ac:dyDescent="0.4">
      <c r="A14" s="5" t="s">
        <v>39</v>
      </c>
      <c r="B14" s="5">
        <v>15</v>
      </c>
      <c r="C14" s="5">
        <v>1136.4895009909501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46</v>
      </c>
      <c r="C16" s="6" t="s">
        <v>34</v>
      </c>
      <c r="D16" s="6" t="s">
        <v>47</v>
      </c>
      <c r="E16" s="6" t="s">
        <v>48</v>
      </c>
      <c r="F16" s="6" t="s">
        <v>49</v>
      </c>
      <c r="G16" s="6" t="s">
        <v>50</v>
      </c>
      <c r="H16" s="6" t="s">
        <v>51</v>
      </c>
      <c r="I16" s="6" t="s">
        <v>52</v>
      </c>
    </row>
    <row r="17" spans="1:9" x14ac:dyDescent="0.35">
      <c r="A17" t="s">
        <v>40</v>
      </c>
      <c r="B17">
        <v>94.506502660612242</v>
      </c>
      <c r="C17">
        <v>4.5735909177429583</v>
      </c>
      <c r="D17">
        <v>20.663523336549453</v>
      </c>
      <c r="E17">
        <v>6.9056200988260759E-12</v>
      </c>
      <c r="F17">
        <v>84.697125744255374</v>
      </c>
      <c r="G17">
        <v>104.31587957696911</v>
      </c>
      <c r="H17">
        <v>84.697125744255374</v>
      </c>
      <c r="I17">
        <v>104.31587957696911</v>
      </c>
    </row>
    <row r="18" spans="1:9" ht="15" thickBot="1" x14ac:dyDescent="0.4">
      <c r="A18" s="5" t="s">
        <v>53</v>
      </c>
      <c r="B18" s="5">
        <v>-0.45885626717964978</v>
      </c>
      <c r="C18" s="5">
        <v>0.4729895125275812</v>
      </c>
      <c r="D18" s="5">
        <v>-0.97011932617193652</v>
      </c>
      <c r="E18" s="5">
        <v>0.34844984815883995</v>
      </c>
      <c r="F18" s="5">
        <v>-1.4733178771735376</v>
      </c>
      <c r="G18" s="5">
        <v>0.5556053428142379</v>
      </c>
      <c r="H18" s="5">
        <v>-1.4733178771735376</v>
      </c>
      <c r="I18" s="5">
        <v>0.5556053428142379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7FB3-2FAC-468E-8A40-52C855E79C6F}">
  <dimension ref="A1:I21"/>
  <sheetViews>
    <sheetView workbookViewId="0">
      <selection activeCell="F28" sqref="F28"/>
    </sheetView>
  </sheetViews>
  <sheetFormatPr defaultRowHeight="14.5" x14ac:dyDescent="0.35"/>
  <sheetData>
    <row r="1" spans="1:9" x14ac:dyDescent="0.35">
      <c r="A1" t="s">
        <v>29</v>
      </c>
    </row>
    <row r="2" spans="1:9" ht="15" thickBot="1" x14ac:dyDescent="0.4"/>
    <row r="3" spans="1:9" x14ac:dyDescent="0.35">
      <c r="A3" s="7" t="s">
        <v>30</v>
      </c>
      <c r="B3" s="7"/>
    </row>
    <row r="4" spans="1:9" x14ac:dyDescent="0.35">
      <c r="A4" t="s">
        <v>31</v>
      </c>
      <c r="B4">
        <v>0.37019112689081068</v>
      </c>
    </row>
    <row r="5" spans="1:9" x14ac:dyDescent="0.35">
      <c r="A5" t="s">
        <v>32</v>
      </c>
      <c r="B5">
        <v>0.13704147042868831</v>
      </c>
    </row>
    <row r="6" spans="1:9" x14ac:dyDescent="0.35">
      <c r="A6" t="s">
        <v>33</v>
      </c>
      <c r="B6">
        <v>-0.17676163123360686</v>
      </c>
    </row>
    <row r="7" spans="1:9" x14ac:dyDescent="0.35">
      <c r="A7" t="s">
        <v>34</v>
      </c>
      <c r="B7">
        <v>9.4423769573343428</v>
      </c>
    </row>
    <row r="8" spans="1:9" ht="15" thickBot="1" x14ac:dyDescent="0.4">
      <c r="A8" s="5" t="s">
        <v>35</v>
      </c>
      <c r="B8" s="5">
        <v>16</v>
      </c>
    </row>
    <row r="10" spans="1:9" ht="15" thickBot="1" x14ac:dyDescent="0.4">
      <c r="A10" t="s">
        <v>36</v>
      </c>
    </row>
    <row r="11" spans="1:9" x14ac:dyDescent="0.35">
      <c r="A11" s="6"/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9" x14ac:dyDescent="0.35">
      <c r="A12" t="s">
        <v>37</v>
      </c>
      <c r="B12">
        <v>4</v>
      </c>
      <c r="C12">
        <v>155.74619234256602</v>
      </c>
      <c r="D12">
        <v>38.936548085641505</v>
      </c>
      <c r="E12">
        <v>0.43671165040353216</v>
      </c>
      <c r="F12">
        <v>0.77966286424032605</v>
      </c>
    </row>
    <row r="13" spans="1:9" x14ac:dyDescent="0.35">
      <c r="A13" t="s">
        <v>38</v>
      </c>
      <c r="B13">
        <v>11</v>
      </c>
      <c r="C13">
        <v>980.74330864838407</v>
      </c>
      <c r="D13">
        <v>89.158482604398557</v>
      </c>
    </row>
    <row r="14" spans="1:9" ht="15" thickBot="1" x14ac:dyDescent="0.4">
      <c r="A14" s="5" t="s">
        <v>39</v>
      </c>
      <c r="B14" s="5">
        <v>15</v>
      </c>
      <c r="C14" s="5">
        <v>1136.4895009909501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46</v>
      </c>
      <c r="C16" s="6" t="s">
        <v>34</v>
      </c>
      <c r="D16" s="6" t="s">
        <v>47</v>
      </c>
      <c r="E16" s="6" t="s">
        <v>48</v>
      </c>
      <c r="F16" s="6" t="s">
        <v>49</v>
      </c>
      <c r="G16" s="6" t="s">
        <v>50</v>
      </c>
      <c r="H16" s="6" t="s">
        <v>51</v>
      </c>
      <c r="I16" s="6" t="s">
        <v>52</v>
      </c>
    </row>
    <row r="17" spans="1:9" x14ac:dyDescent="0.35">
      <c r="A17" t="s">
        <v>40</v>
      </c>
      <c r="B17">
        <v>97.461723040799171</v>
      </c>
      <c r="C17">
        <v>7.0817827180007571</v>
      </c>
      <c r="D17">
        <v>13.762314790182293</v>
      </c>
      <c r="E17">
        <v>2.8114480600164189E-8</v>
      </c>
      <c r="F17">
        <v>81.874824371486085</v>
      </c>
      <c r="G17">
        <v>113.04862171011226</v>
      </c>
      <c r="H17">
        <v>81.874824371486085</v>
      </c>
      <c r="I17">
        <v>113.04862171011226</v>
      </c>
    </row>
    <row r="18" spans="1:9" x14ac:dyDescent="0.35">
      <c r="A18" t="s">
        <v>53</v>
      </c>
      <c r="B18">
        <v>-0.50310365043723348</v>
      </c>
      <c r="C18">
        <v>0.52784491864443051</v>
      </c>
      <c r="D18">
        <v>-0.95312777042405639</v>
      </c>
      <c r="E18">
        <v>0.3610005685962494</v>
      </c>
      <c r="F18">
        <v>-1.6648824832034033</v>
      </c>
      <c r="G18">
        <v>0.65867518232893629</v>
      </c>
      <c r="H18">
        <v>-1.6648824832034033</v>
      </c>
      <c r="I18">
        <v>0.65867518232893629</v>
      </c>
    </row>
    <row r="19" spans="1:9" x14ac:dyDescent="0.35">
      <c r="A19" t="s">
        <v>63</v>
      </c>
      <c r="B19">
        <v>-1.3641705164811513</v>
      </c>
      <c r="C19">
        <v>6.8619839423775968</v>
      </c>
      <c r="D19">
        <v>-0.19880118168980765</v>
      </c>
      <c r="E19">
        <v>0.84604503758516025</v>
      </c>
      <c r="F19">
        <v>-16.467295342441357</v>
      </c>
      <c r="G19">
        <v>13.738954309479055</v>
      </c>
      <c r="H19">
        <v>-16.467295342441357</v>
      </c>
      <c r="I19">
        <v>13.738954309479055</v>
      </c>
    </row>
    <row r="20" spans="1:9" x14ac:dyDescent="0.35">
      <c r="A20" t="s">
        <v>64</v>
      </c>
      <c r="B20">
        <v>-6.1909217889272377</v>
      </c>
      <c r="C20">
        <v>6.7597131843558467</v>
      </c>
      <c r="D20">
        <v>-0.91585569092709795</v>
      </c>
      <c r="E20">
        <v>0.37938289903975886</v>
      </c>
      <c r="F20">
        <v>-21.068950194170249</v>
      </c>
      <c r="G20">
        <v>8.6871066163157735</v>
      </c>
      <c r="H20">
        <v>-21.068950194170249</v>
      </c>
      <c r="I20">
        <v>8.6871066163157735</v>
      </c>
    </row>
    <row r="21" spans="1:9" ht="15" thickBot="1" x14ac:dyDescent="0.4">
      <c r="A21" s="5" t="s">
        <v>65</v>
      </c>
      <c r="B21" s="5">
        <v>-2.7613781845814565</v>
      </c>
      <c r="C21" s="5">
        <v>6.697601179552124</v>
      </c>
      <c r="D21" s="5">
        <v>-0.41229361237751588</v>
      </c>
      <c r="E21" s="5">
        <v>0.68804508040279333</v>
      </c>
      <c r="F21" s="5">
        <v>-17.502698988987934</v>
      </c>
      <c r="G21" s="5">
        <v>11.979942619825021</v>
      </c>
      <c r="H21" s="5">
        <v>-17.502698988987934</v>
      </c>
      <c r="I21" s="5">
        <v>11.979942619825021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00B0-697D-4851-8423-C2868DDB223D}">
  <dimension ref="A1:X78"/>
  <sheetViews>
    <sheetView topLeftCell="C39" workbookViewId="0">
      <selection activeCell="AE11" sqref="AE11"/>
    </sheetView>
  </sheetViews>
  <sheetFormatPr defaultRowHeight="14.5" x14ac:dyDescent="0.35"/>
  <cols>
    <col min="4" max="4" width="10.7265625" customWidth="1"/>
    <col min="5" max="5" width="13.54296875" customWidth="1"/>
    <col min="6" max="13" width="0" hidden="1" customWidth="1"/>
    <col min="14" max="14" width="20" customWidth="1"/>
    <col min="15" max="15" width="11.453125" customWidth="1"/>
    <col min="17" max="17" width="10.81640625" customWidth="1"/>
    <col min="20" max="20" width="10.453125" customWidth="1"/>
    <col min="21" max="21" width="9.1796875" customWidth="1"/>
    <col min="22" max="22" width="10.54296875" customWidth="1"/>
  </cols>
  <sheetData>
    <row r="1" spans="1:22" ht="23.5" x14ac:dyDescent="0.55000000000000004">
      <c r="A1" s="1" t="s">
        <v>27</v>
      </c>
    </row>
    <row r="2" spans="1:22" ht="18.5" x14ac:dyDescent="0.45">
      <c r="A2" s="13" t="s">
        <v>54</v>
      </c>
    </row>
    <row r="3" spans="1:22" x14ac:dyDescent="0.3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28</v>
      </c>
      <c r="P3" s="9" t="s">
        <v>55</v>
      </c>
      <c r="Q3" s="10" t="s">
        <v>56</v>
      </c>
    </row>
    <row r="4" spans="1:22" x14ac:dyDescent="0.35">
      <c r="A4" s="11">
        <v>1</v>
      </c>
      <c r="B4" s="23">
        <v>2018</v>
      </c>
      <c r="C4" s="23">
        <v>1</v>
      </c>
      <c r="D4" s="23" t="s">
        <v>14</v>
      </c>
      <c r="E4" s="23" t="s">
        <v>15</v>
      </c>
      <c r="F4" s="23" t="s">
        <v>14</v>
      </c>
      <c r="G4" s="23" t="s">
        <v>16</v>
      </c>
      <c r="H4" s="23" t="s">
        <v>17</v>
      </c>
      <c r="I4" s="23" t="s">
        <v>18</v>
      </c>
      <c r="J4" s="23">
        <v>1792</v>
      </c>
      <c r="K4" s="23">
        <v>1538</v>
      </c>
      <c r="L4" s="23">
        <v>19.911111111111101</v>
      </c>
      <c r="M4" s="23">
        <v>17.0888888888888</v>
      </c>
      <c r="N4" s="24">
        <v>85.825892857142804</v>
      </c>
      <c r="O4" s="24">
        <f>$O$23+$O$24*A4</f>
        <v>84.344312416443302</v>
      </c>
      <c r="P4" s="24">
        <f>N4-O4</f>
        <v>1.4815804406995028</v>
      </c>
      <c r="Q4" s="25">
        <f>P4*P4</f>
        <v>2.1950806022633329</v>
      </c>
    </row>
    <row r="5" spans="1:22" x14ac:dyDescent="0.35">
      <c r="A5" s="11">
        <v>2</v>
      </c>
      <c r="B5" s="23">
        <v>2018</v>
      </c>
      <c r="C5" s="23">
        <v>2</v>
      </c>
      <c r="D5" s="23" t="s">
        <v>14</v>
      </c>
      <c r="E5" s="23" t="s">
        <v>15</v>
      </c>
      <c r="F5" s="23" t="s">
        <v>14</v>
      </c>
      <c r="G5" s="23" t="s">
        <v>16</v>
      </c>
      <c r="H5" s="23" t="s">
        <v>17</v>
      </c>
      <c r="I5" s="23" t="s">
        <v>18</v>
      </c>
      <c r="J5" s="23">
        <v>1329</v>
      </c>
      <c r="K5" s="23">
        <v>1064</v>
      </c>
      <c r="L5" s="23">
        <v>14.6043956043956</v>
      </c>
      <c r="M5" s="23">
        <v>11.692307692307599</v>
      </c>
      <c r="N5" s="24">
        <v>80.060195635816399</v>
      </c>
      <c r="O5" s="24">
        <f t="shared" ref="O5:O18" si="0">$O$23+$O$24*A5</f>
        <v>82.995378085678581</v>
      </c>
      <c r="P5" s="24">
        <f t="shared" ref="P5:P19" si="1">N5-O5</f>
        <v>-2.9351824498621824</v>
      </c>
      <c r="Q5" s="25">
        <f t="shared" ref="Q5:Q19" si="2">P5*P5</f>
        <v>8.6152960139789627</v>
      </c>
    </row>
    <row r="6" spans="1:22" x14ac:dyDescent="0.35">
      <c r="A6" s="11">
        <v>3</v>
      </c>
      <c r="B6" s="23">
        <v>2018</v>
      </c>
      <c r="C6" s="23">
        <v>3</v>
      </c>
      <c r="D6" s="23" t="s">
        <v>14</v>
      </c>
      <c r="E6" s="23" t="s">
        <v>15</v>
      </c>
      <c r="F6" s="23" t="s">
        <v>14</v>
      </c>
      <c r="G6" s="23" t="s">
        <v>16</v>
      </c>
      <c r="H6" s="23" t="s">
        <v>17</v>
      </c>
      <c r="I6" s="23" t="s">
        <v>18</v>
      </c>
      <c r="J6" s="23">
        <v>1492</v>
      </c>
      <c r="K6" s="23">
        <v>1154</v>
      </c>
      <c r="L6" s="23">
        <v>16.2173913043478</v>
      </c>
      <c r="M6" s="23">
        <v>12.543478260869501</v>
      </c>
      <c r="N6" s="24">
        <v>77.3458445040214</v>
      </c>
      <c r="O6" s="24">
        <f t="shared" si="0"/>
        <v>81.646443754913861</v>
      </c>
      <c r="P6" s="24">
        <f t="shared" si="1"/>
        <v>-4.3005992508924606</v>
      </c>
      <c r="Q6" s="25">
        <f t="shared" si="2"/>
        <v>18.495153916776793</v>
      </c>
    </row>
    <row r="7" spans="1:22" x14ac:dyDescent="0.35">
      <c r="A7" s="11">
        <v>4</v>
      </c>
      <c r="B7" s="23">
        <v>2018</v>
      </c>
      <c r="C7" s="23">
        <v>4</v>
      </c>
      <c r="D7" s="23" t="s">
        <v>14</v>
      </c>
      <c r="E7" s="23" t="s">
        <v>15</v>
      </c>
      <c r="F7" s="23" t="s">
        <v>14</v>
      </c>
      <c r="G7" s="23" t="s">
        <v>16</v>
      </c>
      <c r="H7" s="23" t="s">
        <v>17</v>
      </c>
      <c r="I7" s="23" t="s">
        <v>18</v>
      </c>
      <c r="J7" s="23">
        <v>1543</v>
      </c>
      <c r="K7" s="23">
        <v>1225</v>
      </c>
      <c r="L7" s="23">
        <v>16.7717391304347</v>
      </c>
      <c r="M7" s="23">
        <v>13.3152173913043</v>
      </c>
      <c r="N7" s="24">
        <v>79.390797148412105</v>
      </c>
      <c r="O7" s="24">
        <f t="shared" si="0"/>
        <v>80.297509424149126</v>
      </c>
      <c r="P7" s="24">
        <f t="shared" si="1"/>
        <v>-0.9067122757370214</v>
      </c>
      <c r="Q7" s="25">
        <f t="shared" si="2"/>
        <v>0.82212715097220834</v>
      </c>
    </row>
    <row r="8" spans="1:22" x14ac:dyDescent="0.35">
      <c r="A8" s="11">
        <v>5</v>
      </c>
      <c r="B8" s="23">
        <v>2019</v>
      </c>
      <c r="C8" s="23">
        <v>1</v>
      </c>
      <c r="D8" s="23" t="s">
        <v>14</v>
      </c>
      <c r="E8" s="23" t="s">
        <v>15</v>
      </c>
      <c r="F8" s="23" t="s">
        <v>14</v>
      </c>
      <c r="G8" s="23" t="s">
        <v>16</v>
      </c>
      <c r="H8" s="23" t="s">
        <v>17</v>
      </c>
      <c r="I8" s="23" t="s">
        <v>18</v>
      </c>
      <c r="J8" s="23">
        <v>1609</v>
      </c>
      <c r="K8" s="23">
        <v>1370</v>
      </c>
      <c r="L8" s="23">
        <v>17.877777777777698</v>
      </c>
      <c r="M8" s="23">
        <v>15.2222222222222</v>
      </c>
      <c r="N8" s="24">
        <v>85.146053449347406</v>
      </c>
      <c r="O8" s="24">
        <f t="shared" si="0"/>
        <v>78.948575093384406</v>
      </c>
      <c r="P8" s="24">
        <f t="shared" si="1"/>
        <v>6.1974783559629998</v>
      </c>
      <c r="Q8" s="25">
        <f t="shared" si="2"/>
        <v>38.408737972629844</v>
      </c>
    </row>
    <row r="9" spans="1:22" x14ac:dyDescent="0.35">
      <c r="A9" s="11">
        <v>6</v>
      </c>
      <c r="B9" s="23">
        <v>2019</v>
      </c>
      <c r="C9" s="23">
        <v>2</v>
      </c>
      <c r="D9" s="23" t="s">
        <v>14</v>
      </c>
      <c r="E9" s="23" t="s">
        <v>15</v>
      </c>
      <c r="F9" s="23" t="s">
        <v>14</v>
      </c>
      <c r="G9" s="23" t="s">
        <v>16</v>
      </c>
      <c r="H9" s="23" t="s">
        <v>17</v>
      </c>
      <c r="I9" s="23" t="s">
        <v>18</v>
      </c>
      <c r="J9" s="23">
        <v>1787</v>
      </c>
      <c r="K9" s="23">
        <v>1532</v>
      </c>
      <c r="L9" s="23">
        <v>19.6373626373626</v>
      </c>
      <c r="M9" s="23">
        <v>16.8351648351648</v>
      </c>
      <c r="N9" s="24">
        <v>85.730274202574094</v>
      </c>
      <c r="O9" s="24">
        <f t="shared" si="0"/>
        <v>77.599640762619686</v>
      </c>
      <c r="P9" s="24">
        <f t="shared" si="1"/>
        <v>8.1306334399544085</v>
      </c>
      <c r="Q9" s="25">
        <f t="shared" si="2"/>
        <v>66.107200134904858</v>
      </c>
    </row>
    <row r="10" spans="1:22" x14ac:dyDescent="0.35">
      <c r="A10" s="11">
        <v>7</v>
      </c>
      <c r="B10" s="23">
        <v>2019</v>
      </c>
      <c r="C10" s="23">
        <v>3</v>
      </c>
      <c r="D10" s="23" t="s">
        <v>14</v>
      </c>
      <c r="E10" s="23" t="s">
        <v>15</v>
      </c>
      <c r="F10" s="23" t="s">
        <v>14</v>
      </c>
      <c r="G10" s="23" t="s">
        <v>16</v>
      </c>
      <c r="H10" s="23" t="s">
        <v>17</v>
      </c>
      <c r="I10" s="23" t="s">
        <v>18</v>
      </c>
      <c r="J10" s="23">
        <v>1465</v>
      </c>
      <c r="K10" s="23">
        <v>1270</v>
      </c>
      <c r="L10" s="23">
        <v>15.923913043478199</v>
      </c>
      <c r="M10" s="23">
        <v>13.8043478260869</v>
      </c>
      <c r="N10" s="24">
        <v>86.689419795221795</v>
      </c>
      <c r="O10" s="24">
        <f t="shared" si="0"/>
        <v>76.250706431854965</v>
      </c>
      <c r="P10" s="24">
        <f t="shared" si="1"/>
        <v>10.43871336336683</v>
      </c>
      <c r="Q10" s="25">
        <f t="shared" si="2"/>
        <v>108.96673668253324</v>
      </c>
    </row>
    <row r="11" spans="1:22" x14ac:dyDescent="0.35">
      <c r="A11" s="11">
        <v>8</v>
      </c>
      <c r="B11" s="23">
        <v>2019</v>
      </c>
      <c r="C11" s="23">
        <v>4</v>
      </c>
      <c r="D11" s="23" t="s">
        <v>14</v>
      </c>
      <c r="E11" s="23" t="s">
        <v>15</v>
      </c>
      <c r="F11" s="23" t="s">
        <v>14</v>
      </c>
      <c r="G11" s="23" t="s">
        <v>16</v>
      </c>
      <c r="H11" s="23" t="s">
        <v>17</v>
      </c>
      <c r="I11" s="23" t="s">
        <v>18</v>
      </c>
      <c r="J11" s="23">
        <v>1510</v>
      </c>
      <c r="K11" s="23">
        <v>1299</v>
      </c>
      <c r="L11" s="23">
        <v>16.4130434782608</v>
      </c>
      <c r="M11" s="23">
        <v>14.119565217391299</v>
      </c>
      <c r="N11" s="24">
        <v>86.026490066225094</v>
      </c>
      <c r="O11" s="24">
        <f t="shared" si="0"/>
        <v>74.901772101090245</v>
      </c>
      <c r="P11" s="24">
        <f t="shared" si="1"/>
        <v>11.124717965134849</v>
      </c>
      <c r="Q11" s="25">
        <f t="shared" si="2"/>
        <v>123.75934980379405</v>
      </c>
      <c r="U11" s="19" t="s">
        <v>57</v>
      </c>
      <c r="V11" s="19"/>
    </row>
    <row r="12" spans="1:22" x14ac:dyDescent="0.35">
      <c r="A12" s="11">
        <v>9</v>
      </c>
      <c r="B12" s="23">
        <v>2020</v>
      </c>
      <c r="C12" s="23">
        <v>1</v>
      </c>
      <c r="D12" s="23" t="s">
        <v>14</v>
      </c>
      <c r="E12" s="23" t="s">
        <v>15</v>
      </c>
      <c r="F12" s="23" t="s">
        <v>14</v>
      </c>
      <c r="G12" s="23" t="s">
        <v>16</v>
      </c>
      <c r="H12" s="23" t="s">
        <v>17</v>
      </c>
      <c r="I12" s="23" t="s">
        <v>18</v>
      </c>
      <c r="J12" s="23">
        <v>1862</v>
      </c>
      <c r="K12" s="23">
        <v>1501</v>
      </c>
      <c r="L12" s="23">
        <v>20.4615384615384</v>
      </c>
      <c r="M12" s="23">
        <v>16.4945054945054</v>
      </c>
      <c r="N12" s="24">
        <v>80.612244897959101</v>
      </c>
      <c r="O12" s="24">
        <f t="shared" si="0"/>
        <v>73.552837770325525</v>
      </c>
      <c r="P12" s="24">
        <f t="shared" si="1"/>
        <v>7.0594071276335768</v>
      </c>
      <c r="Q12" s="25">
        <f t="shared" si="2"/>
        <v>49.835228993683749</v>
      </c>
      <c r="U12" s="19" t="s">
        <v>58</v>
      </c>
      <c r="V12" s="22">
        <f>AVERAGE(Q4:Q19)</f>
        <v>163.23435135425098</v>
      </c>
    </row>
    <row r="13" spans="1:22" x14ac:dyDescent="0.35">
      <c r="A13" s="11">
        <v>10</v>
      </c>
      <c r="B13" s="23">
        <v>2020</v>
      </c>
      <c r="C13" s="23">
        <v>2</v>
      </c>
      <c r="D13" s="23" t="s">
        <v>14</v>
      </c>
      <c r="E13" s="23" t="s">
        <v>15</v>
      </c>
      <c r="F13" s="23" t="s">
        <v>14</v>
      </c>
      <c r="G13" s="23" t="s">
        <v>16</v>
      </c>
      <c r="H13" s="23" t="s">
        <v>17</v>
      </c>
      <c r="I13" s="23" t="s">
        <v>18</v>
      </c>
      <c r="J13" s="23">
        <v>2032</v>
      </c>
      <c r="K13" s="23">
        <v>812</v>
      </c>
      <c r="L13" s="23">
        <v>22.3296703296703</v>
      </c>
      <c r="M13" s="23">
        <v>8.9230769230769198</v>
      </c>
      <c r="N13" s="24">
        <v>39.960629921259802</v>
      </c>
      <c r="O13" s="24">
        <f t="shared" si="0"/>
        <v>72.203903439560804</v>
      </c>
      <c r="P13" s="24">
        <f t="shared" si="1"/>
        <v>-32.243273518301002</v>
      </c>
      <c r="Q13" s="25">
        <f t="shared" si="2"/>
        <v>1039.6286871759708</v>
      </c>
    </row>
    <row r="14" spans="1:22" x14ac:dyDescent="0.35">
      <c r="A14" s="11">
        <v>11</v>
      </c>
      <c r="B14" s="23">
        <v>2020</v>
      </c>
      <c r="C14" s="23">
        <v>3</v>
      </c>
      <c r="D14" s="23" t="s">
        <v>14</v>
      </c>
      <c r="E14" s="23" t="s">
        <v>15</v>
      </c>
      <c r="F14" s="23" t="s">
        <v>14</v>
      </c>
      <c r="G14" s="23" t="s">
        <v>16</v>
      </c>
      <c r="H14" s="23" t="s">
        <v>17</v>
      </c>
      <c r="I14" s="23" t="s">
        <v>18</v>
      </c>
      <c r="J14" s="23">
        <v>1660</v>
      </c>
      <c r="K14" s="23">
        <v>1043</v>
      </c>
      <c r="L14" s="23">
        <v>18.043478260869499</v>
      </c>
      <c r="M14" s="23">
        <v>11.336956521739101</v>
      </c>
      <c r="N14" s="24">
        <v>62.831325301204799</v>
      </c>
      <c r="O14" s="24">
        <f t="shared" si="0"/>
        <v>70.85496910879607</v>
      </c>
      <c r="P14" s="24">
        <f t="shared" si="1"/>
        <v>-8.0236438075912702</v>
      </c>
      <c r="Q14" s="25">
        <f t="shared" si="2"/>
        <v>64.378859951097738</v>
      </c>
    </row>
    <row r="15" spans="1:22" x14ac:dyDescent="0.35">
      <c r="A15" s="11">
        <v>12</v>
      </c>
      <c r="B15" s="23">
        <v>2020</v>
      </c>
      <c r="C15" s="23">
        <v>4</v>
      </c>
      <c r="D15" s="23" t="s">
        <v>14</v>
      </c>
      <c r="E15" s="23" t="s">
        <v>15</v>
      </c>
      <c r="F15" s="23" t="s">
        <v>14</v>
      </c>
      <c r="G15" s="23" t="s">
        <v>16</v>
      </c>
      <c r="H15" s="23" t="s">
        <v>17</v>
      </c>
      <c r="I15" s="23" t="s">
        <v>18</v>
      </c>
      <c r="J15" s="23">
        <v>1379</v>
      </c>
      <c r="K15" s="23">
        <v>978</v>
      </c>
      <c r="L15" s="23">
        <v>14.9891304347826</v>
      </c>
      <c r="M15" s="23">
        <v>10.630434782608599</v>
      </c>
      <c r="N15" s="24">
        <v>70.920957215373406</v>
      </c>
      <c r="O15" s="24">
        <f t="shared" si="0"/>
        <v>69.506034778031349</v>
      </c>
      <c r="P15" s="24">
        <f t="shared" si="1"/>
        <v>1.4149224373420566</v>
      </c>
      <c r="Q15" s="25">
        <f t="shared" si="2"/>
        <v>2.0020055036939861</v>
      </c>
    </row>
    <row r="16" spans="1:22" x14ac:dyDescent="0.35">
      <c r="A16" s="11">
        <v>13</v>
      </c>
      <c r="B16" s="23">
        <v>2021</v>
      </c>
      <c r="C16" s="23">
        <v>1</v>
      </c>
      <c r="D16" s="23" t="s">
        <v>14</v>
      </c>
      <c r="E16" s="23" t="s">
        <v>15</v>
      </c>
      <c r="F16" s="23" t="s">
        <v>14</v>
      </c>
      <c r="G16" s="23" t="s">
        <v>16</v>
      </c>
      <c r="H16" s="23" t="s">
        <v>17</v>
      </c>
      <c r="I16" s="23" t="s">
        <v>18</v>
      </c>
      <c r="J16" s="23">
        <v>1791</v>
      </c>
      <c r="K16" s="23">
        <v>838</v>
      </c>
      <c r="L16" s="23">
        <v>19.899999999999999</v>
      </c>
      <c r="M16" s="23">
        <v>9.31111111111111</v>
      </c>
      <c r="N16" s="24">
        <v>46.789503070910101</v>
      </c>
      <c r="O16" s="24">
        <f t="shared" si="0"/>
        <v>68.157100447266629</v>
      </c>
      <c r="P16" s="24">
        <f t="shared" si="1"/>
        <v>-21.367597376356528</v>
      </c>
      <c r="Q16" s="25">
        <f t="shared" si="2"/>
        <v>456.57421763807838</v>
      </c>
    </row>
    <row r="17" spans="1:21" x14ac:dyDescent="0.35">
      <c r="A17" s="11">
        <v>14</v>
      </c>
      <c r="B17" s="23">
        <v>2021</v>
      </c>
      <c r="C17" s="23">
        <v>2</v>
      </c>
      <c r="D17" s="23" t="s">
        <v>14</v>
      </c>
      <c r="E17" s="23" t="s">
        <v>15</v>
      </c>
      <c r="F17" s="23" t="s">
        <v>14</v>
      </c>
      <c r="G17" s="23" t="s">
        <v>16</v>
      </c>
      <c r="H17" s="23" t="s">
        <v>17</v>
      </c>
      <c r="I17" s="23" t="s">
        <v>18</v>
      </c>
      <c r="J17" s="23">
        <v>1760</v>
      </c>
      <c r="K17" s="23">
        <v>1118</v>
      </c>
      <c r="L17" s="23">
        <v>19.3406593406593</v>
      </c>
      <c r="M17" s="23">
        <v>12.285714285714199</v>
      </c>
      <c r="N17" s="24">
        <v>63.522727272727202</v>
      </c>
      <c r="O17" s="24">
        <f t="shared" si="0"/>
        <v>66.808166116501909</v>
      </c>
      <c r="P17" s="24">
        <f t="shared" si="1"/>
        <v>-3.2854388437747062</v>
      </c>
      <c r="Q17" s="25">
        <f t="shared" si="2"/>
        <v>10.794108396183677</v>
      </c>
    </row>
    <row r="18" spans="1:21" x14ac:dyDescent="0.35">
      <c r="A18" s="11">
        <v>15</v>
      </c>
      <c r="B18" s="23">
        <v>2021</v>
      </c>
      <c r="C18" s="23">
        <v>3</v>
      </c>
      <c r="D18" s="23" t="s">
        <v>14</v>
      </c>
      <c r="E18" s="23" t="s">
        <v>15</v>
      </c>
      <c r="F18" s="23" t="s">
        <v>14</v>
      </c>
      <c r="G18" s="23" t="s">
        <v>16</v>
      </c>
      <c r="H18" s="23" t="s">
        <v>17</v>
      </c>
      <c r="I18" s="23" t="s">
        <v>18</v>
      </c>
      <c r="J18" s="23">
        <v>1360</v>
      </c>
      <c r="K18" s="23">
        <v>923</v>
      </c>
      <c r="L18" s="23">
        <v>14.782608695652099</v>
      </c>
      <c r="M18" s="23">
        <v>10.032608695652099</v>
      </c>
      <c r="N18" s="24">
        <v>67.867647058823493</v>
      </c>
      <c r="O18" s="24">
        <f t="shared" si="0"/>
        <v>65.459231785737188</v>
      </c>
      <c r="P18" s="24">
        <f t="shared" si="1"/>
        <v>2.4084152730863053</v>
      </c>
      <c r="Q18" s="25">
        <f t="shared" si="2"/>
        <v>5.800464127635383</v>
      </c>
    </row>
    <row r="19" spans="1:21" x14ac:dyDescent="0.35">
      <c r="A19" s="12">
        <v>16</v>
      </c>
      <c r="B19" s="26">
        <v>2021</v>
      </c>
      <c r="C19" s="26">
        <v>4</v>
      </c>
      <c r="D19" s="26" t="s">
        <v>14</v>
      </c>
      <c r="E19" s="26" t="s">
        <v>15</v>
      </c>
      <c r="F19" s="26" t="s">
        <v>14</v>
      </c>
      <c r="G19" s="26" t="s">
        <v>16</v>
      </c>
      <c r="H19" s="26" t="s">
        <v>17</v>
      </c>
      <c r="I19" s="26" t="s">
        <v>18</v>
      </c>
      <c r="J19" s="26">
        <v>1191</v>
      </c>
      <c r="K19" s="26">
        <v>1059</v>
      </c>
      <c r="L19" s="26">
        <v>12.945652173913</v>
      </c>
      <c r="M19" s="26">
        <v>11.5108695652173</v>
      </c>
      <c r="N19" s="27">
        <v>88.916876574307295</v>
      </c>
      <c r="O19" s="27">
        <f>$O$23+$O$24*A19</f>
        <v>64.110297454972468</v>
      </c>
      <c r="P19" s="27">
        <f t="shared" si="1"/>
        <v>24.806579119334828</v>
      </c>
      <c r="Q19" s="28">
        <f t="shared" si="2"/>
        <v>615.36636760381862</v>
      </c>
    </row>
    <row r="22" spans="1:21" x14ac:dyDescent="0.35">
      <c r="N22" s="19"/>
      <c r="O22" s="19" t="s">
        <v>46</v>
      </c>
    </row>
    <row r="23" spans="1:21" x14ac:dyDescent="0.35">
      <c r="N23" s="19" t="s">
        <v>40</v>
      </c>
      <c r="O23" s="19">
        <v>85.693246747208022</v>
      </c>
    </row>
    <row r="24" spans="1:21" x14ac:dyDescent="0.35">
      <c r="N24" s="19" t="s">
        <v>53</v>
      </c>
      <c r="O24" s="19">
        <v>-1.3489343307647224</v>
      </c>
    </row>
    <row r="28" spans="1:21" ht="18.5" x14ac:dyDescent="0.45">
      <c r="A28" s="13" t="s">
        <v>70</v>
      </c>
    </row>
    <row r="30" spans="1:21" x14ac:dyDescent="0.35">
      <c r="A30" s="8" t="s">
        <v>0</v>
      </c>
      <c r="B30" s="9" t="s">
        <v>1</v>
      </c>
      <c r="C30" s="9" t="s">
        <v>2</v>
      </c>
      <c r="D30" s="9" t="s">
        <v>3</v>
      </c>
      <c r="E30" s="9" t="s">
        <v>4</v>
      </c>
      <c r="F30" s="9" t="s">
        <v>5</v>
      </c>
      <c r="G30" s="9" t="s">
        <v>6</v>
      </c>
      <c r="H30" s="9" t="s">
        <v>7</v>
      </c>
      <c r="I30" s="9" t="s">
        <v>8</v>
      </c>
      <c r="J30" s="9" t="s">
        <v>9</v>
      </c>
      <c r="K30" s="9" t="s">
        <v>10</v>
      </c>
      <c r="L30" s="9" t="s">
        <v>11</v>
      </c>
      <c r="M30" s="9" t="s">
        <v>12</v>
      </c>
      <c r="N30" s="9" t="s">
        <v>0</v>
      </c>
      <c r="O30" s="9" t="s">
        <v>60</v>
      </c>
      <c r="P30" s="9" t="s">
        <v>61</v>
      </c>
      <c r="Q30" s="9" t="s">
        <v>62</v>
      </c>
      <c r="R30" s="9" t="s">
        <v>13</v>
      </c>
      <c r="S30" s="9" t="s">
        <v>28</v>
      </c>
      <c r="T30" s="9" t="s">
        <v>55</v>
      </c>
      <c r="U30" s="10" t="s">
        <v>56</v>
      </c>
    </row>
    <row r="31" spans="1:21" x14ac:dyDescent="0.35">
      <c r="A31" s="11">
        <v>1</v>
      </c>
      <c r="B31" s="23">
        <v>2018</v>
      </c>
      <c r="C31" s="23">
        <v>1</v>
      </c>
      <c r="D31" s="23" t="s">
        <v>14</v>
      </c>
      <c r="E31" s="23" t="s">
        <v>15</v>
      </c>
      <c r="F31" s="23" t="s">
        <v>14</v>
      </c>
      <c r="G31" s="23" t="s">
        <v>16</v>
      </c>
      <c r="H31" s="23" t="s">
        <v>17</v>
      </c>
      <c r="I31" s="23" t="s">
        <v>18</v>
      </c>
      <c r="J31" s="23">
        <v>1792</v>
      </c>
      <c r="K31" s="23">
        <v>1538</v>
      </c>
      <c r="L31" s="23">
        <v>19.911111111111101</v>
      </c>
      <c r="M31" s="23">
        <v>17.0888888888888</v>
      </c>
      <c r="N31" s="23">
        <v>1</v>
      </c>
      <c r="O31" s="23">
        <v>1</v>
      </c>
      <c r="P31" s="23">
        <v>0</v>
      </c>
      <c r="Q31" s="23">
        <v>0</v>
      </c>
      <c r="R31" s="24">
        <v>85.825892857142804</v>
      </c>
      <c r="S31" s="24">
        <f>$V$50+$V$51*N31+$V$52*O31+$V$53*P31+$V$54*Q31</f>
        <v>84.187611394469045</v>
      </c>
      <c r="T31" s="24">
        <f>R31-S31</f>
        <v>1.6382814626737598</v>
      </c>
      <c r="U31" s="25">
        <f>T31*T31</f>
        <v>2.6839661509404742</v>
      </c>
    </row>
    <row r="32" spans="1:21" x14ac:dyDescent="0.35">
      <c r="A32" s="11">
        <v>2</v>
      </c>
      <c r="B32" s="23">
        <v>2018</v>
      </c>
      <c r="C32" s="23">
        <v>2</v>
      </c>
      <c r="D32" s="23" t="s">
        <v>14</v>
      </c>
      <c r="E32" s="23" t="s">
        <v>15</v>
      </c>
      <c r="F32" s="23" t="s">
        <v>14</v>
      </c>
      <c r="G32" s="23" t="s">
        <v>16</v>
      </c>
      <c r="H32" s="23" t="s">
        <v>17</v>
      </c>
      <c r="I32" s="23" t="s">
        <v>18</v>
      </c>
      <c r="J32" s="23">
        <v>1329</v>
      </c>
      <c r="K32" s="23">
        <v>1064</v>
      </c>
      <c r="L32" s="23">
        <v>14.6043956043956</v>
      </c>
      <c r="M32" s="23">
        <v>11.692307692307599</v>
      </c>
      <c r="N32" s="23">
        <v>2</v>
      </c>
      <c r="O32" s="23">
        <v>0</v>
      </c>
      <c r="P32" s="23">
        <v>1</v>
      </c>
      <c r="Q32" s="23">
        <v>0</v>
      </c>
      <c r="R32" s="24">
        <v>80.060195635816399</v>
      </c>
      <c r="S32" s="24">
        <f t="shared" ref="S32:S46" si="3">$V$50+$V$51*N32+$V$52*O32+$V$53*P32+$V$54*Q32</f>
        <v>76.912644583723562</v>
      </c>
      <c r="T32" s="24">
        <f t="shared" ref="T32:T46" si="4">R32-S32</f>
        <v>3.1475510520928367</v>
      </c>
      <c r="U32" s="25">
        <f t="shared" ref="U32:U46" si="5">T32*T32</f>
        <v>9.9070776255307234</v>
      </c>
    </row>
    <row r="33" spans="1:24" x14ac:dyDescent="0.35">
      <c r="A33" s="11">
        <v>3</v>
      </c>
      <c r="B33" s="23">
        <v>2018</v>
      </c>
      <c r="C33" s="23">
        <v>3</v>
      </c>
      <c r="D33" s="23" t="s">
        <v>14</v>
      </c>
      <c r="E33" s="23" t="s">
        <v>15</v>
      </c>
      <c r="F33" s="23" t="s">
        <v>14</v>
      </c>
      <c r="G33" s="23" t="s">
        <v>16</v>
      </c>
      <c r="H33" s="23" t="s">
        <v>17</v>
      </c>
      <c r="I33" s="23" t="s">
        <v>18</v>
      </c>
      <c r="J33" s="23">
        <v>1492</v>
      </c>
      <c r="K33" s="23">
        <v>1154</v>
      </c>
      <c r="L33" s="23">
        <v>16.2173913043478</v>
      </c>
      <c r="M33" s="23">
        <v>12.543478260869501</v>
      </c>
      <c r="N33" s="23">
        <v>3</v>
      </c>
      <c r="O33" s="23">
        <v>0</v>
      </c>
      <c r="P33" s="23">
        <v>0</v>
      </c>
      <c r="Q33" s="23">
        <v>1</v>
      </c>
      <c r="R33" s="24">
        <v>77.3458445040214</v>
      </c>
      <c r="S33" s="24">
        <f t="shared" si="3"/>
        <v>83.277746990447071</v>
      </c>
      <c r="T33" s="24">
        <f t="shared" si="4"/>
        <v>-5.9319024864256704</v>
      </c>
      <c r="U33" s="25">
        <f t="shared" si="5"/>
        <v>35.187467108463053</v>
      </c>
    </row>
    <row r="34" spans="1:24" x14ac:dyDescent="0.35">
      <c r="A34" s="11">
        <v>4</v>
      </c>
      <c r="B34" s="23">
        <v>2018</v>
      </c>
      <c r="C34" s="23">
        <v>4</v>
      </c>
      <c r="D34" s="23" t="s">
        <v>14</v>
      </c>
      <c r="E34" s="23" t="s">
        <v>15</v>
      </c>
      <c r="F34" s="23" t="s">
        <v>14</v>
      </c>
      <c r="G34" s="23" t="s">
        <v>16</v>
      </c>
      <c r="H34" s="23" t="s">
        <v>17</v>
      </c>
      <c r="I34" s="23" t="s">
        <v>18</v>
      </c>
      <c r="J34" s="23">
        <v>1543</v>
      </c>
      <c r="K34" s="23">
        <v>1225</v>
      </c>
      <c r="L34" s="23">
        <v>16.7717391304347</v>
      </c>
      <c r="M34" s="23">
        <v>13.3152173913043</v>
      </c>
      <c r="N34" s="23">
        <v>4</v>
      </c>
      <c r="O34" s="23">
        <v>0</v>
      </c>
      <c r="P34" s="23">
        <v>0</v>
      </c>
      <c r="Q34" s="23">
        <v>0</v>
      </c>
      <c r="R34" s="24">
        <v>79.390797148412105</v>
      </c>
      <c r="S34" s="24">
        <f t="shared" si="3"/>
        <v>90.90796807670867</v>
      </c>
      <c r="T34" s="24">
        <f t="shared" si="4"/>
        <v>-11.517170928296565</v>
      </c>
      <c r="U34" s="25">
        <f t="shared" si="5"/>
        <v>132.64522619159956</v>
      </c>
    </row>
    <row r="35" spans="1:24" x14ac:dyDescent="0.35">
      <c r="A35" s="11">
        <v>5</v>
      </c>
      <c r="B35" s="23">
        <v>2019</v>
      </c>
      <c r="C35" s="23">
        <v>1</v>
      </c>
      <c r="D35" s="23" t="s">
        <v>14</v>
      </c>
      <c r="E35" s="23" t="s">
        <v>15</v>
      </c>
      <c r="F35" s="23" t="s">
        <v>14</v>
      </c>
      <c r="G35" s="23" t="s">
        <v>16</v>
      </c>
      <c r="H35" s="23" t="s">
        <v>17</v>
      </c>
      <c r="I35" s="23" t="s">
        <v>18</v>
      </c>
      <c r="J35" s="23">
        <v>1609</v>
      </c>
      <c r="K35" s="23">
        <v>1370</v>
      </c>
      <c r="L35" s="23">
        <v>17.877777777777698</v>
      </c>
      <c r="M35" s="23">
        <v>15.2222222222222</v>
      </c>
      <c r="N35" s="23">
        <v>5</v>
      </c>
      <c r="O35" s="23">
        <v>1</v>
      </c>
      <c r="P35" s="23">
        <v>0</v>
      </c>
      <c r="Q35" s="23">
        <v>0</v>
      </c>
      <c r="R35" s="24">
        <v>85.146053449347406</v>
      </c>
      <c r="S35" s="24">
        <f t="shared" si="3"/>
        <v>77.791486177382922</v>
      </c>
      <c r="T35" s="24">
        <f t="shared" si="4"/>
        <v>7.3545672719644841</v>
      </c>
      <c r="U35" s="25">
        <f t="shared" si="5"/>
        <v>54.089659757851116</v>
      </c>
    </row>
    <row r="36" spans="1:24" x14ac:dyDescent="0.35">
      <c r="A36" s="11">
        <v>6</v>
      </c>
      <c r="B36" s="23">
        <v>2019</v>
      </c>
      <c r="C36" s="23">
        <v>2</v>
      </c>
      <c r="D36" s="23" t="s">
        <v>14</v>
      </c>
      <c r="E36" s="23" t="s">
        <v>15</v>
      </c>
      <c r="F36" s="23" t="s">
        <v>14</v>
      </c>
      <c r="G36" s="23" t="s">
        <v>16</v>
      </c>
      <c r="H36" s="23" t="s">
        <v>17</v>
      </c>
      <c r="I36" s="23" t="s">
        <v>18</v>
      </c>
      <c r="J36" s="23">
        <v>1787</v>
      </c>
      <c r="K36" s="23">
        <v>1532</v>
      </c>
      <c r="L36" s="23">
        <v>19.6373626373626</v>
      </c>
      <c r="M36" s="23">
        <v>16.8351648351648</v>
      </c>
      <c r="N36" s="23">
        <v>6</v>
      </c>
      <c r="O36" s="23">
        <v>0</v>
      </c>
      <c r="P36" s="23">
        <v>1</v>
      </c>
      <c r="Q36" s="23">
        <v>0</v>
      </c>
      <c r="R36" s="24">
        <v>85.730274202574094</v>
      </c>
      <c r="S36" s="24">
        <f t="shared" si="3"/>
        <v>70.516519366637439</v>
      </c>
      <c r="T36" s="24">
        <f t="shared" si="4"/>
        <v>15.213754835936655</v>
      </c>
      <c r="U36" s="25">
        <f t="shared" si="5"/>
        <v>231.45833620798595</v>
      </c>
    </row>
    <row r="37" spans="1:24" x14ac:dyDescent="0.35">
      <c r="A37" s="11">
        <v>7</v>
      </c>
      <c r="B37" s="23">
        <v>2019</v>
      </c>
      <c r="C37" s="23">
        <v>3</v>
      </c>
      <c r="D37" s="23" t="s">
        <v>14</v>
      </c>
      <c r="E37" s="23" t="s">
        <v>15</v>
      </c>
      <c r="F37" s="23" t="s">
        <v>14</v>
      </c>
      <c r="G37" s="23" t="s">
        <v>16</v>
      </c>
      <c r="H37" s="23" t="s">
        <v>17</v>
      </c>
      <c r="I37" s="23" t="s">
        <v>18</v>
      </c>
      <c r="J37" s="23">
        <v>1465</v>
      </c>
      <c r="K37" s="23">
        <v>1270</v>
      </c>
      <c r="L37" s="23">
        <v>15.923913043478199</v>
      </c>
      <c r="M37" s="23">
        <v>13.8043478260869</v>
      </c>
      <c r="N37" s="23">
        <v>7</v>
      </c>
      <c r="O37" s="23">
        <v>0</v>
      </c>
      <c r="P37" s="23">
        <v>0</v>
      </c>
      <c r="Q37" s="23">
        <v>1</v>
      </c>
      <c r="R37" s="24">
        <v>86.689419795221795</v>
      </c>
      <c r="S37" s="24">
        <f t="shared" si="3"/>
        <v>76.881621773360934</v>
      </c>
      <c r="T37" s="24">
        <f t="shared" si="4"/>
        <v>9.8077980218608616</v>
      </c>
      <c r="U37" s="25">
        <f t="shared" si="5"/>
        <v>96.192902037617827</v>
      </c>
      <c r="W37" s="19" t="s">
        <v>57</v>
      </c>
      <c r="X37" s="19"/>
    </row>
    <row r="38" spans="1:24" x14ac:dyDescent="0.35">
      <c r="A38" s="11">
        <v>8</v>
      </c>
      <c r="B38" s="23">
        <v>2019</v>
      </c>
      <c r="C38" s="23">
        <v>4</v>
      </c>
      <c r="D38" s="23" t="s">
        <v>14</v>
      </c>
      <c r="E38" s="23" t="s">
        <v>15</v>
      </c>
      <c r="F38" s="23" t="s">
        <v>14</v>
      </c>
      <c r="G38" s="23" t="s">
        <v>16</v>
      </c>
      <c r="H38" s="23" t="s">
        <v>17</v>
      </c>
      <c r="I38" s="23" t="s">
        <v>18</v>
      </c>
      <c r="J38" s="23">
        <v>1510</v>
      </c>
      <c r="K38" s="23">
        <v>1299</v>
      </c>
      <c r="L38" s="23">
        <v>16.4130434782608</v>
      </c>
      <c r="M38" s="23">
        <v>14.119565217391299</v>
      </c>
      <c r="N38" s="23">
        <v>8</v>
      </c>
      <c r="O38" s="23">
        <v>0</v>
      </c>
      <c r="P38" s="23">
        <v>0</v>
      </c>
      <c r="Q38" s="23">
        <v>0</v>
      </c>
      <c r="R38" s="24">
        <v>86.026490066225094</v>
      </c>
      <c r="S38" s="24">
        <f t="shared" si="3"/>
        <v>84.511842859622533</v>
      </c>
      <c r="T38" s="24">
        <f t="shared" si="4"/>
        <v>1.5146472066025609</v>
      </c>
      <c r="U38" s="25">
        <f t="shared" si="5"/>
        <v>2.2941561604689409</v>
      </c>
      <c r="W38" s="19" t="s">
        <v>58</v>
      </c>
      <c r="X38" s="22">
        <f>AVERAGE(U31:U46)</f>
        <v>126.16833101025968</v>
      </c>
    </row>
    <row r="39" spans="1:24" x14ac:dyDescent="0.35">
      <c r="A39" s="11">
        <v>9</v>
      </c>
      <c r="B39" s="23">
        <v>2020</v>
      </c>
      <c r="C39" s="23">
        <v>1</v>
      </c>
      <c r="D39" s="23" t="s">
        <v>14</v>
      </c>
      <c r="E39" s="23" t="s">
        <v>15</v>
      </c>
      <c r="F39" s="23" t="s">
        <v>14</v>
      </c>
      <c r="G39" s="23" t="s">
        <v>16</v>
      </c>
      <c r="H39" s="23" t="s">
        <v>17</v>
      </c>
      <c r="I39" s="23" t="s">
        <v>18</v>
      </c>
      <c r="J39" s="23">
        <v>1862</v>
      </c>
      <c r="K39" s="23">
        <v>1501</v>
      </c>
      <c r="L39" s="23">
        <v>20.4615384615384</v>
      </c>
      <c r="M39" s="23">
        <v>16.4945054945054</v>
      </c>
      <c r="N39" s="23">
        <v>9</v>
      </c>
      <c r="O39" s="23">
        <v>1</v>
      </c>
      <c r="P39" s="23">
        <v>0</v>
      </c>
      <c r="Q39" s="23">
        <v>0</v>
      </c>
      <c r="R39" s="24">
        <v>80.612244897959101</v>
      </c>
      <c r="S39" s="24">
        <f t="shared" si="3"/>
        <v>71.395360960296784</v>
      </c>
      <c r="T39" s="24">
        <f t="shared" si="4"/>
        <v>9.2168839376623168</v>
      </c>
      <c r="U39" s="25">
        <f t="shared" si="5"/>
        <v>84.950949520337616</v>
      </c>
    </row>
    <row r="40" spans="1:24" x14ac:dyDescent="0.35">
      <c r="A40" s="11">
        <v>10</v>
      </c>
      <c r="B40" s="23">
        <v>2020</v>
      </c>
      <c r="C40" s="23">
        <v>2</v>
      </c>
      <c r="D40" s="23" t="s">
        <v>14</v>
      </c>
      <c r="E40" s="23" t="s">
        <v>15</v>
      </c>
      <c r="F40" s="23" t="s">
        <v>14</v>
      </c>
      <c r="G40" s="23" t="s">
        <v>16</v>
      </c>
      <c r="H40" s="23" t="s">
        <v>17</v>
      </c>
      <c r="I40" s="23" t="s">
        <v>18</v>
      </c>
      <c r="J40" s="23">
        <v>2032</v>
      </c>
      <c r="K40" s="23">
        <v>812</v>
      </c>
      <c r="L40" s="23">
        <v>22.3296703296703</v>
      </c>
      <c r="M40" s="23">
        <v>8.9230769230769198</v>
      </c>
      <c r="N40" s="23">
        <v>10</v>
      </c>
      <c r="O40" s="23">
        <v>0</v>
      </c>
      <c r="P40" s="23">
        <v>1</v>
      </c>
      <c r="Q40" s="23">
        <v>0</v>
      </c>
      <c r="R40" s="24">
        <v>39.960629921259802</v>
      </c>
      <c r="S40" s="24">
        <f t="shared" si="3"/>
        <v>64.120394149551302</v>
      </c>
      <c r="T40" s="24">
        <f t="shared" si="4"/>
        <v>-24.1597642282915</v>
      </c>
      <c r="U40" s="25">
        <f t="shared" si="5"/>
        <v>583.69420756663362</v>
      </c>
    </row>
    <row r="41" spans="1:24" x14ac:dyDescent="0.35">
      <c r="A41" s="11">
        <v>11</v>
      </c>
      <c r="B41" s="23">
        <v>2020</v>
      </c>
      <c r="C41" s="23">
        <v>3</v>
      </c>
      <c r="D41" s="23" t="s">
        <v>14</v>
      </c>
      <c r="E41" s="23" t="s">
        <v>15</v>
      </c>
      <c r="F41" s="23" t="s">
        <v>14</v>
      </c>
      <c r="G41" s="23" t="s">
        <v>16</v>
      </c>
      <c r="H41" s="23" t="s">
        <v>17</v>
      </c>
      <c r="I41" s="23" t="s">
        <v>18</v>
      </c>
      <c r="J41" s="23">
        <v>1660</v>
      </c>
      <c r="K41" s="23">
        <v>1043</v>
      </c>
      <c r="L41" s="23">
        <v>18.043478260869499</v>
      </c>
      <c r="M41" s="23">
        <v>11.336956521739101</v>
      </c>
      <c r="N41" s="23">
        <v>11</v>
      </c>
      <c r="O41" s="23">
        <v>0</v>
      </c>
      <c r="P41" s="23">
        <v>0</v>
      </c>
      <c r="Q41" s="23">
        <v>1</v>
      </c>
      <c r="R41" s="24">
        <v>62.831325301204799</v>
      </c>
      <c r="S41" s="24">
        <f t="shared" si="3"/>
        <v>70.485496556274811</v>
      </c>
      <c r="T41" s="24">
        <f t="shared" si="4"/>
        <v>-7.6541712550700112</v>
      </c>
      <c r="U41" s="25">
        <f t="shared" si="5"/>
        <v>58.586337601940031</v>
      </c>
    </row>
    <row r="42" spans="1:24" x14ac:dyDescent="0.35">
      <c r="A42" s="11">
        <v>12</v>
      </c>
      <c r="B42" s="23">
        <v>2020</v>
      </c>
      <c r="C42" s="23">
        <v>4</v>
      </c>
      <c r="D42" s="23" t="s">
        <v>14</v>
      </c>
      <c r="E42" s="23" t="s">
        <v>15</v>
      </c>
      <c r="F42" s="23" t="s">
        <v>14</v>
      </c>
      <c r="G42" s="23" t="s">
        <v>16</v>
      </c>
      <c r="H42" s="23" t="s">
        <v>17</v>
      </c>
      <c r="I42" s="23" t="s">
        <v>18</v>
      </c>
      <c r="J42" s="23">
        <v>1379</v>
      </c>
      <c r="K42" s="23">
        <v>978</v>
      </c>
      <c r="L42" s="23">
        <v>14.9891304347826</v>
      </c>
      <c r="M42" s="23">
        <v>10.630434782608599</v>
      </c>
      <c r="N42" s="23">
        <v>12</v>
      </c>
      <c r="O42" s="23">
        <v>0</v>
      </c>
      <c r="P42" s="23">
        <v>0</v>
      </c>
      <c r="Q42" s="23">
        <v>0</v>
      </c>
      <c r="R42" s="24">
        <v>70.920957215373406</v>
      </c>
      <c r="S42" s="24">
        <f t="shared" si="3"/>
        <v>78.11571764253641</v>
      </c>
      <c r="T42" s="24">
        <f t="shared" si="4"/>
        <v>-7.1947604271630041</v>
      </c>
      <c r="U42" s="25">
        <f t="shared" si="5"/>
        <v>51.764577604270777</v>
      </c>
    </row>
    <row r="43" spans="1:24" x14ac:dyDescent="0.35">
      <c r="A43" s="11">
        <v>13</v>
      </c>
      <c r="B43" s="23">
        <v>2021</v>
      </c>
      <c r="C43" s="23">
        <v>1</v>
      </c>
      <c r="D43" s="23" t="s">
        <v>14</v>
      </c>
      <c r="E43" s="23" t="s">
        <v>15</v>
      </c>
      <c r="F43" s="23" t="s">
        <v>14</v>
      </c>
      <c r="G43" s="23" t="s">
        <v>16</v>
      </c>
      <c r="H43" s="23" t="s">
        <v>17</v>
      </c>
      <c r="I43" s="23" t="s">
        <v>18</v>
      </c>
      <c r="J43" s="23">
        <v>1791</v>
      </c>
      <c r="K43" s="23">
        <v>838</v>
      </c>
      <c r="L43" s="23">
        <v>19.899999999999999</v>
      </c>
      <c r="M43" s="23">
        <v>9.31111111111111</v>
      </c>
      <c r="N43" s="23">
        <v>13</v>
      </c>
      <c r="O43" s="23">
        <v>1</v>
      </c>
      <c r="P43" s="23">
        <v>0</v>
      </c>
      <c r="Q43" s="23">
        <v>0</v>
      </c>
      <c r="R43" s="24">
        <v>46.789503070910101</v>
      </c>
      <c r="S43" s="24">
        <f t="shared" si="3"/>
        <v>64.999235743210662</v>
      </c>
      <c r="T43" s="24">
        <f t="shared" si="4"/>
        <v>-18.209732672300561</v>
      </c>
      <c r="U43" s="25">
        <f t="shared" si="5"/>
        <v>331.59436399665054</v>
      </c>
    </row>
    <row r="44" spans="1:24" x14ac:dyDescent="0.35">
      <c r="A44" s="11">
        <v>14</v>
      </c>
      <c r="B44" s="23">
        <v>2021</v>
      </c>
      <c r="C44" s="23">
        <v>2</v>
      </c>
      <c r="D44" s="23" t="s">
        <v>14</v>
      </c>
      <c r="E44" s="23" t="s">
        <v>15</v>
      </c>
      <c r="F44" s="23" t="s">
        <v>14</v>
      </c>
      <c r="G44" s="23" t="s">
        <v>16</v>
      </c>
      <c r="H44" s="23" t="s">
        <v>17</v>
      </c>
      <c r="I44" s="23" t="s">
        <v>18</v>
      </c>
      <c r="J44" s="23">
        <v>1760</v>
      </c>
      <c r="K44" s="23">
        <v>1118</v>
      </c>
      <c r="L44" s="23">
        <v>19.3406593406593</v>
      </c>
      <c r="M44" s="23">
        <v>12.285714285714199</v>
      </c>
      <c r="N44" s="23">
        <v>14</v>
      </c>
      <c r="O44" s="23">
        <v>0</v>
      </c>
      <c r="P44" s="23">
        <v>1</v>
      </c>
      <c r="Q44" s="23">
        <v>0</v>
      </c>
      <c r="R44" s="24">
        <v>63.522727272727202</v>
      </c>
      <c r="S44" s="24">
        <f t="shared" si="3"/>
        <v>57.724268932465179</v>
      </c>
      <c r="T44" s="24">
        <f t="shared" si="4"/>
        <v>5.7984583402620231</v>
      </c>
      <c r="U44" s="25">
        <f t="shared" si="5"/>
        <v>33.622119123754217</v>
      </c>
    </row>
    <row r="45" spans="1:24" x14ac:dyDescent="0.35">
      <c r="A45" s="11">
        <v>15</v>
      </c>
      <c r="B45" s="23">
        <v>2021</v>
      </c>
      <c r="C45" s="23">
        <v>3</v>
      </c>
      <c r="D45" s="23" t="s">
        <v>14</v>
      </c>
      <c r="E45" s="23" t="s">
        <v>15</v>
      </c>
      <c r="F45" s="23" t="s">
        <v>14</v>
      </c>
      <c r="G45" s="23" t="s">
        <v>16</v>
      </c>
      <c r="H45" s="23" t="s">
        <v>17</v>
      </c>
      <c r="I45" s="23" t="s">
        <v>18</v>
      </c>
      <c r="J45" s="23">
        <v>1360</v>
      </c>
      <c r="K45" s="23">
        <v>923</v>
      </c>
      <c r="L45" s="23">
        <v>14.782608695652099</v>
      </c>
      <c r="M45" s="23">
        <v>10.032608695652099</v>
      </c>
      <c r="N45" s="23">
        <v>15</v>
      </c>
      <c r="O45" s="23">
        <v>0</v>
      </c>
      <c r="P45" s="23">
        <v>0</v>
      </c>
      <c r="Q45" s="23">
        <v>1</v>
      </c>
      <c r="R45" s="24">
        <v>67.867647058823493</v>
      </c>
      <c r="S45" s="24">
        <f t="shared" si="3"/>
        <v>64.089371339188673</v>
      </c>
      <c r="T45" s="24">
        <f t="shared" si="4"/>
        <v>3.77827571963482</v>
      </c>
      <c r="U45" s="25">
        <f t="shared" si="5"/>
        <v>14.275367413582018</v>
      </c>
    </row>
    <row r="46" spans="1:24" x14ac:dyDescent="0.35">
      <c r="A46" s="12">
        <v>16</v>
      </c>
      <c r="B46" s="26">
        <v>2021</v>
      </c>
      <c r="C46" s="26">
        <v>4</v>
      </c>
      <c r="D46" s="26" t="s">
        <v>14</v>
      </c>
      <c r="E46" s="26" t="s">
        <v>15</v>
      </c>
      <c r="F46" s="26" t="s">
        <v>14</v>
      </c>
      <c r="G46" s="26" t="s">
        <v>16</v>
      </c>
      <c r="H46" s="26" t="s">
        <v>17</v>
      </c>
      <c r="I46" s="26" t="s">
        <v>18</v>
      </c>
      <c r="J46" s="26">
        <v>1191</v>
      </c>
      <c r="K46" s="26">
        <v>1059</v>
      </c>
      <c r="L46" s="26">
        <v>12.945652173913</v>
      </c>
      <c r="M46" s="26">
        <v>11.5108695652173</v>
      </c>
      <c r="N46" s="26">
        <v>16</v>
      </c>
      <c r="O46" s="26">
        <v>0</v>
      </c>
      <c r="P46" s="26">
        <v>0</v>
      </c>
      <c r="Q46" s="26">
        <v>0</v>
      </c>
      <c r="R46" s="27">
        <v>88.916876574307295</v>
      </c>
      <c r="S46" s="24">
        <f t="shared" si="3"/>
        <v>71.719592425450287</v>
      </c>
      <c r="T46" s="27">
        <f t="shared" si="4"/>
        <v>17.197284148857008</v>
      </c>
      <c r="U46" s="28">
        <f t="shared" si="5"/>
        <v>295.74658209652853</v>
      </c>
    </row>
    <row r="49" spans="1:22" x14ac:dyDescent="0.35">
      <c r="U49" s="19"/>
      <c r="V49" s="19" t="s">
        <v>46</v>
      </c>
    </row>
    <row r="50" spans="1:22" x14ac:dyDescent="0.35">
      <c r="U50" s="19" t="s">
        <v>40</v>
      </c>
      <c r="V50" s="19">
        <v>97.304093293794793</v>
      </c>
    </row>
    <row r="51" spans="1:22" x14ac:dyDescent="0.35">
      <c r="U51" s="19" t="s">
        <v>53</v>
      </c>
      <c r="V51" s="19">
        <v>-1.5990313042715321</v>
      </c>
    </row>
    <row r="52" spans="1:22" x14ac:dyDescent="0.35">
      <c r="U52" s="19" t="s">
        <v>63</v>
      </c>
      <c r="V52" s="19">
        <v>-11.517450595054219</v>
      </c>
    </row>
    <row r="53" spans="1:22" x14ac:dyDescent="0.35">
      <c r="U53" s="19" t="s">
        <v>64</v>
      </c>
      <c r="V53" s="19">
        <v>-17.193386101528166</v>
      </c>
    </row>
    <row r="54" spans="1:22" x14ac:dyDescent="0.35">
      <c r="U54" s="19" t="s">
        <v>65</v>
      </c>
      <c r="V54" s="19">
        <v>-9.2292523905331354</v>
      </c>
    </row>
    <row r="59" spans="1:22" ht="18.5" x14ac:dyDescent="0.45">
      <c r="A59" s="13" t="s">
        <v>71</v>
      </c>
      <c r="N59" s="30" t="s">
        <v>66</v>
      </c>
      <c r="O59" s="30">
        <v>0.5</v>
      </c>
    </row>
    <row r="61" spans="1:22" x14ac:dyDescent="0.35">
      <c r="A61" s="8" t="s">
        <v>0</v>
      </c>
      <c r="B61" s="9" t="s">
        <v>1</v>
      </c>
      <c r="C61" s="9" t="s">
        <v>2</v>
      </c>
      <c r="D61" s="9" t="s">
        <v>3</v>
      </c>
      <c r="E61" s="9" t="s">
        <v>4</v>
      </c>
      <c r="F61" s="9" t="s">
        <v>5</v>
      </c>
      <c r="G61" s="9" t="s">
        <v>6</v>
      </c>
      <c r="H61" s="9" t="s">
        <v>7</v>
      </c>
      <c r="I61" s="9" t="s">
        <v>8</v>
      </c>
      <c r="J61" s="9" t="s">
        <v>9</v>
      </c>
      <c r="K61" s="9" t="s">
        <v>10</v>
      </c>
      <c r="L61" s="9" t="s">
        <v>11</v>
      </c>
      <c r="M61" s="9" t="s">
        <v>12</v>
      </c>
      <c r="N61" s="9" t="s">
        <v>13</v>
      </c>
      <c r="O61" s="9" t="s">
        <v>28</v>
      </c>
      <c r="P61" s="9" t="s">
        <v>55</v>
      </c>
      <c r="Q61" s="10" t="s">
        <v>56</v>
      </c>
    </row>
    <row r="62" spans="1:22" x14ac:dyDescent="0.35">
      <c r="A62" s="11">
        <v>1</v>
      </c>
      <c r="B62" s="23">
        <v>2018</v>
      </c>
      <c r="C62" s="23">
        <v>1</v>
      </c>
      <c r="D62" s="23" t="s">
        <v>14</v>
      </c>
      <c r="E62" s="23" t="s">
        <v>15</v>
      </c>
      <c r="F62" s="23" t="s">
        <v>14</v>
      </c>
      <c r="G62" s="23" t="s">
        <v>16</v>
      </c>
      <c r="H62" s="23" t="s">
        <v>17</v>
      </c>
      <c r="I62" s="23" t="s">
        <v>18</v>
      </c>
      <c r="J62" s="23">
        <v>1792</v>
      </c>
      <c r="K62" s="23">
        <v>1538</v>
      </c>
      <c r="L62" s="23">
        <v>19.911111111111101</v>
      </c>
      <c r="M62" s="23">
        <v>17.0888888888888</v>
      </c>
      <c r="N62" s="24">
        <v>85.825892857142804</v>
      </c>
      <c r="O62" s="24"/>
      <c r="P62" s="24"/>
      <c r="Q62" s="25"/>
    </row>
    <row r="63" spans="1:22" x14ac:dyDescent="0.35">
      <c r="A63" s="11">
        <v>2</v>
      </c>
      <c r="B63" s="23">
        <v>2018</v>
      </c>
      <c r="C63" s="23">
        <v>2</v>
      </c>
      <c r="D63" s="23" t="s">
        <v>14</v>
      </c>
      <c r="E63" s="23" t="s">
        <v>15</v>
      </c>
      <c r="F63" s="23" t="s">
        <v>14</v>
      </c>
      <c r="G63" s="23" t="s">
        <v>16</v>
      </c>
      <c r="H63" s="23" t="s">
        <v>17</v>
      </c>
      <c r="I63" s="23" t="s">
        <v>18</v>
      </c>
      <c r="J63" s="23">
        <v>1329</v>
      </c>
      <c r="K63" s="23">
        <v>1064</v>
      </c>
      <c r="L63" s="23">
        <v>14.6043956043956</v>
      </c>
      <c r="M63" s="23">
        <v>11.692307692307599</v>
      </c>
      <c r="N63" s="24">
        <v>80.060195635816399</v>
      </c>
      <c r="O63" s="24">
        <f>N62</f>
        <v>85.825892857142804</v>
      </c>
      <c r="P63" s="24">
        <f t="shared" ref="P63:P77" si="6">N63-O63</f>
        <v>-5.7656972213264055</v>
      </c>
      <c r="Q63" s="25">
        <f t="shared" ref="Q63:Q77" si="7">P63*P63</f>
        <v>33.243264448011033</v>
      </c>
    </row>
    <row r="64" spans="1:22" x14ac:dyDescent="0.35">
      <c r="A64" s="11">
        <v>3</v>
      </c>
      <c r="B64" s="23">
        <v>2018</v>
      </c>
      <c r="C64" s="23">
        <v>3</v>
      </c>
      <c r="D64" s="23" t="s">
        <v>14</v>
      </c>
      <c r="E64" s="23" t="s">
        <v>15</v>
      </c>
      <c r="F64" s="23" t="s">
        <v>14</v>
      </c>
      <c r="G64" s="23" t="s">
        <v>16</v>
      </c>
      <c r="H64" s="23" t="s">
        <v>17</v>
      </c>
      <c r="I64" s="23" t="s">
        <v>18</v>
      </c>
      <c r="J64" s="23">
        <v>1492</v>
      </c>
      <c r="K64" s="23">
        <v>1154</v>
      </c>
      <c r="L64" s="23">
        <v>16.2173913043478</v>
      </c>
      <c r="M64" s="23">
        <v>12.543478260869501</v>
      </c>
      <c r="N64" s="24">
        <v>77.3458445040214</v>
      </c>
      <c r="O64" s="24">
        <f>$O$59*N63+(1-$O$59)*O63</f>
        <v>82.943044246479602</v>
      </c>
      <c r="P64" s="24">
        <f t="shared" si="6"/>
        <v>-5.5971997424582014</v>
      </c>
      <c r="Q64" s="25">
        <f t="shared" si="7"/>
        <v>31.328644956974156</v>
      </c>
    </row>
    <row r="65" spans="1:21" x14ac:dyDescent="0.35">
      <c r="A65" s="11">
        <v>4</v>
      </c>
      <c r="B65" s="23">
        <v>2018</v>
      </c>
      <c r="C65" s="23">
        <v>4</v>
      </c>
      <c r="D65" s="23" t="s">
        <v>14</v>
      </c>
      <c r="E65" s="23" t="s">
        <v>15</v>
      </c>
      <c r="F65" s="23" t="s">
        <v>14</v>
      </c>
      <c r="G65" s="23" t="s">
        <v>16</v>
      </c>
      <c r="H65" s="23" t="s">
        <v>17</v>
      </c>
      <c r="I65" s="23" t="s">
        <v>18</v>
      </c>
      <c r="J65" s="23">
        <v>1543</v>
      </c>
      <c r="K65" s="23">
        <v>1225</v>
      </c>
      <c r="L65" s="23">
        <v>16.7717391304347</v>
      </c>
      <c r="M65" s="23">
        <v>13.3152173913043</v>
      </c>
      <c r="N65" s="24">
        <v>79.390797148412105</v>
      </c>
      <c r="O65" s="24">
        <f t="shared" ref="O65:O76" si="8">$O$59*N64+(1-$O$59)*O64</f>
        <v>80.144444375250501</v>
      </c>
      <c r="P65" s="24">
        <f t="shared" si="6"/>
        <v>-0.75364722683839602</v>
      </c>
      <c r="Q65" s="25">
        <f t="shared" si="7"/>
        <v>0.56798414252120477</v>
      </c>
    </row>
    <row r="66" spans="1:21" x14ac:dyDescent="0.35">
      <c r="A66" s="11">
        <v>5</v>
      </c>
      <c r="B66" s="23">
        <v>2019</v>
      </c>
      <c r="C66" s="23">
        <v>1</v>
      </c>
      <c r="D66" s="23" t="s">
        <v>14</v>
      </c>
      <c r="E66" s="23" t="s">
        <v>15</v>
      </c>
      <c r="F66" s="23" t="s">
        <v>14</v>
      </c>
      <c r="G66" s="23" t="s">
        <v>16</v>
      </c>
      <c r="H66" s="23" t="s">
        <v>17</v>
      </c>
      <c r="I66" s="23" t="s">
        <v>18</v>
      </c>
      <c r="J66" s="23">
        <v>1609</v>
      </c>
      <c r="K66" s="23">
        <v>1370</v>
      </c>
      <c r="L66" s="23">
        <v>17.877777777777698</v>
      </c>
      <c r="M66" s="23">
        <v>15.2222222222222</v>
      </c>
      <c r="N66" s="24">
        <v>85.146053449347406</v>
      </c>
      <c r="O66" s="24">
        <f t="shared" si="8"/>
        <v>79.767620761831296</v>
      </c>
      <c r="P66" s="24">
        <f t="shared" si="6"/>
        <v>5.3784326875161099</v>
      </c>
      <c r="Q66" s="25">
        <f t="shared" si="7"/>
        <v>28.927538174141766</v>
      </c>
    </row>
    <row r="67" spans="1:21" x14ac:dyDescent="0.35">
      <c r="A67" s="11">
        <v>6</v>
      </c>
      <c r="B67" s="23">
        <v>2019</v>
      </c>
      <c r="C67" s="23">
        <v>2</v>
      </c>
      <c r="D67" s="23" t="s">
        <v>14</v>
      </c>
      <c r="E67" s="23" t="s">
        <v>15</v>
      </c>
      <c r="F67" s="23" t="s">
        <v>14</v>
      </c>
      <c r="G67" s="23" t="s">
        <v>16</v>
      </c>
      <c r="H67" s="23" t="s">
        <v>17</v>
      </c>
      <c r="I67" s="23" t="s">
        <v>18</v>
      </c>
      <c r="J67" s="23">
        <v>1787</v>
      </c>
      <c r="K67" s="23">
        <v>1532</v>
      </c>
      <c r="L67" s="23">
        <v>19.6373626373626</v>
      </c>
      <c r="M67" s="23">
        <v>16.8351648351648</v>
      </c>
      <c r="N67" s="24">
        <v>85.730274202574094</v>
      </c>
      <c r="O67" s="24">
        <f t="shared" si="8"/>
        <v>82.456837105589358</v>
      </c>
      <c r="P67" s="24">
        <f t="shared" si="6"/>
        <v>3.2734370969847362</v>
      </c>
      <c r="Q67" s="25">
        <f t="shared" si="7"/>
        <v>10.715390427915857</v>
      </c>
    </row>
    <row r="68" spans="1:21" x14ac:dyDescent="0.35">
      <c r="A68" s="11">
        <v>7</v>
      </c>
      <c r="B68" s="23">
        <v>2019</v>
      </c>
      <c r="C68" s="23">
        <v>3</v>
      </c>
      <c r="D68" s="23" t="s">
        <v>14</v>
      </c>
      <c r="E68" s="23" t="s">
        <v>15</v>
      </c>
      <c r="F68" s="23" t="s">
        <v>14</v>
      </c>
      <c r="G68" s="23" t="s">
        <v>16</v>
      </c>
      <c r="H68" s="23" t="s">
        <v>17</v>
      </c>
      <c r="I68" s="23" t="s">
        <v>18</v>
      </c>
      <c r="J68" s="23">
        <v>1465</v>
      </c>
      <c r="K68" s="23">
        <v>1270</v>
      </c>
      <c r="L68" s="23">
        <v>15.923913043478199</v>
      </c>
      <c r="M68" s="23">
        <v>13.8043478260869</v>
      </c>
      <c r="N68" s="24">
        <v>86.689419795221795</v>
      </c>
      <c r="O68" s="24">
        <f t="shared" si="8"/>
        <v>84.093555654081726</v>
      </c>
      <c r="P68" s="24">
        <f t="shared" si="6"/>
        <v>2.5958641411400691</v>
      </c>
      <c r="Q68" s="25">
        <f t="shared" si="7"/>
        <v>6.7385106392568686</v>
      </c>
    </row>
    <row r="69" spans="1:21" x14ac:dyDescent="0.35">
      <c r="A69" s="11">
        <v>8</v>
      </c>
      <c r="B69" s="23">
        <v>2019</v>
      </c>
      <c r="C69" s="23">
        <v>4</v>
      </c>
      <c r="D69" s="23" t="s">
        <v>14</v>
      </c>
      <c r="E69" s="23" t="s">
        <v>15</v>
      </c>
      <c r="F69" s="23" t="s">
        <v>14</v>
      </c>
      <c r="G69" s="23" t="s">
        <v>16</v>
      </c>
      <c r="H69" s="23" t="s">
        <v>17</v>
      </c>
      <c r="I69" s="23" t="s">
        <v>18</v>
      </c>
      <c r="J69" s="23">
        <v>1510</v>
      </c>
      <c r="K69" s="23">
        <v>1299</v>
      </c>
      <c r="L69" s="23">
        <v>16.4130434782608</v>
      </c>
      <c r="M69" s="23">
        <v>14.119565217391299</v>
      </c>
      <c r="N69" s="24">
        <v>86.026490066225094</v>
      </c>
      <c r="O69" s="24">
        <f t="shared" si="8"/>
        <v>85.391487724651768</v>
      </c>
      <c r="P69" s="24">
        <f t="shared" si="6"/>
        <v>0.63500234157332613</v>
      </c>
      <c r="Q69" s="25">
        <f t="shared" si="7"/>
        <v>0.40322797380360714</v>
      </c>
      <c r="T69" s="19" t="s">
        <v>57</v>
      </c>
      <c r="U69" s="19"/>
    </row>
    <row r="70" spans="1:21" x14ac:dyDescent="0.35">
      <c r="A70" s="11">
        <v>9</v>
      </c>
      <c r="B70" s="23">
        <v>2020</v>
      </c>
      <c r="C70" s="23">
        <v>1</v>
      </c>
      <c r="D70" s="23" t="s">
        <v>14</v>
      </c>
      <c r="E70" s="23" t="s">
        <v>15</v>
      </c>
      <c r="F70" s="23" t="s">
        <v>14</v>
      </c>
      <c r="G70" s="23" t="s">
        <v>16</v>
      </c>
      <c r="H70" s="23" t="s">
        <v>17</v>
      </c>
      <c r="I70" s="23" t="s">
        <v>18</v>
      </c>
      <c r="J70" s="23">
        <v>1862</v>
      </c>
      <c r="K70" s="23">
        <v>1501</v>
      </c>
      <c r="L70" s="23">
        <v>20.4615384615384</v>
      </c>
      <c r="M70" s="23">
        <v>16.4945054945054</v>
      </c>
      <c r="N70" s="24">
        <v>80.612244897959101</v>
      </c>
      <c r="O70" s="24">
        <f t="shared" si="8"/>
        <v>85.708988895438438</v>
      </c>
      <c r="P70" s="24">
        <f t="shared" si="6"/>
        <v>-5.0967439974793365</v>
      </c>
      <c r="Q70" s="25">
        <f t="shared" si="7"/>
        <v>25.976799375841647</v>
      </c>
      <c r="T70" s="19" t="s">
        <v>58</v>
      </c>
      <c r="U70" s="22">
        <f>AVERAGE(Q63:Q77)</f>
        <v>213.44382824973744</v>
      </c>
    </row>
    <row r="71" spans="1:21" x14ac:dyDescent="0.35">
      <c r="A71" s="11">
        <v>10</v>
      </c>
      <c r="B71" s="23">
        <v>2020</v>
      </c>
      <c r="C71" s="23">
        <v>2</v>
      </c>
      <c r="D71" s="23" t="s">
        <v>14</v>
      </c>
      <c r="E71" s="23" t="s">
        <v>15</v>
      </c>
      <c r="F71" s="23" t="s">
        <v>14</v>
      </c>
      <c r="G71" s="23" t="s">
        <v>16</v>
      </c>
      <c r="H71" s="23" t="s">
        <v>17</v>
      </c>
      <c r="I71" s="23" t="s">
        <v>18</v>
      </c>
      <c r="J71" s="23">
        <v>2032</v>
      </c>
      <c r="K71" s="23">
        <v>812</v>
      </c>
      <c r="L71" s="23">
        <v>22.3296703296703</v>
      </c>
      <c r="M71" s="23">
        <v>8.9230769230769198</v>
      </c>
      <c r="N71" s="24">
        <v>39.960629921259802</v>
      </c>
      <c r="O71" s="24">
        <f t="shared" si="8"/>
        <v>83.16061689669877</v>
      </c>
      <c r="P71" s="24">
        <f t="shared" si="6"/>
        <v>-43.199986975438968</v>
      </c>
      <c r="Q71" s="25">
        <f t="shared" si="7"/>
        <v>1866.2388746780964</v>
      </c>
    </row>
    <row r="72" spans="1:21" x14ac:dyDescent="0.35">
      <c r="A72" s="11">
        <v>11</v>
      </c>
      <c r="B72" s="23">
        <v>2020</v>
      </c>
      <c r="C72" s="23">
        <v>3</v>
      </c>
      <c r="D72" s="23" t="s">
        <v>14</v>
      </c>
      <c r="E72" s="23" t="s">
        <v>15</v>
      </c>
      <c r="F72" s="23" t="s">
        <v>14</v>
      </c>
      <c r="G72" s="23" t="s">
        <v>16</v>
      </c>
      <c r="H72" s="23" t="s">
        <v>17</v>
      </c>
      <c r="I72" s="23" t="s">
        <v>18</v>
      </c>
      <c r="J72" s="23">
        <v>1660</v>
      </c>
      <c r="K72" s="23">
        <v>1043</v>
      </c>
      <c r="L72" s="23">
        <v>18.043478260869499</v>
      </c>
      <c r="M72" s="23">
        <v>11.336956521739101</v>
      </c>
      <c r="N72" s="24">
        <v>62.831325301204799</v>
      </c>
      <c r="O72" s="24">
        <f t="shared" si="8"/>
        <v>61.560623408979282</v>
      </c>
      <c r="P72" s="24">
        <f t="shared" si="6"/>
        <v>1.2707018922255173</v>
      </c>
      <c r="Q72" s="25">
        <f t="shared" si="7"/>
        <v>1.6146832989055102</v>
      </c>
      <c r="T72" s="19" t="s">
        <v>67</v>
      </c>
      <c r="U72" s="19" t="s">
        <v>58</v>
      </c>
    </row>
    <row r="73" spans="1:21" x14ac:dyDescent="0.35">
      <c r="A73" s="11">
        <v>12</v>
      </c>
      <c r="B73" s="23">
        <v>2020</v>
      </c>
      <c r="C73" s="23">
        <v>4</v>
      </c>
      <c r="D73" s="23" t="s">
        <v>14</v>
      </c>
      <c r="E73" s="23" t="s">
        <v>15</v>
      </c>
      <c r="F73" s="23" t="s">
        <v>14</v>
      </c>
      <c r="G73" s="23" t="s">
        <v>16</v>
      </c>
      <c r="H73" s="23" t="s">
        <v>17</v>
      </c>
      <c r="I73" s="23" t="s">
        <v>18</v>
      </c>
      <c r="J73" s="23">
        <v>1379</v>
      </c>
      <c r="K73" s="23">
        <v>978</v>
      </c>
      <c r="L73" s="23">
        <v>14.9891304347826</v>
      </c>
      <c r="M73" s="23">
        <v>10.630434782608599</v>
      </c>
      <c r="N73" s="24">
        <v>70.920957215373406</v>
      </c>
      <c r="O73" s="24">
        <f t="shared" si="8"/>
        <v>62.195974355092041</v>
      </c>
      <c r="P73" s="24">
        <f t="shared" si="6"/>
        <v>8.724982860281365</v>
      </c>
      <c r="Q73" s="25">
        <f t="shared" si="7"/>
        <v>76.125325912203593</v>
      </c>
      <c r="T73" s="19">
        <v>0.2</v>
      </c>
      <c r="U73" s="19">
        <v>224.62</v>
      </c>
    </row>
    <row r="74" spans="1:21" x14ac:dyDescent="0.35">
      <c r="A74" s="11">
        <v>13</v>
      </c>
      <c r="B74" s="23">
        <v>2021</v>
      </c>
      <c r="C74" s="23">
        <v>1</v>
      </c>
      <c r="D74" s="23" t="s">
        <v>14</v>
      </c>
      <c r="E74" s="23" t="s">
        <v>15</v>
      </c>
      <c r="F74" s="23" t="s">
        <v>14</v>
      </c>
      <c r="G74" s="23" t="s">
        <v>16</v>
      </c>
      <c r="H74" s="23" t="s">
        <v>17</v>
      </c>
      <c r="I74" s="23" t="s">
        <v>18</v>
      </c>
      <c r="J74" s="23">
        <v>1791</v>
      </c>
      <c r="K74" s="23">
        <v>838</v>
      </c>
      <c r="L74" s="23">
        <v>19.899999999999999</v>
      </c>
      <c r="M74" s="23">
        <v>9.31111111111111</v>
      </c>
      <c r="N74" s="24">
        <v>46.789503070910101</v>
      </c>
      <c r="O74" s="24">
        <f t="shared" si="8"/>
        <v>66.558465785232727</v>
      </c>
      <c r="P74" s="24">
        <f t="shared" si="6"/>
        <v>-19.768962714322626</v>
      </c>
      <c r="Q74" s="25">
        <f t="shared" si="7"/>
        <v>390.81188680027822</v>
      </c>
      <c r="T74" s="19">
        <v>0.4</v>
      </c>
      <c r="U74" s="19">
        <v>213.74</v>
      </c>
    </row>
    <row r="75" spans="1:21" x14ac:dyDescent="0.35">
      <c r="A75" s="11">
        <v>14</v>
      </c>
      <c r="B75" s="23">
        <v>2021</v>
      </c>
      <c r="C75" s="23">
        <v>2</v>
      </c>
      <c r="D75" s="23" t="s">
        <v>14</v>
      </c>
      <c r="E75" s="23" t="s">
        <v>15</v>
      </c>
      <c r="F75" s="23" t="s">
        <v>14</v>
      </c>
      <c r="G75" s="23" t="s">
        <v>16</v>
      </c>
      <c r="H75" s="23" t="s">
        <v>17</v>
      </c>
      <c r="I75" s="23" t="s">
        <v>18</v>
      </c>
      <c r="J75" s="23">
        <v>1760</v>
      </c>
      <c r="K75" s="23">
        <v>1118</v>
      </c>
      <c r="L75" s="23">
        <v>19.3406593406593</v>
      </c>
      <c r="M75" s="23">
        <v>12.285714285714199</v>
      </c>
      <c r="N75" s="24">
        <v>63.522727272727202</v>
      </c>
      <c r="O75" s="24">
        <f t="shared" si="8"/>
        <v>56.673984428071414</v>
      </c>
      <c r="P75" s="24">
        <f t="shared" si="6"/>
        <v>6.8487428446557885</v>
      </c>
      <c r="Q75" s="25">
        <f t="shared" si="7"/>
        <v>46.905278552223862</v>
      </c>
      <c r="T75" s="19">
        <v>0.5</v>
      </c>
      <c r="U75" s="19">
        <v>213.44</v>
      </c>
    </row>
    <row r="76" spans="1:21" x14ac:dyDescent="0.35">
      <c r="A76" s="11">
        <v>15</v>
      </c>
      <c r="B76" s="23">
        <v>2021</v>
      </c>
      <c r="C76" s="23">
        <v>3</v>
      </c>
      <c r="D76" s="23" t="s">
        <v>14</v>
      </c>
      <c r="E76" s="23" t="s">
        <v>15</v>
      </c>
      <c r="F76" s="23" t="s">
        <v>14</v>
      </c>
      <c r="G76" s="23" t="s">
        <v>16</v>
      </c>
      <c r="H76" s="23" t="s">
        <v>17</v>
      </c>
      <c r="I76" s="23" t="s">
        <v>18</v>
      </c>
      <c r="J76" s="23">
        <v>1360</v>
      </c>
      <c r="K76" s="23">
        <v>923</v>
      </c>
      <c r="L76" s="23">
        <v>14.782608695652099</v>
      </c>
      <c r="M76" s="23">
        <v>10.032608695652099</v>
      </c>
      <c r="N76" s="24">
        <v>67.867647058823493</v>
      </c>
      <c r="O76" s="24">
        <f t="shared" si="8"/>
        <v>60.098355850399308</v>
      </c>
      <c r="P76" s="24">
        <f t="shared" si="6"/>
        <v>7.7692912084241854</v>
      </c>
      <c r="Q76" s="25">
        <f t="shared" si="7"/>
        <v>60.36188588129734</v>
      </c>
      <c r="T76" s="19">
        <v>0.6</v>
      </c>
      <c r="U76" s="19">
        <v>215.13</v>
      </c>
    </row>
    <row r="77" spans="1:21" x14ac:dyDescent="0.35">
      <c r="A77" s="12">
        <v>16</v>
      </c>
      <c r="B77" s="26">
        <v>2021</v>
      </c>
      <c r="C77" s="26">
        <v>4</v>
      </c>
      <c r="D77" s="26" t="s">
        <v>14</v>
      </c>
      <c r="E77" s="26" t="s">
        <v>15</v>
      </c>
      <c r="F77" s="26" t="s">
        <v>14</v>
      </c>
      <c r="G77" s="26" t="s">
        <v>16</v>
      </c>
      <c r="H77" s="26" t="s">
        <v>17</v>
      </c>
      <c r="I77" s="26" t="s">
        <v>18</v>
      </c>
      <c r="J77" s="26">
        <v>1191</v>
      </c>
      <c r="K77" s="26">
        <v>1059</v>
      </c>
      <c r="L77" s="26">
        <v>12.945652173913</v>
      </c>
      <c r="M77" s="26">
        <v>11.5108695652173</v>
      </c>
      <c r="N77" s="27">
        <v>88.916876574307295</v>
      </c>
      <c r="O77" s="24">
        <f>$O$59*N76+(1-$O$59)*O76</f>
        <v>63.983001454611397</v>
      </c>
      <c r="P77" s="27">
        <f t="shared" si="6"/>
        <v>24.933875119695898</v>
      </c>
      <c r="Q77" s="28">
        <f t="shared" si="7"/>
        <v>621.69812848459014</v>
      </c>
      <c r="T77" s="19">
        <v>0.8</v>
      </c>
      <c r="U77" s="19">
        <v>225.22</v>
      </c>
    </row>
    <row r="78" spans="1:21" x14ac:dyDescent="0.35">
      <c r="A78" s="15">
        <v>17</v>
      </c>
      <c r="B78" s="29">
        <v>2022</v>
      </c>
      <c r="C78" s="29">
        <v>1</v>
      </c>
      <c r="D78" s="16" t="s">
        <v>14</v>
      </c>
      <c r="E78" s="16" t="s">
        <v>15</v>
      </c>
      <c r="F78" s="16"/>
      <c r="G78" s="16"/>
      <c r="H78" s="16"/>
      <c r="I78" s="16"/>
      <c r="J78" s="16"/>
      <c r="K78" s="16"/>
      <c r="L78" s="16"/>
      <c r="M78" s="16"/>
      <c r="N78" s="16"/>
      <c r="O78" s="24">
        <f>$O$59*N77+(1-$O$59)*O77</f>
        <v>76.449939014459346</v>
      </c>
      <c r="P78" s="16"/>
      <c r="Q78" s="16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1DE8-6184-4A62-BE79-8178811F7963}">
  <dimension ref="A1:I18"/>
  <sheetViews>
    <sheetView workbookViewId="0">
      <selection activeCell="B17" sqref="B17"/>
    </sheetView>
  </sheetViews>
  <sheetFormatPr defaultRowHeight="14.5" x14ac:dyDescent="0.35"/>
  <sheetData>
    <row r="1" spans="1:9" x14ac:dyDescent="0.35">
      <c r="A1" t="s">
        <v>29</v>
      </c>
    </row>
    <row r="2" spans="1:9" ht="15" thickBot="1" x14ac:dyDescent="0.4"/>
    <row r="3" spans="1:9" x14ac:dyDescent="0.35">
      <c r="A3" s="7" t="s">
        <v>30</v>
      </c>
      <c r="B3" s="7"/>
    </row>
    <row r="4" spans="1:9" x14ac:dyDescent="0.35">
      <c r="A4" t="s">
        <v>31</v>
      </c>
      <c r="B4">
        <v>0.43762352017534339</v>
      </c>
    </row>
    <row r="5" spans="1:9" x14ac:dyDescent="0.35">
      <c r="A5" t="s">
        <v>32</v>
      </c>
      <c r="B5">
        <v>0.1915143454106592</v>
      </c>
    </row>
    <row r="6" spans="1:9" x14ac:dyDescent="0.35">
      <c r="A6" t="s">
        <v>33</v>
      </c>
      <c r="B6">
        <v>0.13376537008284914</v>
      </c>
    </row>
    <row r="7" spans="1:9" x14ac:dyDescent="0.35">
      <c r="A7" t="s">
        <v>34</v>
      </c>
      <c r="B7">
        <v>13.658460543006237</v>
      </c>
    </row>
    <row r="8" spans="1:9" ht="15" thickBot="1" x14ac:dyDescent="0.4">
      <c r="A8" s="5" t="s">
        <v>35</v>
      </c>
      <c r="B8" s="5">
        <v>16</v>
      </c>
    </row>
    <row r="10" spans="1:9" ht="15" thickBot="1" x14ac:dyDescent="0.4">
      <c r="A10" t="s">
        <v>36</v>
      </c>
    </row>
    <row r="11" spans="1:9" x14ac:dyDescent="0.35">
      <c r="A11" s="6"/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9" x14ac:dyDescent="0.35">
      <c r="A12" t="s">
        <v>37</v>
      </c>
      <c r="B12">
        <v>1</v>
      </c>
      <c r="C12">
        <v>618.67210176332719</v>
      </c>
      <c r="D12">
        <v>618.67210176332719</v>
      </c>
      <c r="E12">
        <v>3.3163245637439394</v>
      </c>
      <c r="F12">
        <v>9.0030086175753851E-2</v>
      </c>
    </row>
    <row r="13" spans="1:9" x14ac:dyDescent="0.35">
      <c r="A13" t="s">
        <v>38</v>
      </c>
      <c r="B13">
        <v>14</v>
      </c>
      <c r="C13">
        <v>2611.7496216680156</v>
      </c>
      <c r="D13">
        <v>186.55354440485826</v>
      </c>
    </row>
    <row r="14" spans="1:9" ht="15" thickBot="1" x14ac:dyDescent="0.4">
      <c r="A14" s="5" t="s">
        <v>39</v>
      </c>
      <c r="B14" s="5">
        <v>15</v>
      </c>
      <c r="C14" s="5">
        <v>3230.4217234313428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46</v>
      </c>
      <c r="C16" s="6" t="s">
        <v>34</v>
      </c>
      <c r="D16" s="6" t="s">
        <v>47</v>
      </c>
      <c r="E16" s="6" t="s">
        <v>48</v>
      </c>
      <c r="F16" s="6" t="s">
        <v>49</v>
      </c>
      <c r="G16" s="6" t="s">
        <v>50</v>
      </c>
      <c r="H16" s="6" t="s">
        <v>51</v>
      </c>
      <c r="I16" s="6" t="s">
        <v>52</v>
      </c>
    </row>
    <row r="17" spans="1:9" x14ac:dyDescent="0.35">
      <c r="A17" t="s">
        <v>40</v>
      </c>
      <c r="B17">
        <v>85.693246747208022</v>
      </c>
      <c r="C17">
        <v>7.1625571349439179</v>
      </c>
      <c r="D17">
        <v>11.964057686763429</v>
      </c>
      <c r="E17">
        <v>9.7204090626310819E-9</v>
      </c>
      <c r="F17">
        <v>70.331089552729622</v>
      </c>
      <c r="G17">
        <v>101.05540394168642</v>
      </c>
      <c r="H17">
        <v>70.331089552729622</v>
      </c>
      <c r="I17">
        <v>101.05540394168642</v>
      </c>
    </row>
    <row r="18" spans="1:9" ht="15" thickBot="1" x14ac:dyDescent="0.4">
      <c r="A18" s="5" t="s">
        <v>53</v>
      </c>
      <c r="B18" s="5">
        <v>-1.3489343307647224</v>
      </c>
      <c r="C18" s="5">
        <v>0.74073402467309857</v>
      </c>
      <c r="D18" s="5">
        <v>-1.821077857683175</v>
      </c>
      <c r="E18" s="5">
        <v>9.0030086175753754E-2</v>
      </c>
      <c r="F18" s="5">
        <v>-2.9376508061713626</v>
      </c>
      <c r="G18" s="5">
        <v>0.23978214464191794</v>
      </c>
      <c r="H18" s="5">
        <v>-2.9376508061713626</v>
      </c>
      <c r="I18" s="5">
        <v>0.23978214464191794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006E-5E9A-4D6C-A9D3-39F5EF8E7D68}">
  <dimension ref="A1:I21"/>
  <sheetViews>
    <sheetView workbookViewId="0">
      <selection activeCell="A16" sqref="A16:B21"/>
    </sheetView>
  </sheetViews>
  <sheetFormatPr defaultRowHeight="14.5" x14ac:dyDescent="0.35"/>
  <sheetData>
    <row r="1" spans="1:9" x14ac:dyDescent="0.35">
      <c r="A1" t="s">
        <v>29</v>
      </c>
    </row>
    <row r="2" spans="1:9" ht="15" thickBot="1" x14ac:dyDescent="0.4"/>
    <row r="3" spans="1:9" x14ac:dyDescent="0.35">
      <c r="A3" s="7" t="s">
        <v>30</v>
      </c>
      <c r="B3" s="7"/>
    </row>
    <row r="4" spans="1:9" x14ac:dyDescent="0.35">
      <c r="A4" t="s">
        <v>31</v>
      </c>
      <c r="B4">
        <v>0.61245338210628197</v>
      </c>
    </row>
    <row r="5" spans="1:9" x14ac:dyDescent="0.35">
      <c r="A5" t="s">
        <v>32</v>
      </c>
      <c r="B5">
        <v>0.37509914525342342</v>
      </c>
    </row>
    <row r="6" spans="1:9" x14ac:dyDescent="0.35">
      <c r="A6" t="s">
        <v>33</v>
      </c>
      <c r="B6">
        <v>0.14786247080012285</v>
      </c>
    </row>
    <row r="7" spans="1:9" x14ac:dyDescent="0.35">
      <c r="A7" t="s">
        <v>34</v>
      </c>
      <c r="B7">
        <v>13.546865776944848</v>
      </c>
    </row>
    <row r="8" spans="1:9" ht="15" thickBot="1" x14ac:dyDescent="0.4">
      <c r="A8" s="5" t="s">
        <v>35</v>
      </c>
      <c r="B8" s="5">
        <v>16</v>
      </c>
    </row>
    <row r="10" spans="1:9" ht="15" thickBot="1" x14ac:dyDescent="0.4">
      <c r="A10" t="s">
        <v>36</v>
      </c>
    </row>
    <row r="11" spans="1:9" x14ac:dyDescent="0.35">
      <c r="A11" s="6"/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9" x14ac:dyDescent="0.35">
      <c r="A12" t="s">
        <v>37</v>
      </c>
      <c r="B12">
        <v>4</v>
      </c>
      <c r="C12">
        <v>1211.7284272671877</v>
      </c>
      <c r="D12">
        <v>302.93210681679693</v>
      </c>
      <c r="E12">
        <v>1.6506980933243243</v>
      </c>
      <c r="F12">
        <v>0.23073558183153808</v>
      </c>
    </row>
    <row r="13" spans="1:9" x14ac:dyDescent="0.35">
      <c r="A13" t="s">
        <v>38</v>
      </c>
      <c r="B13">
        <v>11</v>
      </c>
      <c r="C13">
        <v>2018.6932961641551</v>
      </c>
      <c r="D13">
        <v>183.51757237855955</v>
      </c>
    </row>
    <row r="14" spans="1:9" ht="15" thickBot="1" x14ac:dyDescent="0.4">
      <c r="A14" s="5" t="s">
        <v>39</v>
      </c>
      <c r="B14" s="5">
        <v>15</v>
      </c>
      <c r="C14" s="5">
        <v>3230.4217234313428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46</v>
      </c>
      <c r="C16" s="6" t="s">
        <v>34</v>
      </c>
      <c r="D16" s="6" t="s">
        <v>47</v>
      </c>
      <c r="E16" s="6" t="s">
        <v>48</v>
      </c>
      <c r="F16" s="6" t="s">
        <v>49</v>
      </c>
      <c r="G16" s="6" t="s">
        <v>50</v>
      </c>
      <c r="H16" s="6" t="s">
        <v>51</v>
      </c>
      <c r="I16" s="6" t="s">
        <v>52</v>
      </c>
    </row>
    <row r="17" spans="1:9" x14ac:dyDescent="0.35">
      <c r="A17" t="s">
        <v>40</v>
      </c>
      <c r="B17">
        <v>97.304093293794793</v>
      </c>
      <c r="C17">
        <v>10.160149332708635</v>
      </c>
      <c r="D17">
        <v>9.5770337725788242</v>
      </c>
      <c r="E17">
        <v>1.1366272639951987E-6</v>
      </c>
      <c r="F17">
        <v>74.941755388188128</v>
      </c>
      <c r="G17">
        <v>119.66643119940146</v>
      </c>
      <c r="H17">
        <v>74.941755388188128</v>
      </c>
      <c r="I17">
        <v>119.66643119940146</v>
      </c>
    </row>
    <row r="18" spans="1:9" x14ac:dyDescent="0.35">
      <c r="A18" t="s">
        <v>53</v>
      </c>
      <c r="B18">
        <v>-1.5990313042715321</v>
      </c>
      <c r="C18">
        <v>0.75729281898285461</v>
      </c>
      <c r="D18">
        <v>-2.111509926132991</v>
      </c>
      <c r="E18">
        <v>5.8423765064338495E-2</v>
      </c>
      <c r="F18">
        <v>-3.2658215606967582</v>
      </c>
      <c r="G18">
        <v>6.7758952153694318E-2</v>
      </c>
      <c r="H18">
        <v>-3.2658215606967582</v>
      </c>
      <c r="I18">
        <v>6.7758952153694318E-2</v>
      </c>
    </row>
    <row r="19" spans="1:9" x14ac:dyDescent="0.35">
      <c r="A19" t="s">
        <v>63</v>
      </c>
      <c r="B19">
        <v>-11.517450595054219</v>
      </c>
      <c r="C19">
        <v>9.8448066467771103</v>
      </c>
      <c r="D19">
        <v>-1.1699011477106747</v>
      </c>
      <c r="E19">
        <v>0.26676468409740378</v>
      </c>
      <c r="F19">
        <v>-33.185723928582163</v>
      </c>
      <c r="G19">
        <v>10.150822738473723</v>
      </c>
      <c r="H19">
        <v>-33.185723928582163</v>
      </c>
      <c r="I19">
        <v>10.150822738473723</v>
      </c>
    </row>
    <row r="20" spans="1:9" x14ac:dyDescent="0.35">
      <c r="A20" t="s">
        <v>64</v>
      </c>
      <c r="B20">
        <v>-17.193386101528166</v>
      </c>
      <c r="C20">
        <v>9.6980800081259257</v>
      </c>
      <c r="D20">
        <v>-1.7728649471980018</v>
      </c>
      <c r="E20">
        <v>0.10390632526241537</v>
      </c>
      <c r="F20">
        <v>-38.538716280794723</v>
      </c>
      <c r="G20">
        <v>4.151944077738392</v>
      </c>
      <c r="H20">
        <v>-38.538716280794723</v>
      </c>
      <c r="I20">
        <v>4.151944077738392</v>
      </c>
    </row>
    <row r="21" spans="1:9" ht="15" thickBot="1" x14ac:dyDescent="0.4">
      <c r="A21" s="5" t="s">
        <v>65</v>
      </c>
      <c r="B21" s="5">
        <v>-9.2292523905331354</v>
      </c>
      <c r="C21" s="5">
        <v>9.6089686544895514</v>
      </c>
      <c r="D21" s="5">
        <v>-0.96048314053152806</v>
      </c>
      <c r="E21" s="5">
        <v>0.35744936651858283</v>
      </c>
      <c r="F21" s="5">
        <v>-30.378449802850355</v>
      </c>
      <c r="G21" s="5">
        <v>11.919945021784086</v>
      </c>
      <c r="H21" s="5">
        <v>-30.378449802850355</v>
      </c>
      <c r="I21" s="5">
        <v>11.919945021784086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BFBD-925F-45CC-93FB-9C87359A3370}">
  <dimension ref="A1:V26"/>
  <sheetViews>
    <sheetView workbookViewId="0">
      <selection activeCell="U16" sqref="U16"/>
    </sheetView>
  </sheetViews>
  <sheetFormatPr defaultRowHeight="14.5" x14ac:dyDescent="0.35"/>
  <cols>
    <col min="6" max="13" width="0" hidden="1" customWidth="1"/>
    <col min="14" max="14" width="19" customWidth="1"/>
    <col min="15" max="15" width="10.54296875" customWidth="1"/>
  </cols>
  <sheetData>
    <row r="1" spans="1:22" ht="23.5" x14ac:dyDescent="0.55000000000000004">
      <c r="A1" s="14" t="s">
        <v>69</v>
      </c>
    </row>
    <row r="3" spans="1:22" ht="18.5" x14ac:dyDescent="0.45">
      <c r="A3" s="13" t="s">
        <v>54</v>
      </c>
    </row>
    <row r="5" spans="1:22" x14ac:dyDescent="0.3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28</v>
      </c>
      <c r="P5" s="3" t="s">
        <v>55</v>
      </c>
      <c r="Q5" s="3" t="s">
        <v>56</v>
      </c>
    </row>
    <row r="6" spans="1:22" x14ac:dyDescent="0.35">
      <c r="A6" s="2">
        <v>1</v>
      </c>
      <c r="B6" s="16">
        <v>2018</v>
      </c>
      <c r="C6" s="16">
        <v>1</v>
      </c>
      <c r="D6" s="16" t="s">
        <v>21</v>
      </c>
      <c r="E6" s="16" t="s">
        <v>22</v>
      </c>
      <c r="F6" s="16" t="s">
        <v>21</v>
      </c>
      <c r="G6" s="16" t="s">
        <v>16</v>
      </c>
      <c r="H6" s="16" t="s">
        <v>17</v>
      </c>
      <c r="I6" s="16" t="s">
        <v>18</v>
      </c>
      <c r="J6" s="16">
        <v>191</v>
      </c>
      <c r="K6" s="16">
        <v>191</v>
      </c>
      <c r="L6" s="16">
        <v>2.12222222222222</v>
      </c>
      <c r="M6" s="16">
        <v>2.12222222222222</v>
      </c>
      <c r="N6" s="16">
        <v>100</v>
      </c>
      <c r="O6" s="16">
        <f>$O$25+$O$26*A6</f>
        <v>100</v>
      </c>
      <c r="P6" s="16">
        <f>N6-O6</f>
        <v>0</v>
      </c>
      <c r="Q6" s="16">
        <f>P6*P6</f>
        <v>0</v>
      </c>
    </row>
    <row r="7" spans="1:22" x14ac:dyDescent="0.35">
      <c r="A7" s="2">
        <v>2</v>
      </c>
      <c r="B7" s="16">
        <v>2018</v>
      </c>
      <c r="C7" s="16">
        <v>2</v>
      </c>
      <c r="D7" s="16" t="s">
        <v>21</v>
      </c>
      <c r="E7" s="16" t="s">
        <v>22</v>
      </c>
      <c r="F7" s="16" t="s">
        <v>21</v>
      </c>
      <c r="G7" s="16" t="s">
        <v>16</v>
      </c>
      <c r="H7" s="16" t="s">
        <v>17</v>
      </c>
      <c r="I7" s="16" t="s">
        <v>18</v>
      </c>
      <c r="J7" s="16">
        <v>88</v>
      </c>
      <c r="K7" s="16">
        <v>88</v>
      </c>
      <c r="L7" s="16">
        <v>0.96703296703296704</v>
      </c>
      <c r="M7" s="16">
        <v>0.96703296703296704</v>
      </c>
      <c r="N7" s="16">
        <v>100</v>
      </c>
      <c r="O7" s="16">
        <f t="shared" ref="O7:O21" si="0">$O$25+$O$26*A7</f>
        <v>100</v>
      </c>
      <c r="P7" s="16">
        <f t="shared" ref="P7:P21" si="1">N7-O7</f>
        <v>0</v>
      </c>
      <c r="Q7" s="16">
        <f t="shared" ref="Q7:Q21" si="2">P7*P7</f>
        <v>0</v>
      </c>
    </row>
    <row r="8" spans="1:22" x14ac:dyDescent="0.35">
      <c r="A8" s="2">
        <v>3</v>
      </c>
      <c r="B8" s="16">
        <v>2018</v>
      </c>
      <c r="C8" s="16">
        <v>3</v>
      </c>
      <c r="D8" s="16" t="s">
        <v>21</v>
      </c>
      <c r="E8" s="16" t="s">
        <v>22</v>
      </c>
      <c r="F8" s="16" t="s">
        <v>21</v>
      </c>
      <c r="G8" s="16" t="s">
        <v>16</v>
      </c>
      <c r="H8" s="16" t="s">
        <v>17</v>
      </c>
      <c r="I8" s="16" t="s">
        <v>18</v>
      </c>
      <c r="J8" s="16">
        <v>99</v>
      </c>
      <c r="K8" s="16">
        <v>99</v>
      </c>
      <c r="L8" s="16">
        <v>1.0760869565217299</v>
      </c>
      <c r="M8" s="16">
        <v>1.0760869565217299</v>
      </c>
      <c r="N8" s="16">
        <v>100</v>
      </c>
      <c r="O8" s="16">
        <f t="shared" si="0"/>
        <v>100</v>
      </c>
      <c r="P8" s="16">
        <f t="shared" si="1"/>
        <v>0</v>
      </c>
      <c r="Q8" s="16">
        <f t="shared" si="2"/>
        <v>0</v>
      </c>
    </row>
    <row r="9" spans="1:22" x14ac:dyDescent="0.35">
      <c r="A9" s="2">
        <v>4</v>
      </c>
      <c r="B9" s="16">
        <v>2018</v>
      </c>
      <c r="C9" s="16">
        <v>4</v>
      </c>
      <c r="D9" s="16" t="s">
        <v>21</v>
      </c>
      <c r="E9" s="16" t="s">
        <v>22</v>
      </c>
      <c r="F9" s="16" t="s">
        <v>21</v>
      </c>
      <c r="G9" s="16" t="s">
        <v>16</v>
      </c>
      <c r="H9" s="16" t="s">
        <v>17</v>
      </c>
      <c r="I9" s="16" t="s">
        <v>18</v>
      </c>
      <c r="J9" s="16">
        <v>201</v>
      </c>
      <c r="K9" s="16">
        <v>201</v>
      </c>
      <c r="L9" s="16">
        <v>2.1847826086956501</v>
      </c>
      <c r="M9" s="16">
        <v>2.1847826086956501</v>
      </c>
      <c r="N9" s="16">
        <v>100</v>
      </c>
      <c r="O9" s="16">
        <f t="shared" si="0"/>
        <v>100</v>
      </c>
      <c r="P9" s="16">
        <f t="shared" si="1"/>
        <v>0</v>
      </c>
      <c r="Q9" s="16">
        <f t="shared" si="2"/>
        <v>0</v>
      </c>
    </row>
    <row r="10" spans="1:22" x14ac:dyDescent="0.35">
      <c r="A10" s="2">
        <v>5</v>
      </c>
      <c r="B10" s="16">
        <v>2019</v>
      </c>
      <c r="C10" s="16">
        <v>1</v>
      </c>
      <c r="D10" s="16" t="s">
        <v>21</v>
      </c>
      <c r="E10" s="16" t="s">
        <v>22</v>
      </c>
      <c r="F10" s="16" t="s">
        <v>21</v>
      </c>
      <c r="G10" s="16" t="s">
        <v>16</v>
      </c>
      <c r="H10" s="16" t="s">
        <v>17</v>
      </c>
      <c r="I10" s="16" t="s">
        <v>18</v>
      </c>
      <c r="J10" s="16">
        <v>203</v>
      </c>
      <c r="K10" s="16">
        <v>203</v>
      </c>
      <c r="L10" s="16">
        <v>2.2555555555555502</v>
      </c>
      <c r="M10" s="16">
        <v>2.2555555555555502</v>
      </c>
      <c r="N10" s="16">
        <v>100</v>
      </c>
      <c r="O10" s="16">
        <f t="shared" si="0"/>
        <v>100</v>
      </c>
      <c r="P10" s="16">
        <f t="shared" si="1"/>
        <v>0</v>
      </c>
      <c r="Q10" s="16">
        <f t="shared" si="2"/>
        <v>0</v>
      </c>
    </row>
    <row r="11" spans="1:22" x14ac:dyDescent="0.35">
      <c r="A11" s="2">
        <v>6</v>
      </c>
      <c r="B11" s="16">
        <v>2019</v>
      </c>
      <c r="C11" s="16">
        <v>2</v>
      </c>
      <c r="D11" s="16" t="s">
        <v>21</v>
      </c>
      <c r="E11" s="16" t="s">
        <v>22</v>
      </c>
      <c r="F11" s="16" t="s">
        <v>21</v>
      </c>
      <c r="G11" s="16" t="s">
        <v>16</v>
      </c>
      <c r="H11" s="16" t="s">
        <v>17</v>
      </c>
      <c r="I11" s="16" t="s">
        <v>18</v>
      </c>
      <c r="J11" s="16">
        <v>181</v>
      </c>
      <c r="K11" s="16">
        <v>181</v>
      </c>
      <c r="L11" s="16">
        <v>1.9890109890109799</v>
      </c>
      <c r="M11" s="16">
        <v>1.9890109890109799</v>
      </c>
      <c r="N11" s="16">
        <v>100</v>
      </c>
      <c r="O11" s="16">
        <f t="shared" si="0"/>
        <v>100</v>
      </c>
      <c r="P11" s="16">
        <f t="shared" si="1"/>
        <v>0</v>
      </c>
      <c r="Q11" s="16">
        <f t="shared" si="2"/>
        <v>0</v>
      </c>
    </row>
    <row r="12" spans="1:22" x14ac:dyDescent="0.35">
      <c r="A12" s="2">
        <v>7</v>
      </c>
      <c r="B12" s="16">
        <v>2019</v>
      </c>
      <c r="C12" s="16">
        <v>3</v>
      </c>
      <c r="D12" s="16" t="s">
        <v>21</v>
      </c>
      <c r="E12" s="16" t="s">
        <v>22</v>
      </c>
      <c r="F12" s="16" t="s">
        <v>21</v>
      </c>
      <c r="G12" s="16" t="s">
        <v>16</v>
      </c>
      <c r="H12" s="16" t="s">
        <v>17</v>
      </c>
      <c r="I12" s="16" t="s">
        <v>18</v>
      </c>
      <c r="J12" s="16">
        <v>147</v>
      </c>
      <c r="K12" s="16">
        <v>147</v>
      </c>
      <c r="L12" s="16">
        <v>1.59782608695652</v>
      </c>
      <c r="M12" s="16">
        <v>1.59782608695652</v>
      </c>
      <c r="N12" s="16">
        <v>100</v>
      </c>
      <c r="O12" s="16">
        <f t="shared" si="0"/>
        <v>100</v>
      </c>
      <c r="P12" s="16">
        <f t="shared" si="1"/>
        <v>0</v>
      </c>
      <c r="Q12" s="16">
        <f t="shared" si="2"/>
        <v>0</v>
      </c>
    </row>
    <row r="13" spans="1:22" x14ac:dyDescent="0.35">
      <c r="A13" s="2">
        <v>8</v>
      </c>
      <c r="B13" s="16">
        <v>2019</v>
      </c>
      <c r="C13" s="16">
        <v>4</v>
      </c>
      <c r="D13" s="16" t="s">
        <v>21</v>
      </c>
      <c r="E13" s="16" t="s">
        <v>22</v>
      </c>
      <c r="F13" s="16" t="s">
        <v>21</v>
      </c>
      <c r="G13" s="16" t="s">
        <v>16</v>
      </c>
      <c r="H13" s="16" t="s">
        <v>17</v>
      </c>
      <c r="I13" s="16" t="s">
        <v>18</v>
      </c>
      <c r="J13" s="16">
        <v>184</v>
      </c>
      <c r="K13" s="16">
        <v>184</v>
      </c>
      <c r="L13" s="16">
        <v>2</v>
      </c>
      <c r="M13" s="16">
        <v>2</v>
      </c>
      <c r="N13" s="16">
        <v>100</v>
      </c>
      <c r="O13" s="16">
        <f t="shared" si="0"/>
        <v>100</v>
      </c>
      <c r="P13" s="16">
        <f t="shared" si="1"/>
        <v>0</v>
      </c>
      <c r="Q13" s="16">
        <f t="shared" si="2"/>
        <v>0</v>
      </c>
      <c r="U13" s="19" t="s">
        <v>57</v>
      </c>
      <c r="V13" s="19"/>
    </row>
    <row r="14" spans="1:22" x14ac:dyDescent="0.35">
      <c r="A14" s="2">
        <v>9</v>
      </c>
      <c r="B14" s="16">
        <v>2020</v>
      </c>
      <c r="C14" s="16">
        <v>1</v>
      </c>
      <c r="D14" s="16" t="s">
        <v>21</v>
      </c>
      <c r="E14" s="16" t="s">
        <v>22</v>
      </c>
      <c r="F14" s="16" t="s">
        <v>21</v>
      </c>
      <c r="G14" s="16" t="s">
        <v>16</v>
      </c>
      <c r="H14" s="16" t="s">
        <v>17</v>
      </c>
      <c r="I14" s="16" t="s">
        <v>18</v>
      </c>
      <c r="J14" s="16">
        <v>256</v>
      </c>
      <c r="K14" s="16">
        <v>256</v>
      </c>
      <c r="L14" s="16">
        <v>2.8131868131868099</v>
      </c>
      <c r="M14" s="16">
        <v>2.8131868131868099</v>
      </c>
      <c r="N14" s="16">
        <v>100</v>
      </c>
      <c r="O14" s="16">
        <f t="shared" si="0"/>
        <v>100</v>
      </c>
      <c r="P14" s="16">
        <f t="shared" si="1"/>
        <v>0</v>
      </c>
      <c r="Q14" s="16">
        <f t="shared" si="2"/>
        <v>0</v>
      </c>
      <c r="U14" s="19" t="s">
        <v>58</v>
      </c>
      <c r="V14" s="22">
        <v>0</v>
      </c>
    </row>
    <row r="15" spans="1:22" x14ac:dyDescent="0.35">
      <c r="A15" s="2">
        <v>10</v>
      </c>
      <c r="B15" s="16">
        <v>2020</v>
      </c>
      <c r="C15" s="16">
        <v>2</v>
      </c>
      <c r="D15" s="16" t="s">
        <v>21</v>
      </c>
      <c r="E15" s="16" t="s">
        <v>22</v>
      </c>
      <c r="F15" s="16" t="s">
        <v>21</v>
      </c>
      <c r="G15" s="16" t="s">
        <v>16</v>
      </c>
      <c r="H15" s="16" t="s">
        <v>17</v>
      </c>
      <c r="I15" s="16" t="s">
        <v>18</v>
      </c>
      <c r="J15" s="16">
        <v>113</v>
      </c>
      <c r="K15" s="16">
        <v>113</v>
      </c>
      <c r="L15" s="16">
        <v>1.24175824175824</v>
      </c>
      <c r="M15" s="16">
        <v>1.24175824175824</v>
      </c>
      <c r="N15" s="16">
        <v>100</v>
      </c>
      <c r="O15" s="16">
        <f t="shared" si="0"/>
        <v>100</v>
      </c>
      <c r="P15" s="16">
        <f t="shared" si="1"/>
        <v>0</v>
      </c>
      <c r="Q15" s="16">
        <f t="shared" si="2"/>
        <v>0</v>
      </c>
    </row>
    <row r="16" spans="1:22" x14ac:dyDescent="0.35">
      <c r="A16" s="2">
        <v>11</v>
      </c>
      <c r="B16" s="16">
        <v>2020</v>
      </c>
      <c r="C16" s="16">
        <v>3</v>
      </c>
      <c r="D16" s="16" t="s">
        <v>21</v>
      </c>
      <c r="E16" s="16" t="s">
        <v>22</v>
      </c>
      <c r="F16" s="16" t="s">
        <v>21</v>
      </c>
      <c r="G16" s="16" t="s">
        <v>16</v>
      </c>
      <c r="H16" s="16" t="s">
        <v>17</v>
      </c>
      <c r="I16" s="16" t="s">
        <v>18</v>
      </c>
      <c r="J16" s="16">
        <v>122</v>
      </c>
      <c r="K16" s="16">
        <v>122</v>
      </c>
      <c r="L16" s="16">
        <v>1.3260869565217299</v>
      </c>
      <c r="M16" s="16">
        <v>1.3260869565217299</v>
      </c>
      <c r="N16" s="16">
        <v>100</v>
      </c>
      <c r="O16" s="16">
        <f t="shared" si="0"/>
        <v>100</v>
      </c>
      <c r="P16" s="16">
        <f t="shared" si="1"/>
        <v>0</v>
      </c>
      <c r="Q16" s="16">
        <f t="shared" si="2"/>
        <v>0</v>
      </c>
    </row>
    <row r="17" spans="1:17" x14ac:dyDescent="0.35">
      <c r="A17" s="2">
        <v>12</v>
      </c>
      <c r="B17" s="16">
        <v>2020</v>
      </c>
      <c r="C17" s="16">
        <v>4</v>
      </c>
      <c r="D17" s="16" t="s">
        <v>21</v>
      </c>
      <c r="E17" s="16" t="s">
        <v>22</v>
      </c>
      <c r="F17" s="16" t="s">
        <v>21</v>
      </c>
      <c r="G17" s="16" t="s">
        <v>16</v>
      </c>
      <c r="H17" s="16" t="s">
        <v>17</v>
      </c>
      <c r="I17" s="16" t="s">
        <v>18</v>
      </c>
      <c r="J17" s="16">
        <v>183</v>
      </c>
      <c r="K17" s="16">
        <v>183</v>
      </c>
      <c r="L17" s="16">
        <v>1.9891304347826</v>
      </c>
      <c r="M17" s="16">
        <v>1.9891304347826</v>
      </c>
      <c r="N17" s="16">
        <v>100</v>
      </c>
      <c r="O17" s="16">
        <f t="shared" si="0"/>
        <v>100</v>
      </c>
      <c r="P17" s="16">
        <f t="shared" si="1"/>
        <v>0</v>
      </c>
      <c r="Q17" s="16">
        <f t="shared" si="2"/>
        <v>0</v>
      </c>
    </row>
    <row r="18" spans="1:17" x14ac:dyDescent="0.35">
      <c r="A18" s="2">
        <v>13</v>
      </c>
      <c r="B18" s="16">
        <v>2021</v>
      </c>
      <c r="C18" s="16">
        <v>1</v>
      </c>
      <c r="D18" s="16" t="s">
        <v>21</v>
      </c>
      <c r="E18" s="16" t="s">
        <v>22</v>
      </c>
      <c r="F18" s="16" t="s">
        <v>21</v>
      </c>
      <c r="G18" s="16" t="s">
        <v>16</v>
      </c>
      <c r="H18" s="16" t="s">
        <v>17</v>
      </c>
      <c r="I18" s="16" t="s">
        <v>18</v>
      </c>
      <c r="J18" s="16">
        <v>210</v>
      </c>
      <c r="K18" s="16">
        <v>210</v>
      </c>
      <c r="L18" s="16">
        <v>2.3333333333333299</v>
      </c>
      <c r="M18" s="16">
        <v>2.3333333333333299</v>
      </c>
      <c r="N18" s="16">
        <v>100</v>
      </c>
      <c r="O18" s="16">
        <f t="shared" si="0"/>
        <v>100</v>
      </c>
      <c r="P18" s="16">
        <f t="shared" si="1"/>
        <v>0</v>
      </c>
      <c r="Q18" s="16">
        <f t="shared" si="2"/>
        <v>0</v>
      </c>
    </row>
    <row r="19" spans="1:17" x14ac:dyDescent="0.35">
      <c r="A19" s="2">
        <v>14</v>
      </c>
      <c r="B19" s="16">
        <v>2021</v>
      </c>
      <c r="C19" s="16">
        <v>2</v>
      </c>
      <c r="D19" s="16" t="s">
        <v>21</v>
      </c>
      <c r="E19" s="16" t="s">
        <v>22</v>
      </c>
      <c r="F19" s="16" t="s">
        <v>21</v>
      </c>
      <c r="G19" s="16" t="s">
        <v>16</v>
      </c>
      <c r="H19" s="16" t="s">
        <v>17</v>
      </c>
      <c r="I19" s="16" t="s">
        <v>18</v>
      </c>
      <c r="J19" s="16">
        <v>169</v>
      </c>
      <c r="K19" s="16">
        <v>169</v>
      </c>
      <c r="L19" s="16">
        <v>1.8571428571428501</v>
      </c>
      <c r="M19" s="16">
        <v>1.8571428571428501</v>
      </c>
      <c r="N19" s="16">
        <v>100</v>
      </c>
      <c r="O19" s="16">
        <f t="shared" si="0"/>
        <v>100</v>
      </c>
      <c r="P19" s="16">
        <f t="shared" si="1"/>
        <v>0</v>
      </c>
      <c r="Q19" s="16">
        <f t="shared" si="2"/>
        <v>0</v>
      </c>
    </row>
    <row r="20" spans="1:17" x14ac:dyDescent="0.35">
      <c r="A20" s="2">
        <v>15</v>
      </c>
      <c r="B20" s="16">
        <v>2021</v>
      </c>
      <c r="C20" s="16">
        <v>3</v>
      </c>
      <c r="D20" s="16" t="s">
        <v>21</v>
      </c>
      <c r="E20" s="16" t="s">
        <v>22</v>
      </c>
      <c r="F20" s="16" t="s">
        <v>21</v>
      </c>
      <c r="G20" s="16" t="s">
        <v>16</v>
      </c>
      <c r="H20" s="16" t="s">
        <v>17</v>
      </c>
      <c r="I20" s="16" t="s">
        <v>18</v>
      </c>
      <c r="J20" s="16">
        <v>292</v>
      </c>
      <c r="K20" s="16">
        <v>292</v>
      </c>
      <c r="L20" s="16">
        <v>3.1739130434782599</v>
      </c>
      <c r="M20" s="16">
        <v>3.1739130434782599</v>
      </c>
      <c r="N20" s="16">
        <v>100</v>
      </c>
      <c r="O20" s="16">
        <f t="shared" si="0"/>
        <v>100</v>
      </c>
      <c r="P20" s="16">
        <f t="shared" si="1"/>
        <v>0</v>
      </c>
      <c r="Q20" s="16">
        <f t="shared" si="2"/>
        <v>0</v>
      </c>
    </row>
    <row r="21" spans="1:17" x14ac:dyDescent="0.35">
      <c r="A21" s="2">
        <v>16</v>
      </c>
      <c r="B21" s="16">
        <v>2021</v>
      </c>
      <c r="C21" s="16">
        <v>4</v>
      </c>
      <c r="D21" s="16" t="s">
        <v>21</v>
      </c>
      <c r="E21" s="16" t="s">
        <v>22</v>
      </c>
      <c r="F21" s="16" t="s">
        <v>21</v>
      </c>
      <c r="G21" s="16" t="s">
        <v>16</v>
      </c>
      <c r="H21" s="16" t="s">
        <v>17</v>
      </c>
      <c r="I21" s="16" t="s">
        <v>18</v>
      </c>
      <c r="J21" s="16">
        <v>142</v>
      </c>
      <c r="K21" s="16">
        <v>142</v>
      </c>
      <c r="L21" s="16">
        <v>1.5434782608695601</v>
      </c>
      <c r="M21" s="16">
        <v>1.5434782608695601</v>
      </c>
      <c r="N21" s="16">
        <v>100</v>
      </c>
      <c r="O21" s="16">
        <f t="shared" si="0"/>
        <v>100</v>
      </c>
      <c r="P21" s="16">
        <f t="shared" si="1"/>
        <v>0</v>
      </c>
      <c r="Q21" s="16">
        <f t="shared" si="2"/>
        <v>0</v>
      </c>
    </row>
    <row r="23" spans="1:17" ht="15" thickBot="1" x14ac:dyDescent="0.4"/>
    <row r="24" spans="1:17" x14ac:dyDescent="0.35">
      <c r="N24" s="20"/>
      <c r="O24" s="20" t="s">
        <v>46</v>
      </c>
    </row>
    <row r="25" spans="1:17" x14ac:dyDescent="0.35">
      <c r="N25" s="19" t="s">
        <v>40</v>
      </c>
      <c r="O25" s="19">
        <v>100</v>
      </c>
    </row>
    <row r="26" spans="1:17" ht="15" thickBot="1" x14ac:dyDescent="0.4">
      <c r="N26" s="21" t="s">
        <v>53</v>
      </c>
      <c r="O26" s="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F91F-D784-4251-9147-D6B4DEE3321F}">
  <dimension ref="A1:I18"/>
  <sheetViews>
    <sheetView workbookViewId="0">
      <selection activeCell="A16" sqref="A16:B18"/>
    </sheetView>
  </sheetViews>
  <sheetFormatPr defaultRowHeight="14.5" x14ac:dyDescent="0.35"/>
  <sheetData>
    <row r="1" spans="1:9" x14ac:dyDescent="0.35">
      <c r="A1" t="s">
        <v>29</v>
      </c>
    </row>
    <row r="2" spans="1:9" ht="15" thickBot="1" x14ac:dyDescent="0.4"/>
    <row r="3" spans="1:9" x14ac:dyDescent="0.35">
      <c r="A3" s="7" t="s">
        <v>30</v>
      </c>
      <c r="B3" s="7"/>
    </row>
    <row r="4" spans="1:9" x14ac:dyDescent="0.35">
      <c r="A4" t="s">
        <v>31</v>
      </c>
      <c r="B4">
        <v>1</v>
      </c>
    </row>
    <row r="5" spans="1:9" x14ac:dyDescent="0.35">
      <c r="A5" t="s">
        <v>32</v>
      </c>
      <c r="B5">
        <v>1</v>
      </c>
    </row>
    <row r="6" spans="1:9" x14ac:dyDescent="0.35">
      <c r="A6" t="s">
        <v>33</v>
      </c>
      <c r="B6">
        <v>1</v>
      </c>
    </row>
    <row r="7" spans="1:9" x14ac:dyDescent="0.35">
      <c r="A7" t="s">
        <v>34</v>
      </c>
      <c r="B7">
        <v>0</v>
      </c>
    </row>
    <row r="8" spans="1:9" ht="15" thickBot="1" x14ac:dyDescent="0.4">
      <c r="A8" s="5" t="s">
        <v>35</v>
      </c>
      <c r="B8" s="5">
        <v>16</v>
      </c>
    </row>
    <row r="10" spans="1:9" ht="15" thickBot="1" x14ac:dyDescent="0.4">
      <c r="A10" t="s">
        <v>36</v>
      </c>
    </row>
    <row r="11" spans="1:9" x14ac:dyDescent="0.35">
      <c r="A11" s="6"/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9" x14ac:dyDescent="0.35">
      <c r="A12" t="s">
        <v>37</v>
      </c>
      <c r="B12">
        <v>1</v>
      </c>
      <c r="C12">
        <v>0</v>
      </c>
      <c r="D12">
        <v>0</v>
      </c>
      <c r="E12" t="e">
        <v>#NUM!</v>
      </c>
      <c r="F12" t="e">
        <v>#NUM!</v>
      </c>
    </row>
    <row r="13" spans="1:9" x14ac:dyDescent="0.35">
      <c r="A13" t="s">
        <v>38</v>
      </c>
      <c r="B13">
        <v>14</v>
      </c>
      <c r="C13">
        <v>0</v>
      </c>
      <c r="D13">
        <v>0</v>
      </c>
    </row>
    <row r="14" spans="1:9" ht="15" thickBot="1" x14ac:dyDescent="0.4">
      <c r="A14" s="5" t="s">
        <v>39</v>
      </c>
      <c r="B14" s="5">
        <v>15</v>
      </c>
      <c r="C14" s="5">
        <v>0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46</v>
      </c>
      <c r="C16" s="6" t="s">
        <v>34</v>
      </c>
      <c r="D16" s="6" t="s">
        <v>47</v>
      </c>
      <c r="E16" s="6" t="s">
        <v>48</v>
      </c>
      <c r="F16" s="6" t="s">
        <v>49</v>
      </c>
      <c r="G16" s="6" t="s">
        <v>50</v>
      </c>
      <c r="H16" s="6" t="s">
        <v>51</v>
      </c>
      <c r="I16" s="6" t="s">
        <v>52</v>
      </c>
    </row>
    <row r="17" spans="1:9" x14ac:dyDescent="0.35">
      <c r="A17" t="s">
        <v>40</v>
      </c>
      <c r="B17">
        <v>100</v>
      </c>
      <c r="C17">
        <v>0</v>
      </c>
      <c r="D17">
        <v>65535</v>
      </c>
      <c r="E17" t="e">
        <v>#NUM!</v>
      </c>
      <c r="F17">
        <v>100</v>
      </c>
      <c r="G17">
        <v>100</v>
      </c>
      <c r="H17">
        <v>100</v>
      </c>
      <c r="I17">
        <v>100</v>
      </c>
    </row>
    <row r="18" spans="1:9" ht="15" thickBot="1" x14ac:dyDescent="0.4">
      <c r="A18" s="5" t="s">
        <v>53</v>
      </c>
      <c r="B18" s="5">
        <v>0</v>
      </c>
      <c r="C18" s="5">
        <v>0</v>
      </c>
      <c r="D18" s="5">
        <v>65535</v>
      </c>
      <c r="E18" s="5" t="e">
        <v>#NUM!</v>
      </c>
      <c r="F18" s="5">
        <v>0</v>
      </c>
      <c r="G18" s="5">
        <v>0</v>
      </c>
      <c r="H18" s="5">
        <v>0</v>
      </c>
      <c r="I1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NHS</vt:lpstr>
      <vt:lpstr>Summary</vt:lpstr>
      <vt:lpstr>Grampian </vt:lpstr>
      <vt:lpstr>Lothian</vt:lpstr>
      <vt:lpstr>Tayside</vt:lpstr>
      <vt:lpstr>Lothian FE</vt:lpstr>
      <vt:lpstr>ReglinL</vt:lpstr>
      <vt:lpstr>RegseaL</vt:lpstr>
      <vt:lpstr>Grampian FE</vt:lpstr>
      <vt:lpstr>RegLinG</vt:lpstr>
      <vt:lpstr>RegSeaG</vt:lpstr>
      <vt:lpstr>Tayside FE</vt:lpstr>
      <vt:lpstr>ReglinT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Rajeev</dc:creator>
  <cp:lastModifiedBy>Sidharth Vengathattil</cp:lastModifiedBy>
  <dcterms:created xsi:type="dcterms:W3CDTF">2023-04-28T14:25:10Z</dcterms:created>
  <dcterms:modified xsi:type="dcterms:W3CDTF">2026-03-12T09:17:02Z</dcterms:modified>
</cp:coreProperties>
</file>