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U\Desktop\DMU\Sem 2\BI Application\Assignments\Group Assignment'\Final Excel\"/>
    </mc:Choice>
  </mc:AlternateContent>
  <xr:revisionPtr revIDLastSave="0" documentId="13_ncr:1_{77053E69-ACFC-4AF1-869E-E84762854BA9}" xr6:coauthVersionLast="47" xr6:coauthVersionMax="47" xr10:uidLastSave="{00000000-0000-0000-0000-000000000000}"/>
  <bookViews>
    <workbookView xWindow="-110" yWindow="-110" windowWidth="19420" windowHeight="10300" activeTab="1" xr2:uid="{802C2C10-9F45-40EF-8B7D-DD87FD8D7FC6}"/>
  </bookViews>
  <sheets>
    <sheet name="Final_CancerWaitingTime" sheetId="29" r:id="rId1"/>
    <sheet name="Summary" sheetId="11" r:id="rId2"/>
    <sheet name="S08000020_Grampian" sheetId="2" r:id="rId3"/>
    <sheet name="Regtrend_Grampian" sheetId="5" r:id="rId4"/>
    <sheet name="Regtrend_Grampian_Seasonal" sheetId="8" r:id="rId5"/>
    <sheet name="S08000024_Lothian" sheetId="3" r:id="rId6"/>
    <sheet name="Regtrend_Lothian" sheetId="6" r:id="rId7"/>
    <sheet name="Regtrend_Lothian_Seasonal" sheetId="9" r:id="rId8"/>
    <sheet name="S08000030_Tayside" sheetId="4" r:id="rId9"/>
    <sheet name="Regtrend_Tayside" sheetId="7" r:id="rId10"/>
    <sheet name="Regtrend_Tayside_Seasonal" sheetId="10" r:id="rId11"/>
  </sheets>
  <externalReferences>
    <externalReference r:id="rId12"/>
  </externalReferences>
  <definedNames>
    <definedName name="_xlnm._FilterDatabase" localSheetId="0" hidden="1">Final_CancerWaitingTime!$A$1:$H$561</definedName>
    <definedName name="_xlnm._FilterDatabase" localSheetId="2" hidden="1">S08000020_Grampian!$A$2:$H$42</definedName>
    <definedName name="_xlnm._FilterDatabase" localSheetId="5" hidden="1">S08000024_Lothian!$A$2:$H$42</definedName>
    <definedName name="_xlnm._FilterDatabase" localSheetId="8" hidden="1">S08000030_Tayside!$A$2:$H$42</definedName>
    <definedName name="HBTable">[1]hb14_hb19!$A$1:$E$19</definedName>
    <definedName name="SHBTable">'[1]special-health-boards_19022021'!$A$1:$C$10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4" l="1"/>
  <c r="J150" i="4" s="1"/>
  <c r="K150" i="4" s="1"/>
  <c r="I149" i="4"/>
  <c r="J149" i="4" s="1"/>
  <c r="K149" i="4" s="1"/>
  <c r="I152" i="3"/>
  <c r="J152" i="3" s="1"/>
  <c r="K152" i="3" s="1"/>
  <c r="I151" i="3"/>
  <c r="J151" i="3"/>
  <c r="K151" i="3" s="1"/>
  <c r="I150" i="2"/>
  <c r="I151" i="2" s="1"/>
  <c r="J151" i="2" s="1"/>
  <c r="K151" i="2" s="1"/>
  <c r="M134" i="4"/>
  <c r="M135" i="4"/>
  <c r="M136" i="4"/>
  <c r="M137" i="4"/>
  <c r="M135" i="3"/>
  <c r="M136" i="3"/>
  <c r="M137" i="3"/>
  <c r="M138" i="3"/>
  <c r="M134" i="2"/>
  <c r="M135" i="2"/>
  <c r="M136" i="2"/>
  <c r="M137" i="2"/>
  <c r="M95" i="4"/>
  <c r="N95" i="4" s="1"/>
  <c r="O95" i="4" s="1"/>
  <c r="M96" i="4"/>
  <c r="N96" i="4" s="1"/>
  <c r="O96" i="4" s="1"/>
  <c r="M97" i="4"/>
  <c r="N97" i="4" s="1"/>
  <c r="O97" i="4" s="1"/>
  <c r="M98" i="4"/>
  <c r="N98" i="4" s="1"/>
  <c r="O98" i="4" s="1"/>
  <c r="M99" i="4"/>
  <c r="N99" i="4" s="1"/>
  <c r="O99" i="4" s="1"/>
  <c r="M100" i="4"/>
  <c r="N100" i="4" s="1"/>
  <c r="O100" i="4" s="1"/>
  <c r="M101" i="4"/>
  <c r="N101" i="4" s="1"/>
  <c r="O101" i="4" s="1"/>
  <c r="M102" i="4"/>
  <c r="N102" i="4" s="1"/>
  <c r="O102" i="4" s="1"/>
  <c r="M103" i="4"/>
  <c r="N103" i="4" s="1"/>
  <c r="O103" i="4" s="1"/>
  <c r="M104" i="4"/>
  <c r="N104" i="4" s="1"/>
  <c r="O104" i="4" s="1"/>
  <c r="M105" i="4"/>
  <c r="N105" i="4" s="1"/>
  <c r="O105" i="4" s="1"/>
  <c r="M106" i="4"/>
  <c r="N106" i="4" s="1"/>
  <c r="O106" i="4" s="1"/>
  <c r="M107" i="4"/>
  <c r="N107" i="4" s="1"/>
  <c r="O107" i="4" s="1"/>
  <c r="M108" i="4"/>
  <c r="N108" i="4" s="1"/>
  <c r="O108" i="4" s="1"/>
  <c r="M109" i="4"/>
  <c r="N109" i="4" s="1"/>
  <c r="O109" i="4" s="1"/>
  <c r="M110" i="4"/>
  <c r="N110" i="4" s="1"/>
  <c r="O110" i="4" s="1"/>
  <c r="M111" i="4"/>
  <c r="M112" i="4"/>
  <c r="N112" i="4" s="1"/>
  <c r="O112" i="4" s="1"/>
  <c r="M113" i="4"/>
  <c r="N113" i="4" s="1"/>
  <c r="O113" i="4" s="1"/>
  <c r="M114" i="4"/>
  <c r="M115" i="4"/>
  <c r="M116" i="4"/>
  <c r="N116" i="4" s="1"/>
  <c r="O116" i="4" s="1"/>
  <c r="M117" i="4"/>
  <c r="N117" i="4" s="1"/>
  <c r="O117" i="4" s="1"/>
  <c r="M118" i="4"/>
  <c r="N118" i="4" s="1"/>
  <c r="O118" i="4" s="1"/>
  <c r="M119" i="4"/>
  <c r="M120" i="4"/>
  <c r="N120" i="4" s="1"/>
  <c r="O120" i="4" s="1"/>
  <c r="M121" i="4"/>
  <c r="N121" i="4" s="1"/>
  <c r="O121" i="4" s="1"/>
  <c r="M122" i="4"/>
  <c r="N122" i="4" s="1"/>
  <c r="O122" i="4" s="1"/>
  <c r="M123" i="4"/>
  <c r="N123" i="4" s="1"/>
  <c r="O123" i="4" s="1"/>
  <c r="M124" i="4"/>
  <c r="N124" i="4" s="1"/>
  <c r="O124" i="4" s="1"/>
  <c r="M125" i="4"/>
  <c r="N125" i="4" s="1"/>
  <c r="O125" i="4" s="1"/>
  <c r="M126" i="4"/>
  <c r="N126" i="4" s="1"/>
  <c r="O126" i="4" s="1"/>
  <c r="M127" i="4"/>
  <c r="N127" i="4" s="1"/>
  <c r="O127" i="4" s="1"/>
  <c r="M128" i="4"/>
  <c r="N128" i="4" s="1"/>
  <c r="O128" i="4" s="1"/>
  <c r="M129" i="4"/>
  <c r="N129" i="4" s="1"/>
  <c r="O129" i="4" s="1"/>
  <c r="M130" i="4"/>
  <c r="N130" i="4" s="1"/>
  <c r="O130" i="4" s="1"/>
  <c r="M131" i="4"/>
  <c r="N131" i="4" s="1"/>
  <c r="O131" i="4" s="1"/>
  <c r="M132" i="4"/>
  <c r="N132" i="4" s="1"/>
  <c r="O132" i="4" s="1"/>
  <c r="M133" i="4"/>
  <c r="N133" i="4" s="1"/>
  <c r="O133" i="4" s="1"/>
  <c r="M94" i="4"/>
  <c r="N94" i="4" s="1"/>
  <c r="O94" i="4" s="1"/>
  <c r="M96" i="3"/>
  <c r="N96" i="3" s="1"/>
  <c r="O96" i="3" s="1"/>
  <c r="M97" i="3"/>
  <c r="N97" i="3" s="1"/>
  <c r="O97" i="3" s="1"/>
  <c r="M98" i="3"/>
  <c r="N98" i="3" s="1"/>
  <c r="O98" i="3" s="1"/>
  <c r="M99" i="3"/>
  <c r="N99" i="3" s="1"/>
  <c r="O99" i="3" s="1"/>
  <c r="M100" i="3"/>
  <c r="N100" i="3" s="1"/>
  <c r="O100" i="3" s="1"/>
  <c r="M101" i="3"/>
  <c r="M102" i="3"/>
  <c r="M103" i="3"/>
  <c r="N103" i="3" s="1"/>
  <c r="O103" i="3" s="1"/>
  <c r="M104" i="3"/>
  <c r="N104" i="3" s="1"/>
  <c r="O104" i="3" s="1"/>
  <c r="M105" i="3"/>
  <c r="N105" i="3" s="1"/>
  <c r="O105" i="3" s="1"/>
  <c r="M106" i="3"/>
  <c r="N106" i="3" s="1"/>
  <c r="O106" i="3" s="1"/>
  <c r="M107" i="3"/>
  <c r="N107" i="3" s="1"/>
  <c r="O107" i="3" s="1"/>
  <c r="M108" i="3"/>
  <c r="N108" i="3" s="1"/>
  <c r="O108" i="3" s="1"/>
  <c r="M109" i="3"/>
  <c r="M110" i="3"/>
  <c r="N110" i="3" s="1"/>
  <c r="O110" i="3" s="1"/>
  <c r="M111" i="3"/>
  <c r="N111" i="3" s="1"/>
  <c r="O111" i="3" s="1"/>
  <c r="M112" i="3"/>
  <c r="N112" i="3" s="1"/>
  <c r="O112" i="3" s="1"/>
  <c r="M113" i="3"/>
  <c r="N113" i="3" s="1"/>
  <c r="O113" i="3" s="1"/>
  <c r="M114" i="3"/>
  <c r="N114" i="3" s="1"/>
  <c r="O114" i="3" s="1"/>
  <c r="M115" i="3"/>
  <c r="N115" i="3" s="1"/>
  <c r="O115" i="3" s="1"/>
  <c r="M116" i="3"/>
  <c r="N116" i="3" s="1"/>
  <c r="O116" i="3" s="1"/>
  <c r="M117" i="3"/>
  <c r="M118" i="3"/>
  <c r="N118" i="3" s="1"/>
  <c r="O118" i="3" s="1"/>
  <c r="M119" i="3"/>
  <c r="N119" i="3" s="1"/>
  <c r="O119" i="3" s="1"/>
  <c r="M120" i="3"/>
  <c r="N120" i="3" s="1"/>
  <c r="O120" i="3" s="1"/>
  <c r="M121" i="3"/>
  <c r="N121" i="3" s="1"/>
  <c r="O121" i="3" s="1"/>
  <c r="M122" i="3"/>
  <c r="N122" i="3" s="1"/>
  <c r="O122" i="3" s="1"/>
  <c r="M123" i="3"/>
  <c r="N123" i="3" s="1"/>
  <c r="O123" i="3" s="1"/>
  <c r="M124" i="3"/>
  <c r="N124" i="3" s="1"/>
  <c r="O124" i="3" s="1"/>
  <c r="M125" i="3"/>
  <c r="M126" i="3"/>
  <c r="N126" i="3" s="1"/>
  <c r="O126" i="3" s="1"/>
  <c r="M127" i="3"/>
  <c r="N127" i="3" s="1"/>
  <c r="O127" i="3" s="1"/>
  <c r="M128" i="3"/>
  <c r="N128" i="3" s="1"/>
  <c r="O128" i="3" s="1"/>
  <c r="M129" i="3"/>
  <c r="N129" i="3" s="1"/>
  <c r="O129" i="3" s="1"/>
  <c r="M130" i="3"/>
  <c r="N130" i="3" s="1"/>
  <c r="O130" i="3" s="1"/>
  <c r="M131" i="3"/>
  <c r="N131" i="3" s="1"/>
  <c r="O131" i="3" s="1"/>
  <c r="M132" i="3"/>
  <c r="N132" i="3" s="1"/>
  <c r="O132" i="3" s="1"/>
  <c r="M133" i="3"/>
  <c r="M134" i="3"/>
  <c r="M95" i="3"/>
  <c r="N95" i="3" s="1"/>
  <c r="O95" i="3" s="1"/>
  <c r="M98" i="2"/>
  <c r="N98" i="2" s="1"/>
  <c r="O98" i="2" s="1"/>
  <c r="M94" i="2"/>
  <c r="M95" i="2"/>
  <c r="M96" i="2"/>
  <c r="N96" i="2" s="1"/>
  <c r="O96" i="2" s="1"/>
  <c r="M97" i="2"/>
  <c r="N97" i="2" s="1"/>
  <c r="O97" i="2" s="1"/>
  <c r="M99" i="2"/>
  <c r="N99" i="2" s="1"/>
  <c r="O99" i="2" s="1"/>
  <c r="M100" i="2"/>
  <c r="N100" i="2" s="1"/>
  <c r="O100" i="2" s="1"/>
  <c r="M101" i="2"/>
  <c r="N101" i="2" s="1"/>
  <c r="O101" i="2" s="1"/>
  <c r="M102" i="2"/>
  <c r="M103" i="2"/>
  <c r="N103" i="2" s="1"/>
  <c r="O103" i="2" s="1"/>
  <c r="M104" i="2"/>
  <c r="N104" i="2" s="1"/>
  <c r="O104" i="2" s="1"/>
  <c r="M105" i="2"/>
  <c r="N105" i="2" s="1"/>
  <c r="O105" i="2" s="1"/>
  <c r="M106" i="2"/>
  <c r="N106" i="2" s="1"/>
  <c r="O106" i="2" s="1"/>
  <c r="M107" i="2"/>
  <c r="N107" i="2" s="1"/>
  <c r="O107" i="2" s="1"/>
  <c r="M108" i="2"/>
  <c r="N108" i="2" s="1"/>
  <c r="O108" i="2" s="1"/>
  <c r="M109" i="2"/>
  <c r="N109" i="2" s="1"/>
  <c r="O109" i="2" s="1"/>
  <c r="M110" i="2"/>
  <c r="N110" i="2" s="1"/>
  <c r="O110" i="2" s="1"/>
  <c r="M111" i="2"/>
  <c r="N111" i="2" s="1"/>
  <c r="O111" i="2" s="1"/>
  <c r="M112" i="2"/>
  <c r="N112" i="2" s="1"/>
  <c r="O112" i="2" s="1"/>
  <c r="M113" i="2"/>
  <c r="N113" i="2" s="1"/>
  <c r="O113" i="2" s="1"/>
  <c r="M114" i="2"/>
  <c r="N114" i="2" s="1"/>
  <c r="O114" i="2" s="1"/>
  <c r="M115" i="2"/>
  <c r="N115" i="2" s="1"/>
  <c r="O115" i="2" s="1"/>
  <c r="M116" i="2"/>
  <c r="N116" i="2" s="1"/>
  <c r="O116" i="2" s="1"/>
  <c r="M117" i="2"/>
  <c r="N117" i="2" s="1"/>
  <c r="O117" i="2" s="1"/>
  <c r="M118" i="2"/>
  <c r="N118" i="2" s="1"/>
  <c r="O118" i="2" s="1"/>
  <c r="M119" i="2"/>
  <c r="N119" i="2" s="1"/>
  <c r="O119" i="2" s="1"/>
  <c r="M120" i="2"/>
  <c r="N120" i="2" s="1"/>
  <c r="O120" i="2" s="1"/>
  <c r="M121" i="2"/>
  <c r="N121" i="2" s="1"/>
  <c r="O121" i="2" s="1"/>
  <c r="M122" i="2"/>
  <c r="N122" i="2" s="1"/>
  <c r="O122" i="2" s="1"/>
  <c r="M123" i="2"/>
  <c r="N123" i="2" s="1"/>
  <c r="O123" i="2" s="1"/>
  <c r="M124" i="2"/>
  <c r="N124" i="2" s="1"/>
  <c r="O124" i="2" s="1"/>
  <c r="M125" i="2"/>
  <c r="N125" i="2" s="1"/>
  <c r="O125" i="2" s="1"/>
  <c r="M126" i="2"/>
  <c r="N126" i="2" s="1"/>
  <c r="O126" i="2" s="1"/>
  <c r="M127" i="2"/>
  <c r="M128" i="2"/>
  <c r="N128" i="2" s="1"/>
  <c r="O128" i="2" s="1"/>
  <c r="M129" i="2"/>
  <c r="N129" i="2" s="1"/>
  <c r="O129" i="2" s="1"/>
  <c r="M130" i="2"/>
  <c r="N130" i="2" s="1"/>
  <c r="O130" i="2" s="1"/>
  <c r="M131" i="2"/>
  <c r="N131" i="2" s="1"/>
  <c r="O131" i="2" s="1"/>
  <c r="M132" i="2"/>
  <c r="N132" i="2" s="1"/>
  <c r="O132" i="2" s="1"/>
  <c r="M133" i="2"/>
  <c r="N133" i="2" s="1"/>
  <c r="O133" i="2" s="1"/>
  <c r="N94" i="2"/>
  <c r="O94" i="2" s="1"/>
  <c r="N119" i="4"/>
  <c r="O119" i="4" s="1"/>
  <c r="N115" i="4"/>
  <c r="O115" i="4" s="1"/>
  <c r="N114" i="4"/>
  <c r="O114" i="4" s="1"/>
  <c r="N111" i="4"/>
  <c r="O111" i="4" s="1"/>
  <c r="N134" i="3"/>
  <c r="O134" i="3" s="1"/>
  <c r="N133" i="3"/>
  <c r="O133" i="3" s="1"/>
  <c r="N125" i="3"/>
  <c r="O125" i="3" s="1"/>
  <c r="N117" i="3"/>
  <c r="O117" i="3" s="1"/>
  <c r="N109" i="3"/>
  <c r="O109" i="3" s="1"/>
  <c r="N102" i="3"/>
  <c r="O102" i="3" s="1"/>
  <c r="N101" i="3"/>
  <c r="O101" i="3" s="1"/>
  <c r="N127" i="2"/>
  <c r="O127" i="2" s="1"/>
  <c r="N102" i="2"/>
  <c r="O102" i="2" s="1"/>
  <c r="N95" i="2"/>
  <c r="O95" i="2" s="1"/>
  <c r="I48" i="4"/>
  <c r="J48" i="4" s="1"/>
  <c r="K48" i="4" s="1"/>
  <c r="I49" i="4"/>
  <c r="J49" i="4" s="1"/>
  <c r="K49" i="4" s="1"/>
  <c r="I50" i="4"/>
  <c r="J50" i="4" s="1"/>
  <c r="K50" i="4" s="1"/>
  <c r="I51" i="4"/>
  <c r="J51" i="4" s="1"/>
  <c r="K51" i="4" s="1"/>
  <c r="I52" i="4"/>
  <c r="J52" i="4" s="1"/>
  <c r="K52" i="4" s="1"/>
  <c r="I53" i="4"/>
  <c r="J53" i="4" s="1"/>
  <c r="K53" i="4" s="1"/>
  <c r="I54" i="4"/>
  <c r="J54" i="4" s="1"/>
  <c r="K54" i="4" s="1"/>
  <c r="I55" i="4"/>
  <c r="J55" i="4" s="1"/>
  <c r="K55" i="4" s="1"/>
  <c r="I56" i="4"/>
  <c r="J56" i="4" s="1"/>
  <c r="K56" i="4" s="1"/>
  <c r="I57" i="4"/>
  <c r="J57" i="4" s="1"/>
  <c r="K57" i="4" s="1"/>
  <c r="I58" i="4"/>
  <c r="J58" i="4" s="1"/>
  <c r="K58" i="4" s="1"/>
  <c r="I59" i="4"/>
  <c r="J59" i="4" s="1"/>
  <c r="K59" i="4" s="1"/>
  <c r="I60" i="4"/>
  <c r="J60" i="4" s="1"/>
  <c r="K60" i="4" s="1"/>
  <c r="I61" i="4"/>
  <c r="J61" i="4" s="1"/>
  <c r="K61" i="4" s="1"/>
  <c r="I62" i="4"/>
  <c r="J62" i="4" s="1"/>
  <c r="K62" i="4" s="1"/>
  <c r="I63" i="4"/>
  <c r="J63" i="4" s="1"/>
  <c r="K63" i="4" s="1"/>
  <c r="I64" i="4"/>
  <c r="J64" i="4" s="1"/>
  <c r="K64" i="4" s="1"/>
  <c r="I65" i="4"/>
  <c r="J65" i="4" s="1"/>
  <c r="K65" i="4" s="1"/>
  <c r="I66" i="4"/>
  <c r="J66" i="4" s="1"/>
  <c r="K66" i="4" s="1"/>
  <c r="I67" i="4"/>
  <c r="J67" i="4" s="1"/>
  <c r="K67" i="4" s="1"/>
  <c r="I68" i="4"/>
  <c r="J68" i="4" s="1"/>
  <c r="K68" i="4" s="1"/>
  <c r="I69" i="4"/>
  <c r="J69" i="4" s="1"/>
  <c r="K69" i="4" s="1"/>
  <c r="I70" i="4"/>
  <c r="J70" i="4" s="1"/>
  <c r="K70" i="4" s="1"/>
  <c r="I71" i="4"/>
  <c r="J71" i="4" s="1"/>
  <c r="K71" i="4" s="1"/>
  <c r="I72" i="4"/>
  <c r="J72" i="4" s="1"/>
  <c r="K72" i="4" s="1"/>
  <c r="I73" i="4"/>
  <c r="J73" i="4" s="1"/>
  <c r="K73" i="4" s="1"/>
  <c r="I74" i="4"/>
  <c r="J74" i="4" s="1"/>
  <c r="K74" i="4" s="1"/>
  <c r="I75" i="4"/>
  <c r="J75" i="4" s="1"/>
  <c r="K75" i="4" s="1"/>
  <c r="I76" i="4"/>
  <c r="J76" i="4" s="1"/>
  <c r="K76" i="4" s="1"/>
  <c r="I77" i="4"/>
  <c r="J77" i="4" s="1"/>
  <c r="K77" i="4" s="1"/>
  <c r="I78" i="4"/>
  <c r="J78" i="4" s="1"/>
  <c r="K78" i="4" s="1"/>
  <c r="I79" i="4"/>
  <c r="J79" i="4" s="1"/>
  <c r="K79" i="4" s="1"/>
  <c r="I80" i="4"/>
  <c r="J80" i="4" s="1"/>
  <c r="K80" i="4" s="1"/>
  <c r="I81" i="4"/>
  <c r="J81" i="4" s="1"/>
  <c r="K81" i="4" s="1"/>
  <c r="I82" i="4"/>
  <c r="J82" i="4" s="1"/>
  <c r="K82" i="4" s="1"/>
  <c r="I83" i="4"/>
  <c r="J83" i="4" s="1"/>
  <c r="K83" i="4" s="1"/>
  <c r="I84" i="4"/>
  <c r="J84" i="4" s="1"/>
  <c r="K84" i="4" s="1"/>
  <c r="I85" i="4"/>
  <c r="J85" i="4" s="1"/>
  <c r="K85" i="4" s="1"/>
  <c r="I86" i="4"/>
  <c r="J86" i="4" s="1"/>
  <c r="K86" i="4" s="1"/>
  <c r="I47" i="4"/>
  <c r="J47" i="4" s="1"/>
  <c r="K47" i="4" s="1"/>
  <c r="I48" i="3"/>
  <c r="J48" i="3" s="1"/>
  <c r="K48" i="3" s="1"/>
  <c r="I49" i="3"/>
  <c r="J49" i="3" s="1"/>
  <c r="K49" i="3" s="1"/>
  <c r="I50" i="3"/>
  <c r="J50" i="3" s="1"/>
  <c r="K50" i="3" s="1"/>
  <c r="I51" i="3"/>
  <c r="J51" i="3" s="1"/>
  <c r="K51" i="3" s="1"/>
  <c r="I52" i="3"/>
  <c r="J52" i="3" s="1"/>
  <c r="K52" i="3" s="1"/>
  <c r="I53" i="3"/>
  <c r="J53" i="3" s="1"/>
  <c r="K53" i="3" s="1"/>
  <c r="I54" i="3"/>
  <c r="J54" i="3" s="1"/>
  <c r="K54" i="3" s="1"/>
  <c r="I55" i="3"/>
  <c r="J55" i="3" s="1"/>
  <c r="K55" i="3" s="1"/>
  <c r="I56" i="3"/>
  <c r="J56" i="3" s="1"/>
  <c r="K56" i="3" s="1"/>
  <c r="I57" i="3"/>
  <c r="J57" i="3" s="1"/>
  <c r="K57" i="3" s="1"/>
  <c r="I58" i="3"/>
  <c r="J58" i="3" s="1"/>
  <c r="K58" i="3" s="1"/>
  <c r="I59" i="3"/>
  <c r="J59" i="3" s="1"/>
  <c r="K59" i="3" s="1"/>
  <c r="I60" i="3"/>
  <c r="J60" i="3" s="1"/>
  <c r="K60" i="3" s="1"/>
  <c r="I61" i="3"/>
  <c r="J61" i="3" s="1"/>
  <c r="K61" i="3" s="1"/>
  <c r="I62" i="3"/>
  <c r="J62" i="3" s="1"/>
  <c r="K62" i="3" s="1"/>
  <c r="I63" i="3"/>
  <c r="J63" i="3" s="1"/>
  <c r="K63" i="3" s="1"/>
  <c r="I64" i="3"/>
  <c r="J64" i="3" s="1"/>
  <c r="K64" i="3" s="1"/>
  <c r="I65" i="3"/>
  <c r="J65" i="3" s="1"/>
  <c r="K65" i="3" s="1"/>
  <c r="I66" i="3"/>
  <c r="J66" i="3" s="1"/>
  <c r="K66" i="3" s="1"/>
  <c r="I67" i="3"/>
  <c r="J67" i="3" s="1"/>
  <c r="K67" i="3" s="1"/>
  <c r="I68" i="3"/>
  <c r="J68" i="3" s="1"/>
  <c r="K68" i="3" s="1"/>
  <c r="I69" i="3"/>
  <c r="J69" i="3" s="1"/>
  <c r="K69" i="3" s="1"/>
  <c r="I70" i="3"/>
  <c r="J70" i="3" s="1"/>
  <c r="K70" i="3" s="1"/>
  <c r="I71" i="3"/>
  <c r="J71" i="3" s="1"/>
  <c r="K71" i="3" s="1"/>
  <c r="I72" i="3"/>
  <c r="J72" i="3" s="1"/>
  <c r="K72" i="3" s="1"/>
  <c r="I73" i="3"/>
  <c r="J73" i="3" s="1"/>
  <c r="K73" i="3" s="1"/>
  <c r="I74" i="3"/>
  <c r="J74" i="3" s="1"/>
  <c r="K74" i="3" s="1"/>
  <c r="I75" i="3"/>
  <c r="J75" i="3" s="1"/>
  <c r="K75" i="3" s="1"/>
  <c r="I76" i="3"/>
  <c r="J76" i="3" s="1"/>
  <c r="K76" i="3" s="1"/>
  <c r="I77" i="3"/>
  <c r="J77" i="3" s="1"/>
  <c r="K77" i="3" s="1"/>
  <c r="I78" i="3"/>
  <c r="J78" i="3" s="1"/>
  <c r="K78" i="3" s="1"/>
  <c r="I79" i="3"/>
  <c r="J79" i="3" s="1"/>
  <c r="K79" i="3" s="1"/>
  <c r="I80" i="3"/>
  <c r="J80" i="3" s="1"/>
  <c r="K80" i="3" s="1"/>
  <c r="I81" i="3"/>
  <c r="J81" i="3" s="1"/>
  <c r="K81" i="3" s="1"/>
  <c r="I82" i="3"/>
  <c r="J82" i="3" s="1"/>
  <c r="K82" i="3" s="1"/>
  <c r="I83" i="3"/>
  <c r="J83" i="3" s="1"/>
  <c r="K83" i="3" s="1"/>
  <c r="I84" i="3"/>
  <c r="J84" i="3" s="1"/>
  <c r="K84" i="3" s="1"/>
  <c r="I85" i="3"/>
  <c r="J85" i="3" s="1"/>
  <c r="K85" i="3" s="1"/>
  <c r="I86" i="3"/>
  <c r="J86" i="3" s="1"/>
  <c r="K86" i="3" s="1"/>
  <c r="I47" i="3"/>
  <c r="J47" i="3" s="1"/>
  <c r="K47" i="3" s="1"/>
  <c r="I48" i="2"/>
  <c r="J48" i="2" s="1"/>
  <c r="K48" i="2" s="1"/>
  <c r="I49" i="2"/>
  <c r="J49" i="2" s="1"/>
  <c r="K49" i="2" s="1"/>
  <c r="I50" i="2"/>
  <c r="J50" i="2" s="1"/>
  <c r="K50" i="2" s="1"/>
  <c r="I51" i="2"/>
  <c r="J51" i="2" s="1"/>
  <c r="K51" i="2" s="1"/>
  <c r="I52" i="2"/>
  <c r="J52" i="2" s="1"/>
  <c r="K52" i="2" s="1"/>
  <c r="I53" i="2"/>
  <c r="J53" i="2" s="1"/>
  <c r="K53" i="2" s="1"/>
  <c r="I54" i="2"/>
  <c r="J54" i="2" s="1"/>
  <c r="K54" i="2" s="1"/>
  <c r="I55" i="2"/>
  <c r="J55" i="2" s="1"/>
  <c r="K55" i="2" s="1"/>
  <c r="I56" i="2"/>
  <c r="J56" i="2" s="1"/>
  <c r="K56" i="2" s="1"/>
  <c r="I57" i="2"/>
  <c r="J57" i="2" s="1"/>
  <c r="K57" i="2" s="1"/>
  <c r="I58" i="2"/>
  <c r="J58" i="2" s="1"/>
  <c r="K58" i="2" s="1"/>
  <c r="I59" i="2"/>
  <c r="J59" i="2" s="1"/>
  <c r="K59" i="2" s="1"/>
  <c r="I60" i="2"/>
  <c r="J60" i="2" s="1"/>
  <c r="K60" i="2" s="1"/>
  <c r="I61" i="2"/>
  <c r="J61" i="2" s="1"/>
  <c r="K61" i="2" s="1"/>
  <c r="I62" i="2"/>
  <c r="J62" i="2" s="1"/>
  <c r="K62" i="2" s="1"/>
  <c r="I63" i="2"/>
  <c r="J63" i="2" s="1"/>
  <c r="K63" i="2" s="1"/>
  <c r="I64" i="2"/>
  <c r="J64" i="2" s="1"/>
  <c r="K64" i="2" s="1"/>
  <c r="I65" i="2"/>
  <c r="J65" i="2" s="1"/>
  <c r="K65" i="2" s="1"/>
  <c r="I66" i="2"/>
  <c r="J66" i="2" s="1"/>
  <c r="K66" i="2" s="1"/>
  <c r="I67" i="2"/>
  <c r="J67" i="2" s="1"/>
  <c r="K67" i="2" s="1"/>
  <c r="I68" i="2"/>
  <c r="J68" i="2" s="1"/>
  <c r="K68" i="2" s="1"/>
  <c r="I69" i="2"/>
  <c r="J69" i="2" s="1"/>
  <c r="K69" i="2" s="1"/>
  <c r="I70" i="2"/>
  <c r="J70" i="2" s="1"/>
  <c r="K70" i="2" s="1"/>
  <c r="I71" i="2"/>
  <c r="J71" i="2" s="1"/>
  <c r="K71" i="2" s="1"/>
  <c r="I72" i="2"/>
  <c r="J72" i="2" s="1"/>
  <c r="K72" i="2" s="1"/>
  <c r="I73" i="2"/>
  <c r="J73" i="2" s="1"/>
  <c r="K73" i="2" s="1"/>
  <c r="I74" i="2"/>
  <c r="J74" i="2" s="1"/>
  <c r="K74" i="2" s="1"/>
  <c r="I75" i="2"/>
  <c r="J75" i="2" s="1"/>
  <c r="K75" i="2" s="1"/>
  <c r="I76" i="2"/>
  <c r="J76" i="2" s="1"/>
  <c r="K76" i="2" s="1"/>
  <c r="I77" i="2"/>
  <c r="J77" i="2" s="1"/>
  <c r="K77" i="2" s="1"/>
  <c r="I78" i="2"/>
  <c r="J78" i="2" s="1"/>
  <c r="K78" i="2" s="1"/>
  <c r="I79" i="2"/>
  <c r="J79" i="2" s="1"/>
  <c r="K79" i="2" s="1"/>
  <c r="I80" i="2"/>
  <c r="J80" i="2" s="1"/>
  <c r="K80" i="2" s="1"/>
  <c r="I81" i="2"/>
  <c r="J81" i="2" s="1"/>
  <c r="K81" i="2" s="1"/>
  <c r="I82" i="2"/>
  <c r="J82" i="2" s="1"/>
  <c r="K82" i="2" s="1"/>
  <c r="I83" i="2"/>
  <c r="J83" i="2" s="1"/>
  <c r="K83" i="2" s="1"/>
  <c r="I84" i="2"/>
  <c r="J84" i="2" s="1"/>
  <c r="K84" i="2" s="1"/>
  <c r="I85" i="2"/>
  <c r="J85" i="2" s="1"/>
  <c r="K85" i="2" s="1"/>
  <c r="I86" i="2"/>
  <c r="J86" i="2" s="1"/>
  <c r="K86" i="2" s="1"/>
  <c r="I47" i="2"/>
  <c r="J47" i="2" s="1"/>
  <c r="K47" i="2" s="1"/>
  <c r="J150" i="2" l="1"/>
  <c r="K150" i="2" s="1"/>
  <c r="I151" i="4"/>
  <c r="I153" i="3"/>
  <c r="I152" i="2"/>
  <c r="I153" i="2" s="1"/>
  <c r="I154" i="2" s="1"/>
  <c r="N46" i="4"/>
  <c r="R93" i="4"/>
  <c r="N46" i="3"/>
  <c r="R94" i="3"/>
  <c r="N46" i="2"/>
  <c r="R93" i="2"/>
  <c r="I152" i="4" l="1"/>
  <c r="J151" i="4"/>
  <c r="K151" i="4" s="1"/>
  <c r="I154" i="3"/>
  <c r="J153" i="3"/>
  <c r="K153" i="3" s="1"/>
  <c r="J152" i="2"/>
  <c r="K152" i="2" s="1"/>
  <c r="J153" i="2"/>
  <c r="K153" i="2" s="1"/>
  <c r="I155" i="2"/>
  <c r="J154" i="2"/>
  <c r="K154" i="2" s="1"/>
  <c r="I153" i="4" l="1"/>
  <c r="J152" i="4"/>
  <c r="K152" i="4" s="1"/>
  <c r="I155" i="3"/>
  <c r="J154" i="3"/>
  <c r="K154" i="3" s="1"/>
  <c r="J155" i="2"/>
  <c r="K155" i="2" s="1"/>
  <c r="I156" i="2"/>
  <c r="I154" i="4" l="1"/>
  <c r="J153" i="4"/>
  <c r="K153" i="4" s="1"/>
  <c r="J155" i="3"/>
  <c r="K155" i="3" s="1"/>
  <c r="I156" i="3"/>
  <c r="J156" i="2"/>
  <c r="K156" i="2" s="1"/>
  <c r="I157" i="2"/>
  <c r="J154" i="4" l="1"/>
  <c r="K154" i="4" s="1"/>
  <c r="I155" i="4"/>
  <c r="J156" i="3"/>
  <c r="K156" i="3" s="1"/>
  <c r="I157" i="3"/>
  <c r="J157" i="2"/>
  <c r="K157" i="2" s="1"/>
  <c r="I158" i="2"/>
  <c r="J155" i="4" l="1"/>
  <c r="K155" i="4" s="1"/>
  <c r="I156" i="4"/>
  <c r="J157" i="3"/>
  <c r="K157" i="3" s="1"/>
  <c r="I158" i="3"/>
  <c r="J158" i="2"/>
  <c r="K158" i="2" s="1"/>
  <c r="I159" i="2"/>
  <c r="I157" i="4" l="1"/>
  <c r="J156" i="4"/>
  <c r="K156" i="4" s="1"/>
  <c r="J158" i="3"/>
  <c r="K158" i="3" s="1"/>
  <c r="I159" i="3"/>
  <c r="I160" i="2"/>
  <c r="J159" i="2"/>
  <c r="K159" i="2" s="1"/>
  <c r="J157" i="4" l="1"/>
  <c r="K157" i="4" s="1"/>
  <c r="I158" i="4"/>
  <c r="I160" i="3"/>
  <c r="J159" i="3"/>
  <c r="K159" i="3" s="1"/>
  <c r="I161" i="2"/>
  <c r="J160" i="2"/>
  <c r="K160" i="2" s="1"/>
  <c r="I159" i="4" l="1"/>
  <c r="J158" i="4"/>
  <c r="K158" i="4" s="1"/>
  <c r="I161" i="3"/>
  <c r="J160" i="3"/>
  <c r="K160" i="3" s="1"/>
  <c r="I162" i="2"/>
  <c r="J161" i="2"/>
  <c r="K161" i="2" s="1"/>
  <c r="I160" i="4" l="1"/>
  <c r="J159" i="4"/>
  <c r="K159" i="4" s="1"/>
  <c r="I162" i="3"/>
  <c r="J161" i="3"/>
  <c r="K161" i="3" s="1"/>
  <c r="I163" i="2"/>
  <c r="J162" i="2"/>
  <c r="K162" i="2" s="1"/>
  <c r="J160" i="4" l="1"/>
  <c r="K160" i="4" s="1"/>
  <c r="I161" i="4"/>
  <c r="I163" i="3"/>
  <c r="J162" i="3"/>
  <c r="K162" i="3" s="1"/>
  <c r="J163" i="2"/>
  <c r="K163" i="2" s="1"/>
  <c r="I164" i="2"/>
  <c r="I162" i="4" l="1"/>
  <c r="J161" i="4"/>
  <c r="K161" i="4" s="1"/>
  <c r="I164" i="3"/>
  <c r="J163" i="3"/>
  <c r="K163" i="3" s="1"/>
  <c r="J164" i="2"/>
  <c r="K164" i="2" s="1"/>
  <c r="I165" i="2"/>
  <c r="J162" i="4" l="1"/>
  <c r="K162" i="4" s="1"/>
  <c r="I163" i="4"/>
  <c r="J164" i="3"/>
  <c r="K164" i="3" s="1"/>
  <c r="I165" i="3"/>
  <c r="J165" i="2"/>
  <c r="K165" i="2" s="1"/>
  <c r="I166" i="2"/>
  <c r="J163" i="4" l="1"/>
  <c r="K163" i="4" s="1"/>
  <c r="I164" i="4"/>
  <c r="J165" i="3"/>
  <c r="K165" i="3" s="1"/>
  <c r="I166" i="3"/>
  <c r="J166" i="2"/>
  <c r="K166" i="2" s="1"/>
  <c r="I167" i="2"/>
  <c r="I165" i="4" l="1"/>
  <c r="J164" i="4"/>
  <c r="K164" i="4" s="1"/>
  <c r="I167" i="3"/>
  <c r="J166" i="3"/>
  <c r="K166" i="3" s="1"/>
  <c r="I168" i="2"/>
  <c r="J167" i="2"/>
  <c r="K167" i="2" s="1"/>
  <c r="J165" i="4" l="1"/>
  <c r="K165" i="4" s="1"/>
  <c r="I166" i="4"/>
  <c r="J167" i="3"/>
  <c r="K167" i="3" s="1"/>
  <c r="I168" i="3"/>
  <c r="I169" i="2"/>
  <c r="J168" i="2"/>
  <c r="K168" i="2" s="1"/>
  <c r="J166" i="4" l="1"/>
  <c r="K166" i="4" s="1"/>
  <c r="I167" i="4"/>
  <c r="I169" i="3"/>
  <c r="J168" i="3"/>
  <c r="K168" i="3" s="1"/>
  <c r="I170" i="2"/>
  <c r="J169" i="2"/>
  <c r="K169" i="2" s="1"/>
  <c r="J167" i="4" l="1"/>
  <c r="K167" i="4" s="1"/>
  <c r="I168" i="4"/>
  <c r="I170" i="3"/>
  <c r="J169" i="3"/>
  <c r="K169" i="3" s="1"/>
  <c r="I171" i="2"/>
  <c r="J170" i="2"/>
  <c r="K170" i="2" s="1"/>
  <c r="J168" i="4" l="1"/>
  <c r="K168" i="4" s="1"/>
  <c r="I169" i="4"/>
  <c r="I171" i="3"/>
  <c r="J170" i="3"/>
  <c r="K170" i="3" s="1"/>
  <c r="J171" i="2"/>
  <c r="K171" i="2" s="1"/>
  <c r="I172" i="2"/>
  <c r="J169" i="4" l="1"/>
  <c r="K169" i="4" s="1"/>
  <c r="I170" i="4"/>
  <c r="J171" i="3"/>
  <c r="K171" i="3" s="1"/>
  <c r="I172" i="3"/>
  <c r="J172" i="2"/>
  <c r="K172" i="2" s="1"/>
  <c r="I173" i="2"/>
  <c r="J170" i="4" l="1"/>
  <c r="K170" i="4" s="1"/>
  <c r="I171" i="4"/>
  <c r="J172" i="3"/>
  <c r="K172" i="3" s="1"/>
  <c r="I173" i="3"/>
  <c r="J173" i="2"/>
  <c r="K173" i="2" s="1"/>
  <c r="I174" i="2"/>
  <c r="I172" i="4" l="1"/>
  <c r="J171" i="4"/>
  <c r="K171" i="4" s="1"/>
  <c r="I174" i="3"/>
  <c r="J173" i="3"/>
  <c r="K173" i="3" s="1"/>
  <c r="I175" i="2"/>
  <c r="J174" i="2"/>
  <c r="K174" i="2" s="1"/>
  <c r="J172" i="4" l="1"/>
  <c r="K172" i="4" s="1"/>
  <c r="I173" i="4"/>
  <c r="J174" i="3"/>
  <c r="K174" i="3" s="1"/>
  <c r="I175" i="3"/>
  <c r="I176" i="2"/>
  <c r="J175" i="2"/>
  <c r="K175" i="2" s="1"/>
  <c r="J173" i="4" l="1"/>
  <c r="K173" i="4" s="1"/>
  <c r="I174" i="4"/>
  <c r="J175" i="3"/>
  <c r="K175" i="3" s="1"/>
  <c r="I176" i="3"/>
  <c r="I177" i="2"/>
  <c r="J176" i="2"/>
  <c r="K176" i="2" s="1"/>
  <c r="J174" i="4" l="1"/>
  <c r="K174" i="4" s="1"/>
  <c r="I175" i="4"/>
  <c r="J176" i="3"/>
  <c r="K176" i="3" s="1"/>
  <c r="I177" i="3"/>
  <c r="I178" i="2"/>
  <c r="J177" i="2"/>
  <c r="K177" i="2" s="1"/>
  <c r="J175" i="4" l="1"/>
  <c r="K175" i="4" s="1"/>
  <c r="I176" i="4"/>
  <c r="I178" i="3"/>
  <c r="J177" i="3"/>
  <c r="K177" i="3" s="1"/>
  <c r="I179" i="2"/>
  <c r="J178" i="2"/>
  <c r="K178" i="2" s="1"/>
  <c r="J176" i="4" l="1"/>
  <c r="K176" i="4" s="1"/>
  <c r="I177" i="4"/>
  <c r="I179" i="3"/>
  <c r="J178" i="3"/>
  <c r="K178" i="3" s="1"/>
  <c r="J179" i="2"/>
  <c r="K179" i="2" s="1"/>
  <c r="I180" i="2"/>
  <c r="J177" i="4" l="1"/>
  <c r="K177" i="4" s="1"/>
  <c r="I178" i="4"/>
  <c r="J179" i="3"/>
  <c r="K179" i="3" s="1"/>
  <c r="I180" i="3"/>
  <c r="J180" i="2"/>
  <c r="K180" i="2" s="1"/>
  <c r="I181" i="2"/>
  <c r="I179" i="4" l="1"/>
  <c r="J178" i="4"/>
  <c r="K178" i="4" s="1"/>
  <c r="I181" i="3"/>
  <c r="J180" i="3"/>
  <c r="K180" i="3" s="1"/>
  <c r="J181" i="2"/>
  <c r="K181" i="2" s="1"/>
  <c r="I182" i="2"/>
  <c r="J179" i="4" l="1"/>
  <c r="K179" i="4" s="1"/>
  <c r="I180" i="4"/>
  <c r="I182" i="3"/>
  <c r="J181" i="3"/>
  <c r="K181" i="3" s="1"/>
  <c r="I183" i="2"/>
  <c r="J182" i="2"/>
  <c r="K182" i="2" s="1"/>
  <c r="I181" i="4" l="1"/>
  <c r="J180" i="4"/>
  <c r="K180" i="4" s="1"/>
  <c r="I183" i="3"/>
  <c r="J182" i="3"/>
  <c r="K182" i="3" s="1"/>
  <c r="I184" i="2"/>
  <c r="J183" i="2"/>
  <c r="K183" i="2" s="1"/>
  <c r="I182" i="4" l="1"/>
  <c r="J181" i="4"/>
  <c r="K181" i="4" s="1"/>
  <c r="I184" i="3"/>
  <c r="J183" i="3"/>
  <c r="K183" i="3" s="1"/>
  <c r="I185" i="2"/>
  <c r="J184" i="2"/>
  <c r="K184" i="2" s="1"/>
  <c r="J182" i="4" l="1"/>
  <c r="K182" i="4" s="1"/>
  <c r="I183" i="4"/>
  <c r="J184" i="3"/>
  <c r="K184" i="3" s="1"/>
  <c r="I185" i="3"/>
  <c r="I186" i="2"/>
  <c r="J185" i="2"/>
  <c r="K185" i="2" s="1"/>
  <c r="J183" i="4" l="1"/>
  <c r="K183" i="4" s="1"/>
  <c r="I184" i="4"/>
  <c r="I186" i="3"/>
  <c r="J185" i="3"/>
  <c r="K185" i="3" s="1"/>
  <c r="J186" i="2"/>
  <c r="K186" i="2" s="1"/>
  <c r="I187" i="2"/>
  <c r="J184" i="4" l="1"/>
  <c r="K184" i="4" s="1"/>
  <c r="I185" i="4"/>
  <c r="I187" i="3"/>
  <c r="J186" i="3"/>
  <c r="K186" i="3" s="1"/>
  <c r="J187" i="2"/>
  <c r="K187" i="2" s="1"/>
  <c r="I188" i="2"/>
  <c r="J188" i="2" l="1"/>
  <c r="K188" i="2" s="1"/>
  <c r="N148" i="2" s="1"/>
  <c r="I189" i="2"/>
  <c r="J185" i="4"/>
  <c r="K185" i="4" s="1"/>
  <c r="I186" i="4"/>
  <c r="J187" i="3"/>
  <c r="K187" i="3" s="1"/>
  <c r="I188" i="3"/>
  <c r="I187" i="4" l="1"/>
  <c r="J186" i="4"/>
  <c r="K186" i="4" s="1"/>
  <c r="J188" i="3"/>
  <c r="K188" i="3" s="1"/>
  <c r="I189" i="3"/>
  <c r="J187" i="4" l="1"/>
  <c r="K187" i="4" s="1"/>
  <c r="N147" i="4" s="1"/>
  <c r="I188" i="4"/>
  <c r="J189" i="3"/>
  <c r="K189" i="3" s="1"/>
  <c r="N149" i="3" s="1"/>
  <c r="I190" i="3"/>
</calcChain>
</file>

<file path=xl/sharedStrings.xml><?xml version="1.0" encoding="utf-8"?>
<sst xmlns="http://schemas.openxmlformats.org/spreadsheetml/2006/main" count="4563" uniqueCount="90">
  <si>
    <t>Period</t>
  </si>
  <si>
    <t>Year</t>
  </si>
  <si>
    <t>Quarter</t>
  </si>
  <si>
    <t>HB</t>
  </si>
  <si>
    <t>HBQF</t>
  </si>
  <si>
    <t>HBT</t>
  </si>
  <si>
    <t>HBT Name</t>
  </si>
  <si>
    <t>Percentage of Referrals Treated</t>
  </si>
  <si>
    <t>S92000003</t>
  </si>
  <si>
    <t>d</t>
  </si>
  <si>
    <t>S08000015</t>
  </si>
  <si>
    <t>S08000016</t>
  </si>
  <si>
    <t>S08000017</t>
  </si>
  <si>
    <t>S08000019</t>
  </si>
  <si>
    <t>S08000020</t>
  </si>
  <si>
    <t>S08000022</t>
  </si>
  <si>
    <t>S08000024</t>
  </si>
  <si>
    <t>S08000026</t>
  </si>
  <si>
    <t>S08000028</t>
  </si>
  <si>
    <t>S08000029</t>
  </si>
  <si>
    <t>S08000030</t>
  </si>
  <si>
    <t>S08000031</t>
  </si>
  <si>
    <t>S08000032</t>
  </si>
  <si>
    <t>SB0801</t>
  </si>
  <si>
    <t>NHS Ayrshire and Arran</t>
  </si>
  <si>
    <t>NHS Borders</t>
  </si>
  <si>
    <t>NHS Dumfries and Galloway</t>
  </si>
  <si>
    <t>NHS Forth Valley</t>
  </si>
  <si>
    <t>NHS Grampian</t>
  </si>
  <si>
    <t>NHS Highland</t>
  </si>
  <si>
    <t>NHS Lothian</t>
  </si>
  <si>
    <t>NHS Shetland</t>
  </si>
  <si>
    <t>NHS Western Isles</t>
  </si>
  <si>
    <t>NHS Fife</t>
  </si>
  <si>
    <t>NHS Tayside</t>
  </si>
  <si>
    <t>NHS Greater Glasgow and Clyde</t>
  </si>
  <si>
    <t>NHS Lanarkshire</t>
  </si>
  <si>
    <t>The Golden Jubilee National Hospital</t>
  </si>
  <si>
    <t>1. Linear Trend</t>
  </si>
  <si>
    <t>1) Linear Trend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</si>
  <si>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</si>
  <si>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</si>
  <si>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</si>
  <si>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</si>
  <si>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</si>
  <si>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</si>
  <si>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</si>
  <si>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</si>
  <si>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</si>
  <si>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</si>
  <si>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</si>
  <si>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</si>
  <si>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</si>
  <si>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</si>
  <si>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</si>
  <si>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</si>
  <si>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</si>
  <si>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</si>
  <si>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</si>
  <si>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</si>
  <si>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</si>
  <si>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</si>
  <si>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</si>
  <si>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</si>
  <si>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Forecast</t>
  </si>
  <si>
    <t>1)Linear Trend</t>
  </si>
  <si>
    <t>Forecast Error</t>
  </si>
  <si>
    <t>Sq Forecast Error</t>
  </si>
  <si>
    <t>MSE</t>
  </si>
  <si>
    <t>2. Linear Trend with Seasonality</t>
  </si>
  <si>
    <t>Qtr1</t>
  </si>
  <si>
    <t>Qtr2</t>
  </si>
  <si>
    <t>Qtr3</t>
  </si>
  <si>
    <t>3. Exponential Smoothing</t>
  </si>
  <si>
    <t>Smoothing constant</t>
  </si>
  <si>
    <t>Constant</t>
  </si>
  <si>
    <t>&lt;&lt;BEST&gt;&gt;</t>
  </si>
  <si>
    <t>Smoothing Constant</t>
  </si>
  <si>
    <t>Linear Trend</t>
  </si>
  <si>
    <t>Linear Trend with Seasonality</t>
  </si>
  <si>
    <t>Exponential Smoothing</t>
  </si>
  <si>
    <t>Forecast Method</t>
  </si>
  <si>
    <t xml:space="preserve">Analysis of Cancer Waiting Time in the Grampian Health Board: INCUDING the year 2020 </t>
  </si>
  <si>
    <t xml:space="preserve">Analysis of Cancer Waiting Time in the Lothian Health Board: INCUDING the year 2020 </t>
  </si>
  <si>
    <t xml:space="preserve">Analysis of Cancer Waiting Time in the Tayside Health Board: INCUDING the year 2020 </t>
  </si>
  <si>
    <t>Chosen Forecast Method</t>
  </si>
  <si>
    <t>Health Board</t>
  </si>
  <si>
    <t>Dataset</t>
  </si>
  <si>
    <t>With 2020</t>
  </si>
  <si>
    <t>Cancer Referrals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</si>
</sst>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0" fillId="4" borderId="0" xfId="0" applyNumberFormat="1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  <color rgb="FFCC66FF"/>
      <color rgb="FFCCECFF"/>
      <color rgb="FFC30DBF"/>
      <color rgb="FF942AA6"/>
      <color rgb="FF8F2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Referrals T</a:t>
            </a:r>
            <a:r>
              <a:rPr lang="en-GB" sz="1400" b="0" i="0" u="none" strike="noStrike" baseline="0">
                <a:effectLst/>
              </a:rPr>
              <a:t>reated per Health Board overtime Quarterly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NHS Grampian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[1]Final!$A$162:$A$201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[1]Final!$M$162:$M$201</c:f>
              <c:numCache>
                <c:formatCode>General</c:formatCode>
                <c:ptCount val="40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83.78378378378379</c:v>
                </c:pt>
                <c:pt idx="33">
                  <c:v>80.792682926829272</c:v>
                </c:pt>
                <c:pt idx="34">
                  <c:v>81.350482315112544</c:v>
                </c:pt>
                <c:pt idx="35">
                  <c:v>86.206896551724128</c:v>
                </c:pt>
                <c:pt idx="36">
                  <c:v>75.454545454545453</c:v>
                </c:pt>
                <c:pt idx="37">
                  <c:v>80.361757105943155</c:v>
                </c:pt>
                <c:pt idx="38">
                  <c:v>75.335120643431637</c:v>
                </c:pt>
                <c:pt idx="39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1C-43D7-9CA8-E8F1145D3B99}"/>
            </c:ext>
          </c:extLst>
        </c:ser>
        <c:ser>
          <c:idx val="6"/>
          <c:order val="6"/>
          <c:tx>
            <c:v>NHS Lothian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[1]Final!$A$242:$A$281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[1]Final!$M$242:$M$281</c:f>
              <c:numCache>
                <c:formatCode>General</c:formatCode>
                <c:ptCount val="40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81.748466257668724</c:v>
                </c:pt>
                <c:pt idx="33">
                  <c:v>82.417582417582409</c:v>
                </c:pt>
                <c:pt idx="34">
                  <c:v>83.712121212121218</c:v>
                </c:pt>
                <c:pt idx="35">
                  <c:v>86.486486486486484</c:v>
                </c:pt>
                <c:pt idx="36">
                  <c:v>82.736156351791536</c:v>
                </c:pt>
                <c:pt idx="37">
                  <c:v>85.348506401137982</c:v>
                </c:pt>
                <c:pt idx="38">
                  <c:v>85.126162018592296</c:v>
                </c:pt>
                <c:pt idx="39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1C-43D7-9CA8-E8F1145D3B99}"/>
            </c:ext>
          </c:extLst>
        </c:ser>
        <c:ser>
          <c:idx val="10"/>
          <c:order val="10"/>
          <c:tx>
            <c:v>NHS Tayside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[1]Final!$A$402:$A$441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[1]Final!$M$402:$M$441</c:f>
              <c:numCache>
                <c:formatCode>General</c:formatCode>
                <c:ptCount val="40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91.904761904761898</c:v>
                </c:pt>
                <c:pt idx="33">
                  <c:v>89.142857142857139</c:v>
                </c:pt>
                <c:pt idx="34">
                  <c:v>97.252747252747255</c:v>
                </c:pt>
                <c:pt idx="35">
                  <c:v>97.560975609756099</c:v>
                </c:pt>
                <c:pt idx="36">
                  <c:v>93.782383419689126</c:v>
                </c:pt>
                <c:pt idx="37">
                  <c:v>90.909090909090907</c:v>
                </c:pt>
                <c:pt idx="38">
                  <c:v>92.857142857142861</c:v>
                </c:pt>
                <c:pt idx="39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21C-43D7-9CA8-E8F1145D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138960"/>
        <c:axId val="7431394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NHS Ayrshire and Arran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[1]Final!$A$2:$A$41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[1]Final!$M$2:$M$41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97.041420118343197</c:v>
                      </c:pt>
                      <c:pt idx="1">
                        <c:v>97.044334975369466</c:v>
                      </c:pt>
                      <c:pt idx="2">
                        <c:v>97.014925373134332</c:v>
                      </c:pt>
                      <c:pt idx="3">
                        <c:v>96.36363636363636</c:v>
                      </c:pt>
                      <c:pt idx="4">
                        <c:v>98.275862068965509</c:v>
                      </c:pt>
                      <c:pt idx="5">
                        <c:v>96.934865900383144</c:v>
                      </c:pt>
                      <c:pt idx="6">
                        <c:v>97.083333333333329</c:v>
                      </c:pt>
                      <c:pt idx="7">
                        <c:v>98</c:v>
                      </c:pt>
                      <c:pt idx="8">
                        <c:v>98.578199052132703</c:v>
                      </c:pt>
                      <c:pt idx="9">
                        <c:v>95.594713656387668</c:v>
                      </c:pt>
                      <c:pt idx="10">
                        <c:v>97.468354430379748</c:v>
                      </c:pt>
                      <c:pt idx="11">
                        <c:v>95.689655172413794</c:v>
                      </c:pt>
                      <c:pt idx="12">
                        <c:v>94.560669456066947</c:v>
                      </c:pt>
                      <c:pt idx="13">
                        <c:v>97.244094488188978</c:v>
                      </c:pt>
                      <c:pt idx="14">
                        <c:v>96.551724137931032</c:v>
                      </c:pt>
                      <c:pt idx="15">
                        <c:v>95.594713656387668</c:v>
                      </c:pt>
                      <c:pt idx="16">
                        <c:v>93.689320388349515</c:v>
                      </c:pt>
                      <c:pt idx="17">
                        <c:v>93.055555555555557</c:v>
                      </c:pt>
                      <c:pt idx="18">
                        <c:v>95.614035087719301</c:v>
                      </c:pt>
                      <c:pt idx="19">
                        <c:v>95.319148936170222</c:v>
                      </c:pt>
                      <c:pt idx="20">
                        <c:v>95.794392523364493</c:v>
                      </c:pt>
                      <c:pt idx="21">
                        <c:v>94.9579831932773</c:v>
                      </c:pt>
                      <c:pt idx="22">
                        <c:v>92.96875</c:v>
                      </c:pt>
                      <c:pt idx="23">
                        <c:v>96.399999999999991</c:v>
                      </c:pt>
                      <c:pt idx="24">
                        <c:v>92.165898617511516</c:v>
                      </c:pt>
                      <c:pt idx="25">
                        <c:v>91.363636363636374</c:v>
                      </c:pt>
                      <c:pt idx="26">
                        <c:v>88.65546218487394</c:v>
                      </c:pt>
                      <c:pt idx="27">
                        <c:v>86.715867158671585</c:v>
                      </c:pt>
                      <c:pt idx="28">
                        <c:v>84.549356223175963</c:v>
                      </c:pt>
                      <c:pt idx="29">
                        <c:v>83.206106870229007</c:v>
                      </c:pt>
                      <c:pt idx="30">
                        <c:v>88.721804511278194</c:v>
                      </c:pt>
                      <c:pt idx="31">
                        <c:v>89.565217391304358</c:v>
                      </c:pt>
                      <c:pt idx="32">
                        <c:v>93.155893536121667</c:v>
                      </c:pt>
                      <c:pt idx="33">
                        <c:v>94.642857142857139</c:v>
                      </c:pt>
                      <c:pt idx="34">
                        <c:v>94.857142857142861</c:v>
                      </c:pt>
                      <c:pt idx="35">
                        <c:v>85.777777777777771</c:v>
                      </c:pt>
                      <c:pt idx="36">
                        <c:v>79.555555555555557</c:v>
                      </c:pt>
                      <c:pt idx="37">
                        <c:v>88.405797101449281</c:v>
                      </c:pt>
                      <c:pt idx="38">
                        <c:v>85.407725321888421</c:v>
                      </c:pt>
                      <c:pt idx="39">
                        <c:v>77.642276422764226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21C-43D7-9CA8-E8F1145D3B9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NHS Borders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[1]Final!$A$42:$A$81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[1]Final!$M$42:$M$81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98.305084745762713</c:v>
                      </c:pt>
                      <c:pt idx="5">
                        <c:v>93.75</c:v>
                      </c:pt>
                      <c:pt idx="6">
                        <c:v>97.142857142857139</c:v>
                      </c:pt>
                      <c:pt idx="7">
                        <c:v>98.591549295774655</c:v>
                      </c:pt>
                      <c:pt idx="8">
                        <c:v>97.674418604651152</c:v>
                      </c:pt>
                      <c:pt idx="9">
                        <c:v>100</c:v>
                      </c:pt>
                      <c:pt idx="10">
                        <c:v>97.916666666666657</c:v>
                      </c:pt>
                      <c:pt idx="11">
                        <c:v>100</c:v>
                      </c:pt>
                      <c:pt idx="12">
                        <c:v>96.610169491525426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98.4375</c:v>
                      </c:pt>
                      <c:pt idx="20">
                        <c:v>98.550724637681171</c:v>
                      </c:pt>
                      <c:pt idx="21">
                        <c:v>97.101449275362313</c:v>
                      </c:pt>
                      <c:pt idx="22">
                        <c:v>100</c:v>
                      </c:pt>
                      <c:pt idx="23">
                        <c:v>98.305084745762713</c:v>
                      </c:pt>
                      <c:pt idx="24">
                        <c:v>100</c:v>
                      </c:pt>
                      <c:pt idx="25">
                        <c:v>96.92307692307692</c:v>
                      </c:pt>
                      <c:pt idx="26">
                        <c:v>97.222222222222214</c:v>
                      </c:pt>
                      <c:pt idx="27">
                        <c:v>98.412698412698404</c:v>
                      </c:pt>
                      <c:pt idx="28">
                        <c:v>88</c:v>
                      </c:pt>
                      <c:pt idx="29">
                        <c:v>98.507462686567166</c:v>
                      </c:pt>
                      <c:pt idx="30">
                        <c:v>91.428571428571431</c:v>
                      </c:pt>
                      <c:pt idx="31">
                        <c:v>96.551724137931032</c:v>
                      </c:pt>
                      <c:pt idx="32">
                        <c:v>96.36363636363636</c:v>
                      </c:pt>
                      <c:pt idx="33">
                        <c:v>92.753623188405797</c:v>
                      </c:pt>
                      <c:pt idx="34">
                        <c:v>100</c:v>
                      </c:pt>
                      <c:pt idx="35">
                        <c:v>96</c:v>
                      </c:pt>
                      <c:pt idx="36">
                        <c:v>98.333333333333329</c:v>
                      </c:pt>
                      <c:pt idx="37">
                        <c:v>94.73684210526315</c:v>
                      </c:pt>
                      <c:pt idx="38">
                        <c:v>96.296296296296291</c:v>
                      </c:pt>
                      <c:pt idx="39">
                        <c:v>95.774647887323937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21C-43D7-9CA8-E8F1145D3B9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NHS Dumfries and Galloway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[1]Final!$A$82:$A$121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[1]Final!$M$82:$M$121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98.611111111111114</c:v>
                      </c:pt>
                      <c:pt idx="2">
                        <c:v>97.142857142857139</c:v>
                      </c:pt>
                      <c:pt idx="3">
                        <c:v>98.591549295774655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98.98989898989899</c:v>
                      </c:pt>
                      <c:pt idx="10">
                        <c:v>98.958333333333343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97.53086419753086</c:v>
                      </c:pt>
                      <c:pt idx="15">
                        <c:v>100</c:v>
                      </c:pt>
                      <c:pt idx="16">
                        <c:v>98.837209302325576</c:v>
                      </c:pt>
                      <c:pt idx="17">
                        <c:v>95.121951219512198</c:v>
                      </c:pt>
                      <c:pt idx="18">
                        <c:v>97.183098591549296</c:v>
                      </c:pt>
                      <c:pt idx="19">
                        <c:v>98.571428571428584</c:v>
                      </c:pt>
                      <c:pt idx="20">
                        <c:v>98.76543209876543</c:v>
                      </c:pt>
                      <c:pt idx="21">
                        <c:v>98.76543209876543</c:v>
                      </c:pt>
                      <c:pt idx="22">
                        <c:v>97.402597402597408</c:v>
                      </c:pt>
                      <c:pt idx="23">
                        <c:v>98.571428571428584</c:v>
                      </c:pt>
                      <c:pt idx="24">
                        <c:v>97.916666666666657</c:v>
                      </c:pt>
                      <c:pt idx="25">
                        <c:v>97.169811320754718</c:v>
                      </c:pt>
                      <c:pt idx="26">
                        <c:v>93.827160493827151</c:v>
                      </c:pt>
                      <c:pt idx="27">
                        <c:v>96.666666666666671</c:v>
                      </c:pt>
                      <c:pt idx="28">
                        <c:v>95.652173913043484</c:v>
                      </c:pt>
                      <c:pt idx="29">
                        <c:v>93.75</c:v>
                      </c:pt>
                      <c:pt idx="30">
                        <c:v>97.674418604651152</c:v>
                      </c:pt>
                      <c:pt idx="31">
                        <c:v>89.473684210526315</c:v>
                      </c:pt>
                      <c:pt idx="32">
                        <c:v>93.45794392523365</c:v>
                      </c:pt>
                      <c:pt idx="33">
                        <c:v>92.307692307692307</c:v>
                      </c:pt>
                      <c:pt idx="34">
                        <c:v>98.019801980198025</c:v>
                      </c:pt>
                      <c:pt idx="35">
                        <c:v>95.833333333333343</c:v>
                      </c:pt>
                      <c:pt idx="36">
                        <c:v>87.850467289719631</c:v>
                      </c:pt>
                      <c:pt idx="37">
                        <c:v>94.505494505494497</c:v>
                      </c:pt>
                      <c:pt idx="38">
                        <c:v>86.138613861386133</c:v>
                      </c:pt>
                      <c:pt idx="39">
                        <c:v>83.505154639175259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1C-43D7-9CA8-E8F1145D3B9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NHS Forth Valley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[1]Final!$A$122:$A$161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[1]Final!$M$122:$M$161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91.240875912408754</c:v>
                      </c:pt>
                      <c:pt idx="1">
                        <c:v>94.186046511627907</c:v>
                      </c:pt>
                      <c:pt idx="2">
                        <c:v>95.512820512820511</c:v>
                      </c:pt>
                      <c:pt idx="3">
                        <c:v>98</c:v>
                      </c:pt>
                      <c:pt idx="4">
                        <c:v>95.588235294117652</c:v>
                      </c:pt>
                      <c:pt idx="5">
                        <c:v>95.862068965517238</c:v>
                      </c:pt>
                      <c:pt idx="6">
                        <c:v>96.732026143790847</c:v>
                      </c:pt>
                      <c:pt idx="7">
                        <c:v>95.783132530120483</c:v>
                      </c:pt>
                      <c:pt idx="8">
                        <c:v>90.209790209790214</c:v>
                      </c:pt>
                      <c:pt idx="9">
                        <c:v>98.089171974522287</c:v>
                      </c:pt>
                      <c:pt idx="10">
                        <c:v>97.887323943661968</c:v>
                      </c:pt>
                      <c:pt idx="11">
                        <c:v>95.882352941176478</c:v>
                      </c:pt>
                      <c:pt idx="12">
                        <c:v>93.589743589743591</c:v>
                      </c:pt>
                      <c:pt idx="13">
                        <c:v>95.50561797752809</c:v>
                      </c:pt>
                      <c:pt idx="14">
                        <c:v>97.857142857142847</c:v>
                      </c:pt>
                      <c:pt idx="15">
                        <c:v>96.15384615384616</c:v>
                      </c:pt>
                      <c:pt idx="16">
                        <c:v>94.267515923566876</c:v>
                      </c:pt>
                      <c:pt idx="17">
                        <c:v>92.715231788079464</c:v>
                      </c:pt>
                      <c:pt idx="18">
                        <c:v>90.384615384615387</c:v>
                      </c:pt>
                      <c:pt idx="19">
                        <c:v>93.630573248407643</c:v>
                      </c:pt>
                      <c:pt idx="20">
                        <c:v>93.023255813953483</c:v>
                      </c:pt>
                      <c:pt idx="21">
                        <c:v>87.2340425531915</c:v>
                      </c:pt>
                      <c:pt idx="22">
                        <c:v>88.359788359788354</c:v>
                      </c:pt>
                      <c:pt idx="23">
                        <c:v>88.082901554404145</c:v>
                      </c:pt>
                      <c:pt idx="24">
                        <c:v>86.138613861386133</c:v>
                      </c:pt>
                      <c:pt idx="25">
                        <c:v>84.976525821596255</c:v>
                      </c:pt>
                      <c:pt idx="26">
                        <c:v>82.845188284518827</c:v>
                      </c:pt>
                      <c:pt idx="27">
                        <c:v>85.784313725490193</c:v>
                      </c:pt>
                      <c:pt idx="28">
                        <c:v>88.082901554404145</c:v>
                      </c:pt>
                      <c:pt idx="29">
                        <c:v>86</c:v>
                      </c:pt>
                      <c:pt idx="30">
                        <c:v>85.643564356435647</c:v>
                      </c:pt>
                      <c:pt idx="31">
                        <c:v>91.542288557213936</c:v>
                      </c:pt>
                      <c:pt idx="32">
                        <c:v>80</c:v>
                      </c:pt>
                      <c:pt idx="33">
                        <c:v>88.043478260869563</c:v>
                      </c:pt>
                      <c:pt idx="34">
                        <c:v>90.502793296089393</c:v>
                      </c:pt>
                      <c:pt idx="35">
                        <c:v>93.478260869565219</c:v>
                      </c:pt>
                      <c:pt idx="36">
                        <c:v>88.888888888888886</c:v>
                      </c:pt>
                      <c:pt idx="37">
                        <c:v>92.344497607655512</c:v>
                      </c:pt>
                      <c:pt idx="38">
                        <c:v>86.224489795918373</c:v>
                      </c:pt>
                      <c:pt idx="39">
                        <c:v>84.08163265306122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1C-43D7-9CA8-E8F1145D3B9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NHS Highland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[1]Final!$A$202:$A$241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[1]Final!$M$202:$M$241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95.512820512820511</c:v>
                      </c:pt>
                      <c:pt idx="1">
                        <c:v>97.560975609756099</c:v>
                      </c:pt>
                      <c:pt idx="2">
                        <c:v>96.875</c:v>
                      </c:pt>
                      <c:pt idx="3">
                        <c:v>93.442622950819683</c:v>
                      </c:pt>
                      <c:pt idx="4">
                        <c:v>90</c:v>
                      </c:pt>
                      <c:pt idx="5">
                        <c:v>92.972972972972983</c:v>
                      </c:pt>
                      <c:pt idx="6">
                        <c:v>93.264248704663217</c:v>
                      </c:pt>
                      <c:pt idx="7">
                        <c:v>95.26627218934911</c:v>
                      </c:pt>
                      <c:pt idx="8">
                        <c:v>89.444444444444443</c:v>
                      </c:pt>
                      <c:pt idx="9">
                        <c:v>91.397849462365585</c:v>
                      </c:pt>
                      <c:pt idx="10">
                        <c:v>94.674556213017752</c:v>
                      </c:pt>
                      <c:pt idx="11">
                        <c:v>94.318181818181827</c:v>
                      </c:pt>
                      <c:pt idx="12">
                        <c:v>94.413407821229043</c:v>
                      </c:pt>
                      <c:pt idx="13">
                        <c:v>88.64864864864866</c:v>
                      </c:pt>
                      <c:pt idx="14">
                        <c:v>87.939698492462313</c:v>
                      </c:pt>
                      <c:pt idx="15">
                        <c:v>90.957446808510639</c:v>
                      </c:pt>
                      <c:pt idx="16">
                        <c:v>93.670886075949369</c:v>
                      </c:pt>
                      <c:pt idx="17">
                        <c:v>84.472049689440993</c:v>
                      </c:pt>
                      <c:pt idx="18">
                        <c:v>88.829787234042556</c:v>
                      </c:pt>
                      <c:pt idx="19">
                        <c:v>84.768211920529808</c:v>
                      </c:pt>
                      <c:pt idx="20">
                        <c:v>88.41463414634147</c:v>
                      </c:pt>
                      <c:pt idx="21">
                        <c:v>82.8125</c:v>
                      </c:pt>
                      <c:pt idx="22">
                        <c:v>86.631016042780757</c:v>
                      </c:pt>
                      <c:pt idx="23">
                        <c:v>85.082872928176798</c:v>
                      </c:pt>
                      <c:pt idx="24">
                        <c:v>82.775119617224874</c:v>
                      </c:pt>
                      <c:pt idx="25">
                        <c:v>86.206896551724128</c:v>
                      </c:pt>
                      <c:pt idx="26">
                        <c:v>79.326923076923066</c:v>
                      </c:pt>
                      <c:pt idx="27">
                        <c:v>83.65384615384616</c:v>
                      </c:pt>
                      <c:pt idx="28">
                        <c:v>74.090909090909093</c:v>
                      </c:pt>
                      <c:pt idx="29">
                        <c:v>83.944954128440358</c:v>
                      </c:pt>
                      <c:pt idx="30">
                        <c:v>77.253218884120173</c:v>
                      </c:pt>
                      <c:pt idx="31">
                        <c:v>73.267326732673268</c:v>
                      </c:pt>
                      <c:pt idx="32">
                        <c:v>74.528301886792448</c:v>
                      </c:pt>
                      <c:pt idx="33">
                        <c:v>73.5</c:v>
                      </c:pt>
                      <c:pt idx="34">
                        <c:v>74.585635359116026</c:v>
                      </c:pt>
                      <c:pt idx="35">
                        <c:v>70.56074766355141</c:v>
                      </c:pt>
                      <c:pt idx="36">
                        <c:v>72.56637168141593</c:v>
                      </c:pt>
                      <c:pt idx="37">
                        <c:v>67.158671586715869</c:v>
                      </c:pt>
                      <c:pt idx="38">
                        <c:v>80.882352941176478</c:v>
                      </c:pt>
                      <c:pt idx="39">
                        <c:v>86.715867158671585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1C-43D7-9CA8-E8F1145D3B9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NHS Shetland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[1]Final!$A$282:$A$321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[1]Final!$M$282:$M$321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87.5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88.888888888888886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88.888888888888886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91.666666666666657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90</c:v>
                      </c:pt>
                      <c:pt idx="24">
                        <c:v>100</c:v>
                      </c:pt>
                      <c:pt idx="25">
                        <c:v>85.714285714285708</c:v>
                      </c:pt>
                      <c:pt idx="26">
                        <c:v>71.428571428571431</c:v>
                      </c:pt>
                      <c:pt idx="27">
                        <c:v>92.857142857142861</c:v>
                      </c:pt>
                      <c:pt idx="28">
                        <c:v>100</c:v>
                      </c:pt>
                      <c:pt idx="29">
                        <c:v>91.666666666666657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75</c:v>
                      </c:pt>
                      <c:pt idx="33">
                        <c:v>87.5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88.888888888888886</c:v>
                      </c:pt>
                      <c:pt idx="38">
                        <c:v>100</c:v>
                      </c:pt>
                      <c:pt idx="39">
                        <c:v>92.857142857142861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1C-43D7-9CA8-E8F1145D3B9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NHS Western Isles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[1]Final!$A$322:$A$361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[1]Final!$M$322:$M$361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66.666666666666657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92.307692307692307</c:v>
                      </c:pt>
                      <c:pt idx="14">
                        <c:v>80</c:v>
                      </c:pt>
                      <c:pt idx="15">
                        <c:v>100</c:v>
                      </c:pt>
                      <c:pt idx="16">
                        <c:v>80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90.909090909090907</c:v>
                      </c:pt>
                      <c:pt idx="21">
                        <c:v>80</c:v>
                      </c:pt>
                      <c:pt idx="22">
                        <c:v>88.888888888888886</c:v>
                      </c:pt>
                      <c:pt idx="23">
                        <c:v>85.714285714285708</c:v>
                      </c:pt>
                      <c:pt idx="24">
                        <c:v>90.909090909090907</c:v>
                      </c:pt>
                      <c:pt idx="25">
                        <c:v>100</c:v>
                      </c:pt>
                      <c:pt idx="26">
                        <c:v>90</c:v>
                      </c:pt>
                      <c:pt idx="27">
                        <c:v>66.666666666666657</c:v>
                      </c:pt>
                      <c:pt idx="28">
                        <c:v>81.818181818181827</c:v>
                      </c:pt>
                      <c:pt idx="29">
                        <c:v>83.333333333333343</c:v>
                      </c:pt>
                      <c:pt idx="30">
                        <c:v>82.35294117647058</c:v>
                      </c:pt>
                      <c:pt idx="31">
                        <c:v>85.714285714285708</c:v>
                      </c:pt>
                      <c:pt idx="32">
                        <c:v>92.857142857142861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87.5</c:v>
                      </c:pt>
                      <c:pt idx="36">
                        <c:v>80</c:v>
                      </c:pt>
                      <c:pt idx="37">
                        <c:v>80</c:v>
                      </c:pt>
                      <c:pt idx="38">
                        <c:v>77.272727272727266</c:v>
                      </c:pt>
                      <c:pt idx="39">
                        <c:v>78.571428571428569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21C-43D7-9CA8-E8F1145D3B9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NHS Fife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[1]Final!$A$362:$A$401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[1]Final!$M$362:$M$401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93.865030674846622</c:v>
                      </c:pt>
                      <c:pt idx="1">
                        <c:v>93.650793650793645</c:v>
                      </c:pt>
                      <c:pt idx="2">
                        <c:v>97.159090909090907</c:v>
                      </c:pt>
                      <c:pt idx="3">
                        <c:v>98.630136986301366</c:v>
                      </c:pt>
                      <c:pt idx="4">
                        <c:v>99.290780141843967</c:v>
                      </c:pt>
                      <c:pt idx="5">
                        <c:v>96.666666666666671</c:v>
                      </c:pt>
                      <c:pt idx="6">
                        <c:v>94.117647058823522</c:v>
                      </c:pt>
                      <c:pt idx="7">
                        <c:v>96.581196581196579</c:v>
                      </c:pt>
                      <c:pt idx="8">
                        <c:v>95.36423841059603</c:v>
                      </c:pt>
                      <c:pt idx="9">
                        <c:v>95.172413793103445</c:v>
                      </c:pt>
                      <c:pt idx="10">
                        <c:v>93.788819875776397</c:v>
                      </c:pt>
                      <c:pt idx="11">
                        <c:v>94.615384615384613</c:v>
                      </c:pt>
                      <c:pt idx="12">
                        <c:v>92.356687898089177</c:v>
                      </c:pt>
                      <c:pt idx="13">
                        <c:v>96.527777777777786</c:v>
                      </c:pt>
                      <c:pt idx="14">
                        <c:v>94.936708860759495</c:v>
                      </c:pt>
                      <c:pt idx="15">
                        <c:v>94.475138121546962</c:v>
                      </c:pt>
                      <c:pt idx="16">
                        <c:v>93.661971830985919</c:v>
                      </c:pt>
                      <c:pt idx="17">
                        <c:v>91.279069767441854</c:v>
                      </c:pt>
                      <c:pt idx="18">
                        <c:v>89.743589743589752</c:v>
                      </c:pt>
                      <c:pt idx="19">
                        <c:v>91.19496855345912</c:v>
                      </c:pt>
                      <c:pt idx="20">
                        <c:v>84.93150684931507</c:v>
                      </c:pt>
                      <c:pt idx="21">
                        <c:v>96.590909090909093</c:v>
                      </c:pt>
                      <c:pt idx="22">
                        <c:v>96.341463414634148</c:v>
                      </c:pt>
                      <c:pt idx="23">
                        <c:v>93.85474860335195</c:v>
                      </c:pt>
                      <c:pt idx="24">
                        <c:v>91.124260355029591</c:v>
                      </c:pt>
                      <c:pt idx="25">
                        <c:v>94.117647058823522</c:v>
                      </c:pt>
                      <c:pt idx="26">
                        <c:v>86.19047619047619</c:v>
                      </c:pt>
                      <c:pt idx="27">
                        <c:v>90.957446808510639</c:v>
                      </c:pt>
                      <c:pt idx="28">
                        <c:v>88.613861386138609</c:v>
                      </c:pt>
                      <c:pt idx="29">
                        <c:v>89.333333333333329</c:v>
                      </c:pt>
                      <c:pt idx="30">
                        <c:v>86.893203883495147</c:v>
                      </c:pt>
                      <c:pt idx="31">
                        <c:v>92.156862745098039</c:v>
                      </c:pt>
                      <c:pt idx="32">
                        <c:v>88.177339901477836</c:v>
                      </c:pt>
                      <c:pt idx="33">
                        <c:v>85</c:v>
                      </c:pt>
                      <c:pt idx="34">
                        <c:v>89.714285714285708</c:v>
                      </c:pt>
                      <c:pt idx="35">
                        <c:v>86.390532544378701</c:v>
                      </c:pt>
                      <c:pt idx="36">
                        <c:v>87.195121951219505</c:v>
                      </c:pt>
                      <c:pt idx="37">
                        <c:v>85.207100591715985</c:v>
                      </c:pt>
                      <c:pt idx="38">
                        <c:v>91.62561576354679</c:v>
                      </c:pt>
                      <c:pt idx="39">
                        <c:v>88.888888888888886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21C-43D7-9CA8-E8F1145D3B9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NHS Greater Glasgow and Clyde+Sheet14!$A$442:$A$481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[1]Final!$A$442:$A$481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[1]Final!$M$442:$M$481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94.829760403530898</c:v>
                      </c:pt>
                      <c:pt idx="1">
                        <c:v>95.862884160756494</c:v>
                      </c:pt>
                      <c:pt idx="2">
                        <c:v>94.306930693069305</c:v>
                      </c:pt>
                      <c:pt idx="3">
                        <c:v>94.903737259343146</c:v>
                      </c:pt>
                      <c:pt idx="4">
                        <c:v>93.412384716732547</c:v>
                      </c:pt>
                      <c:pt idx="5">
                        <c:v>94.329896907216494</c:v>
                      </c:pt>
                      <c:pt idx="6">
                        <c:v>93.19899244332494</c:v>
                      </c:pt>
                      <c:pt idx="7">
                        <c:v>94.223826714801433</c:v>
                      </c:pt>
                      <c:pt idx="8">
                        <c:v>90.400972053462937</c:v>
                      </c:pt>
                      <c:pt idx="9">
                        <c:v>89.850057670126873</c:v>
                      </c:pt>
                      <c:pt idx="10">
                        <c:v>90.740740740740748</c:v>
                      </c:pt>
                      <c:pt idx="11">
                        <c:v>92.65255292652553</c:v>
                      </c:pt>
                      <c:pt idx="12">
                        <c:v>90.665110851808635</c:v>
                      </c:pt>
                      <c:pt idx="13">
                        <c:v>89.626055488540416</c:v>
                      </c:pt>
                      <c:pt idx="14">
                        <c:v>86.238532110091754</c:v>
                      </c:pt>
                      <c:pt idx="15">
                        <c:v>87.149028077753769</c:v>
                      </c:pt>
                      <c:pt idx="16">
                        <c:v>85.968819599109139</c:v>
                      </c:pt>
                      <c:pt idx="17">
                        <c:v>87.950450450450447</c:v>
                      </c:pt>
                      <c:pt idx="18">
                        <c:v>81.950672645739914</c:v>
                      </c:pt>
                      <c:pt idx="19">
                        <c:v>84.573894282632139</c:v>
                      </c:pt>
                      <c:pt idx="20">
                        <c:v>83.095499451152577</c:v>
                      </c:pt>
                      <c:pt idx="21">
                        <c:v>82.563025210084035</c:v>
                      </c:pt>
                      <c:pt idx="22">
                        <c:v>81.208791208791212</c:v>
                      </c:pt>
                      <c:pt idx="23">
                        <c:v>81.438998957247136</c:v>
                      </c:pt>
                      <c:pt idx="24">
                        <c:v>80.148619957537164</c:v>
                      </c:pt>
                      <c:pt idx="25">
                        <c:v>78.8</c:v>
                      </c:pt>
                      <c:pt idx="26">
                        <c:v>75.508317929759698</c:v>
                      </c:pt>
                      <c:pt idx="27">
                        <c:v>76</c:v>
                      </c:pt>
                      <c:pt idx="28">
                        <c:v>75.157515751575161</c:v>
                      </c:pt>
                      <c:pt idx="29">
                        <c:v>76.360392506690459</c:v>
                      </c:pt>
                      <c:pt idx="30">
                        <c:v>78.715596330275233</c:v>
                      </c:pt>
                      <c:pt idx="31">
                        <c:v>78.494623655913969</c:v>
                      </c:pt>
                      <c:pt idx="32">
                        <c:v>80.603842634949686</c:v>
                      </c:pt>
                      <c:pt idx="33">
                        <c:v>80.606060606060609</c:v>
                      </c:pt>
                      <c:pt idx="34">
                        <c:v>85.933806146572095</c:v>
                      </c:pt>
                      <c:pt idx="35">
                        <c:v>81.92893401015229</c:v>
                      </c:pt>
                      <c:pt idx="36">
                        <c:v>80.708294501397944</c:v>
                      </c:pt>
                      <c:pt idx="37">
                        <c:v>79.945799457994582</c:v>
                      </c:pt>
                      <c:pt idx="38">
                        <c:v>78.135888501742158</c:v>
                      </c:pt>
                      <c:pt idx="39">
                        <c:v>71.722365038560412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21C-43D7-9CA8-E8F1145D3B9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NHS Lanarkshire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[1]Final!$A$482:$A$521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[1]Final!$M$482:$M$521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97.297297297297305</c:v>
                      </c:pt>
                      <c:pt idx="1">
                        <c:v>97.590361445783131</c:v>
                      </c:pt>
                      <c:pt idx="2">
                        <c:v>99.033816425120762</c:v>
                      </c:pt>
                      <c:pt idx="3">
                        <c:v>97.881355932203391</c:v>
                      </c:pt>
                      <c:pt idx="4">
                        <c:v>98.067632850241552</c:v>
                      </c:pt>
                      <c:pt idx="5">
                        <c:v>97.47899159663865</c:v>
                      </c:pt>
                      <c:pt idx="6">
                        <c:v>96.5</c:v>
                      </c:pt>
                      <c:pt idx="7">
                        <c:v>97.727272727272734</c:v>
                      </c:pt>
                      <c:pt idx="8">
                        <c:v>96.460176991150433</c:v>
                      </c:pt>
                      <c:pt idx="9">
                        <c:v>97.21254355400697</c:v>
                      </c:pt>
                      <c:pt idx="10">
                        <c:v>97.959183673469383</c:v>
                      </c:pt>
                      <c:pt idx="11">
                        <c:v>96.761133603238875</c:v>
                      </c:pt>
                      <c:pt idx="12">
                        <c:v>98.122065727699521</c:v>
                      </c:pt>
                      <c:pt idx="13">
                        <c:v>98.23788546255507</c:v>
                      </c:pt>
                      <c:pt idx="14">
                        <c:v>96.638655462184872</c:v>
                      </c:pt>
                      <c:pt idx="15">
                        <c:v>95.33898305084746</c:v>
                      </c:pt>
                      <c:pt idx="16">
                        <c:v>97.391304347826093</c:v>
                      </c:pt>
                      <c:pt idx="17">
                        <c:v>95.620437956204384</c:v>
                      </c:pt>
                      <c:pt idx="18">
                        <c:v>97.718631178707227</c:v>
                      </c:pt>
                      <c:pt idx="19">
                        <c:v>97.747747747747752</c:v>
                      </c:pt>
                      <c:pt idx="20">
                        <c:v>97.435897435897431</c:v>
                      </c:pt>
                      <c:pt idx="21">
                        <c:v>96.15384615384616</c:v>
                      </c:pt>
                      <c:pt idx="22">
                        <c:v>95.723684210526315</c:v>
                      </c:pt>
                      <c:pt idx="23">
                        <c:v>96.638655462184872</c:v>
                      </c:pt>
                      <c:pt idx="24">
                        <c:v>97.416974169741692</c:v>
                      </c:pt>
                      <c:pt idx="25">
                        <c:v>96.407185628742525</c:v>
                      </c:pt>
                      <c:pt idx="26">
                        <c:v>97.115384615384613</c:v>
                      </c:pt>
                      <c:pt idx="27">
                        <c:v>97.394136807817588</c:v>
                      </c:pt>
                      <c:pt idx="28">
                        <c:v>98.71794871794873</c:v>
                      </c:pt>
                      <c:pt idx="29">
                        <c:v>97.720797720797719</c:v>
                      </c:pt>
                      <c:pt idx="30">
                        <c:v>97.878787878787875</c:v>
                      </c:pt>
                      <c:pt idx="31">
                        <c:v>98.281786941580748</c:v>
                      </c:pt>
                      <c:pt idx="32">
                        <c:v>97.994269340974213</c:v>
                      </c:pt>
                      <c:pt idx="33">
                        <c:v>92.592592592592595</c:v>
                      </c:pt>
                      <c:pt idx="34">
                        <c:v>90.566037735849065</c:v>
                      </c:pt>
                      <c:pt idx="35">
                        <c:v>91.558441558441558</c:v>
                      </c:pt>
                      <c:pt idx="36">
                        <c:v>92.72727272727272</c:v>
                      </c:pt>
                      <c:pt idx="37">
                        <c:v>92.857142857142861</c:v>
                      </c:pt>
                      <c:pt idx="38">
                        <c:v>89.117647058823536</c:v>
                      </c:pt>
                      <c:pt idx="39">
                        <c:v>81.502890173410407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21C-43D7-9CA8-E8F1145D3B9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The Golden Jubilee National Hospital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[1]Final!$A$522:$A$561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[1]Final!$M$522:$M$561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92.307692307692307</c:v>
                      </c:pt>
                      <c:pt idx="1">
                        <c:v>86.842105263157904</c:v>
                      </c:pt>
                      <c:pt idx="2">
                        <c:v>82.35294117647058</c:v>
                      </c:pt>
                      <c:pt idx="3">
                        <c:v>86.486486486486484</c:v>
                      </c:pt>
                      <c:pt idx="4">
                        <c:v>85</c:v>
                      </c:pt>
                      <c:pt idx="5">
                        <c:v>91.17647058823529</c:v>
                      </c:pt>
                      <c:pt idx="6">
                        <c:v>89.189189189189193</c:v>
                      </c:pt>
                      <c:pt idx="7">
                        <c:v>81.578947368421055</c:v>
                      </c:pt>
                      <c:pt idx="8">
                        <c:v>84.375</c:v>
                      </c:pt>
                      <c:pt idx="9">
                        <c:v>87.5</c:v>
                      </c:pt>
                      <c:pt idx="10">
                        <c:v>88.095238095238088</c:v>
                      </c:pt>
                      <c:pt idx="11">
                        <c:v>89.285714285714292</c:v>
                      </c:pt>
                      <c:pt idx="12">
                        <c:v>76</c:v>
                      </c:pt>
                      <c:pt idx="13">
                        <c:v>95.454545454545453</c:v>
                      </c:pt>
                      <c:pt idx="14">
                        <c:v>85.714285714285708</c:v>
                      </c:pt>
                      <c:pt idx="15">
                        <c:v>92.307692307692307</c:v>
                      </c:pt>
                      <c:pt idx="16">
                        <c:v>70.588235294117652</c:v>
                      </c:pt>
                      <c:pt idx="17">
                        <c:v>77.142857142857153</c:v>
                      </c:pt>
                      <c:pt idx="18">
                        <c:v>75.555555555555557</c:v>
                      </c:pt>
                      <c:pt idx="19">
                        <c:v>75.609756097560975</c:v>
                      </c:pt>
                      <c:pt idx="20">
                        <c:v>67.441860465116278</c:v>
                      </c:pt>
                      <c:pt idx="21">
                        <c:v>60.869565217391312</c:v>
                      </c:pt>
                      <c:pt idx="22">
                        <c:v>71.05263157894737</c:v>
                      </c:pt>
                      <c:pt idx="23">
                        <c:v>72.727272727272734</c:v>
                      </c:pt>
                      <c:pt idx="24">
                        <c:v>67.567567567567565</c:v>
                      </c:pt>
                      <c:pt idx="25">
                        <c:v>72.727272727272734</c:v>
                      </c:pt>
                      <c:pt idx="26">
                        <c:v>71.428571428571431</c:v>
                      </c:pt>
                      <c:pt idx="27">
                        <c:v>79.411764705882348</c:v>
                      </c:pt>
                      <c:pt idx="28">
                        <c:v>71.428571428571431</c:v>
                      </c:pt>
                      <c:pt idx="29">
                        <c:v>60</c:v>
                      </c:pt>
                      <c:pt idx="30">
                        <c:v>71.428571428571431</c:v>
                      </c:pt>
                      <c:pt idx="31">
                        <c:v>55.555555555555557</c:v>
                      </c:pt>
                      <c:pt idx="32">
                        <c:v>66.666666666666657</c:v>
                      </c:pt>
                      <c:pt idx="33">
                        <c:v>77.5</c:v>
                      </c:pt>
                      <c:pt idx="34">
                        <c:v>92</c:v>
                      </c:pt>
                      <c:pt idx="35">
                        <c:v>84.210526315789465</c:v>
                      </c:pt>
                      <c:pt idx="36">
                        <c:v>69.767441860465112</c:v>
                      </c:pt>
                      <c:pt idx="37">
                        <c:v>83.333333333333343</c:v>
                      </c:pt>
                      <c:pt idx="38">
                        <c:v>68.75</c:v>
                      </c:pt>
                      <c:pt idx="39">
                        <c:v>58.139534883720934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21C-43D7-9CA8-E8F1145D3B99}"/>
                  </c:ext>
                </c:extLst>
              </c15:ser>
            </c15:filteredScatterSeries>
          </c:ext>
        </c:extLst>
      </c:scatterChart>
      <c:valAx>
        <c:axId val="7431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Period From Q1 </a:t>
                </a:r>
                <a:r>
                  <a:rPr lang="en-GB" sz="1000" b="0" i="0" u="none" strike="noStrike" baseline="0">
                    <a:effectLst/>
                  </a:rPr>
                  <a:t>2012 to Q4 2021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39440"/>
        <c:crosses val="autoZero"/>
        <c:crossBetween val="midCat"/>
      </c:valAx>
      <c:valAx>
        <c:axId val="7431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Percentage of Referrals Treated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Grampian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S08000020_Grampian!$A$3:$A$42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S08000020_Grampian!$H$3:$H$42</c:f>
              <c:numCache>
                <c:formatCode>0.00</c:formatCode>
                <c:ptCount val="40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83.78378378378379</c:v>
                </c:pt>
                <c:pt idx="33">
                  <c:v>80.792682926829272</c:v>
                </c:pt>
                <c:pt idx="34">
                  <c:v>81.350482315112544</c:v>
                </c:pt>
                <c:pt idx="35">
                  <c:v>86.206896551724128</c:v>
                </c:pt>
                <c:pt idx="36">
                  <c:v>75.454545454545453</c:v>
                </c:pt>
                <c:pt idx="37">
                  <c:v>80.361757105943155</c:v>
                </c:pt>
                <c:pt idx="38">
                  <c:v>75.335120643431637</c:v>
                </c:pt>
                <c:pt idx="39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7-4850-8E36-412D2507CF99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S08000020_Grampian!$I$47:$I$86</c:f>
              <c:numCache>
                <c:formatCode>0.00</c:formatCode>
                <c:ptCount val="40"/>
                <c:pt idx="0">
                  <c:v>91.591898167091472</c:v>
                </c:pt>
                <c:pt idx="1">
                  <c:v>91.202360973288449</c:v>
                </c:pt>
                <c:pt idx="2">
                  <c:v>90.812823779485441</c:v>
                </c:pt>
                <c:pt idx="3">
                  <c:v>90.423286585682419</c:v>
                </c:pt>
                <c:pt idx="4">
                  <c:v>90.033749391879397</c:v>
                </c:pt>
                <c:pt idx="5">
                  <c:v>89.644212198076374</c:v>
                </c:pt>
                <c:pt idx="6">
                  <c:v>89.254675004273366</c:v>
                </c:pt>
                <c:pt idx="7">
                  <c:v>88.865137810470344</c:v>
                </c:pt>
                <c:pt idx="8">
                  <c:v>88.475600616667322</c:v>
                </c:pt>
                <c:pt idx="9">
                  <c:v>88.086063422864299</c:v>
                </c:pt>
                <c:pt idx="10">
                  <c:v>87.696526229061291</c:v>
                </c:pt>
                <c:pt idx="11">
                  <c:v>87.306989035258269</c:v>
                </c:pt>
                <c:pt idx="12">
                  <c:v>86.917451841455247</c:v>
                </c:pt>
                <c:pt idx="13">
                  <c:v>86.527914647652224</c:v>
                </c:pt>
                <c:pt idx="14">
                  <c:v>86.138377453849216</c:v>
                </c:pt>
                <c:pt idx="15">
                  <c:v>85.748840260046194</c:v>
                </c:pt>
                <c:pt idx="16">
                  <c:v>85.359303066243172</c:v>
                </c:pt>
                <c:pt idx="17">
                  <c:v>84.969765872440149</c:v>
                </c:pt>
                <c:pt idx="18">
                  <c:v>84.580228678637127</c:v>
                </c:pt>
                <c:pt idx="19">
                  <c:v>84.190691484834119</c:v>
                </c:pt>
                <c:pt idx="20">
                  <c:v>83.801154291031096</c:v>
                </c:pt>
                <c:pt idx="21">
                  <c:v>83.411617097228074</c:v>
                </c:pt>
                <c:pt idx="22">
                  <c:v>83.022079903425066</c:v>
                </c:pt>
                <c:pt idx="23">
                  <c:v>82.632542709622044</c:v>
                </c:pt>
                <c:pt idx="24">
                  <c:v>82.243005515819021</c:v>
                </c:pt>
                <c:pt idx="25">
                  <c:v>81.853468322015999</c:v>
                </c:pt>
                <c:pt idx="26">
                  <c:v>81.463931128212977</c:v>
                </c:pt>
                <c:pt idx="27">
                  <c:v>81.074393934409969</c:v>
                </c:pt>
                <c:pt idx="28">
                  <c:v>80.684856740606946</c:v>
                </c:pt>
                <c:pt idx="29">
                  <c:v>80.295319546803924</c:v>
                </c:pt>
                <c:pt idx="30">
                  <c:v>79.905782353000902</c:v>
                </c:pt>
                <c:pt idx="31">
                  <c:v>79.516245159197894</c:v>
                </c:pt>
                <c:pt idx="32">
                  <c:v>79.126707965394871</c:v>
                </c:pt>
                <c:pt idx="33">
                  <c:v>78.737170771591849</c:v>
                </c:pt>
                <c:pt idx="34">
                  <c:v>78.347633577788827</c:v>
                </c:pt>
                <c:pt idx="35">
                  <c:v>77.958096383985819</c:v>
                </c:pt>
                <c:pt idx="36">
                  <c:v>77.568559190182796</c:v>
                </c:pt>
                <c:pt idx="37">
                  <c:v>77.179021996379774</c:v>
                </c:pt>
                <c:pt idx="38">
                  <c:v>76.789484802576752</c:v>
                </c:pt>
                <c:pt idx="39">
                  <c:v>76.399947608773743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47-4850-8E36-412D2507CF99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S08000020_Grampian!$M$94:$M$137</c:f>
              <c:numCache>
                <c:formatCode>0.00</c:formatCode>
                <c:ptCount val="44"/>
                <c:pt idx="0">
                  <c:v>90.609934429684841</c:v>
                </c:pt>
                <c:pt idx="1">
                  <c:v>92.399386407636925</c:v>
                </c:pt>
                <c:pt idx="2">
                  <c:v>89.753752739786592</c:v>
                </c:pt>
                <c:pt idx="3">
                  <c:v>91.543452165563153</c:v>
                </c:pt>
                <c:pt idx="4">
                  <c:v>89.036443641299229</c:v>
                </c:pt>
                <c:pt idx="5">
                  <c:v>90.825895619251312</c:v>
                </c:pt>
                <c:pt idx="6">
                  <c:v>88.180261951400979</c:v>
                </c:pt>
                <c:pt idx="7">
                  <c:v>89.969961377177526</c:v>
                </c:pt>
                <c:pt idx="8">
                  <c:v>87.462952852913617</c:v>
                </c:pt>
                <c:pt idx="9">
                  <c:v>89.252404830865686</c:v>
                </c:pt>
                <c:pt idx="10">
                  <c:v>86.606771163015367</c:v>
                </c:pt>
                <c:pt idx="11">
                  <c:v>88.396470588791914</c:v>
                </c:pt>
                <c:pt idx="12">
                  <c:v>85.889462064528004</c:v>
                </c:pt>
                <c:pt idx="13">
                  <c:v>87.678914042480073</c:v>
                </c:pt>
                <c:pt idx="14">
                  <c:v>85.03328037462974</c:v>
                </c:pt>
                <c:pt idx="15">
                  <c:v>86.822979800406301</c:v>
                </c:pt>
                <c:pt idx="16">
                  <c:v>84.315971276142378</c:v>
                </c:pt>
                <c:pt idx="17">
                  <c:v>86.105423254094461</c:v>
                </c:pt>
                <c:pt idx="18">
                  <c:v>83.459789586244128</c:v>
                </c:pt>
                <c:pt idx="19">
                  <c:v>85.249489012020689</c:v>
                </c:pt>
                <c:pt idx="20">
                  <c:v>82.742480487756765</c:v>
                </c:pt>
                <c:pt idx="21">
                  <c:v>84.531932465708834</c:v>
                </c:pt>
                <c:pt idx="22">
                  <c:v>81.886298797858515</c:v>
                </c:pt>
                <c:pt idx="23">
                  <c:v>83.675998223635062</c:v>
                </c:pt>
                <c:pt idx="24">
                  <c:v>81.168989699371153</c:v>
                </c:pt>
                <c:pt idx="25">
                  <c:v>82.958441677323222</c:v>
                </c:pt>
                <c:pt idx="26">
                  <c:v>80.312808009472903</c:v>
                </c:pt>
                <c:pt idx="27">
                  <c:v>82.10250743524945</c:v>
                </c:pt>
                <c:pt idx="28">
                  <c:v>79.595498910985526</c:v>
                </c:pt>
                <c:pt idx="29">
                  <c:v>81.38495088893761</c:v>
                </c:pt>
                <c:pt idx="30">
                  <c:v>78.739317221087276</c:v>
                </c:pt>
                <c:pt idx="31">
                  <c:v>80.529016646863838</c:v>
                </c:pt>
                <c:pt idx="32">
                  <c:v>78.022008122599914</c:v>
                </c:pt>
                <c:pt idx="33">
                  <c:v>79.811460100551997</c:v>
                </c:pt>
                <c:pt idx="34">
                  <c:v>77.165826432701664</c:v>
                </c:pt>
                <c:pt idx="35">
                  <c:v>78.955525858478211</c:v>
                </c:pt>
                <c:pt idx="36">
                  <c:v>76.448517334214301</c:v>
                </c:pt>
                <c:pt idx="37">
                  <c:v>78.237969312166371</c:v>
                </c:pt>
                <c:pt idx="38">
                  <c:v>75.592335644316051</c:v>
                </c:pt>
                <c:pt idx="39">
                  <c:v>77.382035070092599</c:v>
                </c:pt>
                <c:pt idx="40">
                  <c:v>74.875026545828689</c:v>
                </c:pt>
                <c:pt idx="41">
                  <c:v>76.664478523780758</c:v>
                </c:pt>
                <c:pt idx="42">
                  <c:v>74.018844855930425</c:v>
                </c:pt>
                <c:pt idx="43">
                  <c:v>75.808544281706986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47-4850-8E36-412D2507CF99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S08000020_Grampian!$I$150:$I$189</c:f>
              <c:numCache>
                <c:formatCode>0.00</c:formatCode>
                <c:ptCount val="40"/>
                <c:pt idx="0">
                  <c:v>90.102389078498291</c:v>
                </c:pt>
                <c:pt idx="1">
                  <c:v>92.116144693299574</c:v>
                </c:pt>
                <c:pt idx="2">
                  <c:v>90.741384929187291</c:v>
                </c:pt>
                <c:pt idx="3">
                  <c:v>92.683824668204196</c:v>
                </c:pt>
                <c:pt idx="4">
                  <c:v>91.691375882003598</c:v>
                </c:pt>
                <c:pt idx="5">
                  <c:v>90.494277583996677</c:v>
                </c:pt>
                <c:pt idx="6">
                  <c:v>90.044074856045853</c:v>
                </c:pt>
                <c:pt idx="7">
                  <c:v>90.884450955923583</c:v>
                </c:pt>
                <c:pt idx="8">
                  <c:v>88.724218960650916</c:v>
                </c:pt>
                <c:pt idx="9">
                  <c:v>89.347384040967356</c:v>
                </c:pt>
                <c:pt idx="10">
                  <c:v>88.338969346736093</c:v>
                </c:pt>
                <c:pt idx="11">
                  <c:v>88.655555521085134</c:v>
                </c:pt>
                <c:pt idx="12">
                  <c:v>87.407169790638505</c:v>
                </c:pt>
                <c:pt idx="13">
                  <c:v>86.237405322658958</c:v>
                </c:pt>
                <c:pt idx="14">
                  <c:v>85.742443193595363</c:v>
                </c:pt>
                <c:pt idx="15">
                  <c:v>86.065348957092894</c:v>
                </c:pt>
                <c:pt idx="16">
                  <c:v>86.373102931678716</c:v>
                </c:pt>
                <c:pt idx="17">
                  <c:v>85.877915813061293</c:v>
                </c:pt>
                <c:pt idx="18">
                  <c:v>84.216044527001259</c:v>
                </c:pt>
                <c:pt idx="19">
                  <c:v>84.282775330810324</c:v>
                </c:pt>
                <c:pt idx="20">
                  <c:v>84.713585794019679</c:v>
                </c:pt>
                <c:pt idx="21">
                  <c:v>83.564724366437389</c:v>
                </c:pt>
                <c:pt idx="22">
                  <c:v>83.182312880731985</c:v>
                </c:pt>
                <c:pt idx="23">
                  <c:v>81.752139571191037</c:v>
                </c:pt>
                <c:pt idx="24">
                  <c:v>79.370432678884839</c:v>
                </c:pt>
                <c:pt idx="25">
                  <c:v>79.550510728407133</c:v>
                </c:pt>
                <c:pt idx="26">
                  <c:v>78.415237943893587</c:v>
                </c:pt>
                <c:pt idx="27">
                  <c:v>78.703819025328954</c:v>
                </c:pt>
                <c:pt idx="28">
                  <c:v>77.917478580972769</c:v>
                </c:pt>
                <c:pt idx="29">
                  <c:v>81.404425096077688</c:v>
                </c:pt>
                <c:pt idx="30">
                  <c:v>80.493140494539816</c:v>
                </c:pt>
                <c:pt idx="31">
                  <c:v>79.998011956298356</c:v>
                </c:pt>
                <c:pt idx="32">
                  <c:v>81.512320687292529</c:v>
                </c:pt>
                <c:pt idx="33">
                  <c:v>81.224465583107218</c:v>
                </c:pt>
                <c:pt idx="34">
                  <c:v>81.274872275909345</c:v>
                </c:pt>
                <c:pt idx="35">
                  <c:v>83.24768198623525</c:v>
                </c:pt>
                <c:pt idx="36">
                  <c:v>80.130427373559328</c:v>
                </c:pt>
                <c:pt idx="37">
                  <c:v>80.222959266512859</c:v>
                </c:pt>
                <c:pt idx="38">
                  <c:v>78.267823817280373</c:v>
                </c:pt>
                <c:pt idx="39">
                  <c:v>76.007149058094384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47-4850-8E36-412D2507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535952"/>
        <c:axId val="1948534512"/>
      </c:scatterChart>
      <c:valAx>
        <c:axId val="194853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34512"/>
        <c:crosses val="autoZero"/>
        <c:crossBetween val="midCat"/>
      </c:valAx>
      <c:valAx>
        <c:axId val="19485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3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Original</a:t>
            </a:r>
            <a:r>
              <a:rPr lang="en-IN" baseline="0"/>
              <a:t> Data and Chosen Forecasted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S08000020_Grampian!$H$2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S08000020_Grampian!$A$3:$A$42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S08000020_Grampian!$H$3:$H$42</c:f>
              <c:numCache>
                <c:formatCode>0.00</c:formatCode>
                <c:ptCount val="40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83.78378378378379</c:v>
                </c:pt>
                <c:pt idx="33">
                  <c:v>80.792682926829272</c:v>
                </c:pt>
                <c:pt idx="34">
                  <c:v>81.350482315112544</c:v>
                </c:pt>
                <c:pt idx="35">
                  <c:v>86.206896551724128</c:v>
                </c:pt>
                <c:pt idx="36">
                  <c:v>75.454545454545453</c:v>
                </c:pt>
                <c:pt idx="37">
                  <c:v>80.361757105943155</c:v>
                </c:pt>
                <c:pt idx="38">
                  <c:v>75.335120643431637</c:v>
                </c:pt>
                <c:pt idx="39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8-492A-8CAE-08BDB2552F30}"/>
            </c:ext>
          </c:extLst>
        </c:ser>
        <c:ser>
          <c:idx val="1"/>
          <c:order val="1"/>
          <c:tx>
            <c:v>Chosen Forecast- Linear Trean with Seasonality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S08000020_Grampian!$M$94:$M$137</c:f>
              <c:numCache>
                <c:formatCode>0.00</c:formatCode>
                <c:ptCount val="44"/>
                <c:pt idx="0">
                  <c:v>90.609934429684841</c:v>
                </c:pt>
                <c:pt idx="1">
                  <c:v>92.399386407636925</c:v>
                </c:pt>
                <c:pt idx="2">
                  <c:v>89.753752739786592</c:v>
                </c:pt>
                <c:pt idx="3">
                  <c:v>91.543452165563153</c:v>
                </c:pt>
                <c:pt idx="4">
                  <c:v>89.036443641299229</c:v>
                </c:pt>
                <c:pt idx="5">
                  <c:v>90.825895619251312</c:v>
                </c:pt>
                <c:pt idx="6">
                  <c:v>88.180261951400979</c:v>
                </c:pt>
                <c:pt idx="7">
                  <c:v>89.969961377177526</c:v>
                </c:pt>
                <c:pt idx="8">
                  <c:v>87.462952852913617</c:v>
                </c:pt>
                <c:pt idx="9">
                  <c:v>89.252404830865686</c:v>
                </c:pt>
                <c:pt idx="10">
                  <c:v>86.606771163015367</c:v>
                </c:pt>
                <c:pt idx="11">
                  <c:v>88.396470588791914</c:v>
                </c:pt>
                <c:pt idx="12">
                  <c:v>85.889462064528004</c:v>
                </c:pt>
                <c:pt idx="13">
                  <c:v>87.678914042480073</c:v>
                </c:pt>
                <c:pt idx="14">
                  <c:v>85.03328037462974</c:v>
                </c:pt>
                <c:pt idx="15">
                  <c:v>86.822979800406301</c:v>
                </c:pt>
                <c:pt idx="16">
                  <c:v>84.315971276142378</c:v>
                </c:pt>
                <c:pt idx="17">
                  <c:v>86.105423254094461</c:v>
                </c:pt>
                <c:pt idx="18">
                  <c:v>83.459789586244128</c:v>
                </c:pt>
                <c:pt idx="19">
                  <c:v>85.249489012020689</c:v>
                </c:pt>
                <c:pt idx="20">
                  <c:v>82.742480487756765</c:v>
                </c:pt>
                <c:pt idx="21">
                  <c:v>84.531932465708834</c:v>
                </c:pt>
                <c:pt idx="22">
                  <c:v>81.886298797858515</c:v>
                </c:pt>
                <c:pt idx="23">
                  <c:v>83.675998223635062</c:v>
                </c:pt>
                <c:pt idx="24">
                  <c:v>81.168989699371153</c:v>
                </c:pt>
                <c:pt idx="25">
                  <c:v>82.958441677323222</c:v>
                </c:pt>
                <c:pt idx="26">
                  <c:v>80.312808009472903</c:v>
                </c:pt>
                <c:pt idx="27">
                  <c:v>82.10250743524945</c:v>
                </c:pt>
                <c:pt idx="28">
                  <c:v>79.595498910985526</c:v>
                </c:pt>
                <c:pt idx="29">
                  <c:v>81.38495088893761</c:v>
                </c:pt>
                <c:pt idx="30">
                  <c:v>78.739317221087276</c:v>
                </c:pt>
                <c:pt idx="31">
                  <c:v>80.529016646863838</c:v>
                </c:pt>
                <c:pt idx="32">
                  <c:v>78.022008122599914</c:v>
                </c:pt>
                <c:pt idx="33">
                  <c:v>79.811460100551997</c:v>
                </c:pt>
                <c:pt idx="34">
                  <c:v>77.165826432701664</c:v>
                </c:pt>
                <c:pt idx="35">
                  <c:v>78.955525858478211</c:v>
                </c:pt>
                <c:pt idx="36">
                  <c:v>76.448517334214301</c:v>
                </c:pt>
                <c:pt idx="37">
                  <c:v>78.237969312166371</c:v>
                </c:pt>
                <c:pt idx="38">
                  <c:v>75.592335644316051</c:v>
                </c:pt>
                <c:pt idx="39">
                  <c:v>77.382035070092599</c:v>
                </c:pt>
                <c:pt idx="40">
                  <c:v>74.875026545828689</c:v>
                </c:pt>
                <c:pt idx="41">
                  <c:v>76.664478523780758</c:v>
                </c:pt>
                <c:pt idx="42">
                  <c:v>74.018844855930425</c:v>
                </c:pt>
                <c:pt idx="43">
                  <c:v>75.808544281706986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8-492A-8CAE-08BDB255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732864"/>
        <c:axId val="1351729504"/>
      </c:scatterChart>
      <c:valAx>
        <c:axId val="13517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Quarter from Q1 2012 to Q4 2021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29504"/>
        <c:crosses val="autoZero"/>
        <c:crossBetween val="midCat"/>
      </c:valAx>
      <c:valAx>
        <c:axId val="13517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73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Lothian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S08000024_Lothian!$A$3:$A$42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S08000024_Lothian!$H$3:$H$42</c:f>
              <c:numCache>
                <c:formatCode>0.00</c:formatCode>
                <c:ptCount val="40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81.748466257668724</c:v>
                </c:pt>
                <c:pt idx="33">
                  <c:v>82.417582417582409</c:v>
                </c:pt>
                <c:pt idx="34">
                  <c:v>83.712121212121218</c:v>
                </c:pt>
                <c:pt idx="35">
                  <c:v>86.486486486486484</c:v>
                </c:pt>
                <c:pt idx="36">
                  <c:v>82.736156351791536</c:v>
                </c:pt>
                <c:pt idx="37">
                  <c:v>85.348506401137982</c:v>
                </c:pt>
                <c:pt idx="38">
                  <c:v>85.126162018592296</c:v>
                </c:pt>
                <c:pt idx="39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E-4990-94D2-BF3BBCCC8E33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S08000024_Lothian!$I$47:$I$86</c:f>
              <c:numCache>
                <c:formatCode>0.00</c:formatCode>
                <c:ptCount val="40"/>
                <c:pt idx="0">
                  <c:v>95.296738091675721</c:v>
                </c:pt>
                <c:pt idx="1">
                  <c:v>94.892930559723084</c:v>
                </c:pt>
                <c:pt idx="2">
                  <c:v>94.489123027770432</c:v>
                </c:pt>
                <c:pt idx="3">
                  <c:v>94.085315495817795</c:v>
                </c:pt>
                <c:pt idx="4">
                  <c:v>93.681507963865158</c:v>
                </c:pt>
                <c:pt idx="5">
                  <c:v>93.277700431912507</c:v>
                </c:pt>
                <c:pt idx="6">
                  <c:v>92.87389289995987</c:v>
                </c:pt>
                <c:pt idx="7">
                  <c:v>92.470085368007233</c:v>
                </c:pt>
                <c:pt idx="8">
                  <c:v>92.066277836054596</c:v>
                </c:pt>
                <c:pt idx="9">
                  <c:v>91.662470304101959</c:v>
                </c:pt>
                <c:pt idx="10">
                  <c:v>91.258662772149307</c:v>
                </c:pt>
                <c:pt idx="11">
                  <c:v>90.85485524019667</c:v>
                </c:pt>
                <c:pt idx="12">
                  <c:v>90.451047708244033</c:v>
                </c:pt>
                <c:pt idx="13">
                  <c:v>90.047240176291382</c:v>
                </c:pt>
                <c:pt idx="14">
                  <c:v>89.643432644338745</c:v>
                </c:pt>
                <c:pt idx="15">
                  <c:v>89.239625112386108</c:v>
                </c:pt>
                <c:pt idx="16">
                  <c:v>88.835817580433471</c:v>
                </c:pt>
                <c:pt idx="17">
                  <c:v>88.432010048480834</c:v>
                </c:pt>
                <c:pt idx="18">
                  <c:v>88.028202516528182</c:v>
                </c:pt>
                <c:pt idx="19">
                  <c:v>87.624394984575545</c:v>
                </c:pt>
                <c:pt idx="20">
                  <c:v>87.220587452622908</c:v>
                </c:pt>
                <c:pt idx="21">
                  <c:v>86.816779920670257</c:v>
                </c:pt>
                <c:pt idx="22">
                  <c:v>86.41297238871762</c:v>
                </c:pt>
                <c:pt idx="23">
                  <c:v>86.009164856764983</c:v>
                </c:pt>
                <c:pt idx="24">
                  <c:v>85.605357324812346</c:v>
                </c:pt>
                <c:pt idx="25">
                  <c:v>85.201549792859709</c:v>
                </c:pt>
                <c:pt idx="26">
                  <c:v>84.797742260907057</c:v>
                </c:pt>
                <c:pt idx="27">
                  <c:v>84.39393472895442</c:v>
                </c:pt>
                <c:pt idx="28">
                  <c:v>83.990127197001783</c:v>
                </c:pt>
                <c:pt idx="29">
                  <c:v>83.586319665049132</c:v>
                </c:pt>
                <c:pt idx="30">
                  <c:v>83.182512133096495</c:v>
                </c:pt>
                <c:pt idx="31">
                  <c:v>82.778704601143858</c:v>
                </c:pt>
                <c:pt idx="32">
                  <c:v>82.374897069191221</c:v>
                </c:pt>
                <c:pt idx="33">
                  <c:v>81.971089537238583</c:v>
                </c:pt>
                <c:pt idx="34">
                  <c:v>81.567282005285932</c:v>
                </c:pt>
                <c:pt idx="35">
                  <c:v>81.163474473333295</c:v>
                </c:pt>
                <c:pt idx="36">
                  <c:v>80.759666941380658</c:v>
                </c:pt>
                <c:pt idx="37">
                  <c:v>80.355859409428007</c:v>
                </c:pt>
                <c:pt idx="38">
                  <c:v>79.95205187747537</c:v>
                </c:pt>
                <c:pt idx="39">
                  <c:v>79.548244345522733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EE-4990-94D2-BF3BBCCC8E33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S08000024_Lothian!$M$95:$M$138</c:f>
              <c:numCache>
                <c:formatCode>0.00</c:formatCode>
                <c:ptCount val="44"/>
                <c:pt idx="0">
                  <c:v>95.153125276703832</c:v>
                </c:pt>
                <c:pt idx="1">
                  <c:v>94.333187686507387</c:v>
                </c:pt>
                <c:pt idx="2">
                  <c:v>94.551469140592928</c:v>
                </c:pt>
                <c:pt idx="3">
                  <c:v>94.981407027501376</c:v>
                </c:pt>
                <c:pt idx="4">
                  <c:v>93.523723929097798</c:v>
                </c:pt>
                <c:pt idx="5">
                  <c:v>92.703786338901352</c:v>
                </c:pt>
                <c:pt idx="6">
                  <c:v>92.922067792986894</c:v>
                </c:pt>
                <c:pt idx="7">
                  <c:v>93.352005679895342</c:v>
                </c:pt>
                <c:pt idx="8">
                  <c:v>91.894322581491764</c:v>
                </c:pt>
                <c:pt idx="9">
                  <c:v>91.074384991295318</c:v>
                </c:pt>
                <c:pt idx="10">
                  <c:v>91.29266644538086</c:v>
                </c:pt>
                <c:pt idx="11">
                  <c:v>91.722604332289308</c:v>
                </c:pt>
                <c:pt idx="12">
                  <c:v>90.26492123388573</c:v>
                </c:pt>
                <c:pt idx="13">
                  <c:v>89.444983643689284</c:v>
                </c:pt>
                <c:pt idx="14">
                  <c:v>89.663265097774826</c:v>
                </c:pt>
                <c:pt idx="15">
                  <c:v>90.093202984683273</c:v>
                </c:pt>
                <c:pt idx="16">
                  <c:v>88.635519886279695</c:v>
                </c:pt>
                <c:pt idx="17">
                  <c:v>87.81558229608325</c:v>
                </c:pt>
                <c:pt idx="18">
                  <c:v>88.033863750168791</c:v>
                </c:pt>
                <c:pt idx="19">
                  <c:v>88.463801637077239</c:v>
                </c:pt>
                <c:pt idx="20">
                  <c:v>87.006118538673661</c:v>
                </c:pt>
                <c:pt idx="21">
                  <c:v>86.186180948477215</c:v>
                </c:pt>
                <c:pt idx="22">
                  <c:v>86.404462402562757</c:v>
                </c:pt>
                <c:pt idx="23">
                  <c:v>86.834400289471205</c:v>
                </c:pt>
                <c:pt idx="24">
                  <c:v>85.376717191067627</c:v>
                </c:pt>
                <c:pt idx="25">
                  <c:v>84.556779600871181</c:v>
                </c:pt>
                <c:pt idx="26">
                  <c:v>84.775061054956723</c:v>
                </c:pt>
                <c:pt idx="27">
                  <c:v>85.204998941865171</c:v>
                </c:pt>
                <c:pt idx="28">
                  <c:v>83.747315843461593</c:v>
                </c:pt>
                <c:pt idx="29">
                  <c:v>82.927378253265147</c:v>
                </c:pt>
                <c:pt idx="30">
                  <c:v>83.145659707350688</c:v>
                </c:pt>
                <c:pt idx="31">
                  <c:v>83.575597594259136</c:v>
                </c:pt>
                <c:pt idx="32">
                  <c:v>82.117914495855558</c:v>
                </c:pt>
                <c:pt idx="33">
                  <c:v>81.297976905659112</c:v>
                </c:pt>
                <c:pt idx="34">
                  <c:v>81.516258359744654</c:v>
                </c:pt>
                <c:pt idx="35">
                  <c:v>81.946196246653102</c:v>
                </c:pt>
                <c:pt idx="36">
                  <c:v>80.488513148249524</c:v>
                </c:pt>
                <c:pt idx="37">
                  <c:v>79.668575558053078</c:v>
                </c:pt>
                <c:pt idx="38">
                  <c:v>79.88685701213862</c:v>
                </c:pt>
                <c:pt idx="39">
                  <c:v>80.316794899047068</c:v>
                </c:pt>
                <c:pt idx="40">
                  <c:v>78.85911180064349</c:v>
                </c:pt>
                <c:pt idx="41">
                  <c:v>78.039174210447044</c:v>
                </c:pt>
                <c:pt idx="42">
                  <c:v>78.257455664532586</c:v>
                </c:pt>
                <c:pt idx="43">
                  <c:v>78.687393551441033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EE-4990-94D2-BF3BBCCC8E33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S08000024_Lothian!$I$151:$I$190</c:f>
              <c:numCache>
                <c:formatCode>0.00</c:formatCode>
                <c:ptCount val="40"/>
                <c:pt idx="0">
                  <c:v>94.642857142857139</c:v>
                </c:pt>
                <c:pt idx="1">
                  <c:v>92.548986101617686</c:v>
                </c:pt>
                <c:pt idx="2">
                  <c:v>90.578173288699617</c:v>
                </c:pt>
                <c:pt idx="3">
                  <c:v>94.591980497870424</c:v>
                </c:pt>
                <c:pt idx="4">
                  <c:v>94.684819457238319</c:v>
                </c:pt>
                <c:pt idx="5">
                  <c:v>94.310098219805866</c:v>
                </c:pt>
                <c:pt idx="6">
                  <c:v>95.330610475879666</c:v>
                </c:pt>
                <c:pt idx="7">
                  <c:v>94.57767325029144</c:v>
                </c:pt>
                <c:pt idx="8">
                  <c:v>91.502407236930878</c:v>
                </c:pt>
                <c:pt idx="9">
                  <c:v>92.113431087673959</c:v>
                </c:pt>
                <c:pt idx="10">
                  <c:v>93.644266178999146</c:v>
                </c:pt>
                <c:pt idx="11">
                  <c:v>93.808218315164908</c:v>
                </c:pt>
                <c:pt idx="12">
                  <c:v>92.7033912358485</c:v>
                </c:pt>
                <c:pt idx="13">
                  <c:v>92.31845602494748</c:v>
                </c:pt>
                <c:pt idx="14">
                  <c:v>92.642795682601431</c:v>
                </c:pt>
                <c:pt idx="15">
                  <c:v>91.380270163136259</c:v>
                </c:pt>
                <c:pt idx="16">
                  <c:v>90.618212892097716</c:v>
                </c:pt>
                <c:pt idx="17">
                  <c:v>91.286035740812707</c:v>
                </c:pt>
                <c:pt idx="18">
                  <c:v>88.216721318203028</c:v>
                </c:pt>
                <c:pt idx="19">
                  <c:v>83.717418337714676</c:v>
                </c:pt>
                <c:pt idx="20">
                  <c:v>86.840195466382397</c:v>
                </c:pt>
                <c:pt idx="21">
                  <c:v>85.865615829948524</c:v>
                </c:pt>
                <c:pt idx="22">
                  <c:v>86.406768025802791</c:v>
                </c:pt>
                <c:pt idx="23">
                  <c:v>88.724477544040013</c:v>
                </c:pt>
                <c:pt idx="24">
                  <c:v>85.767076654833886</c:v>
                </c:pt>
                <c:pt idx="25">
                  <c:v>81.768799946351407</c:v>
                </c:pt>
                <c:pt idx="26">
                  <c:v>79.316722952233249</c:v>
                </c:pt>
                <c:pt idx="27">
                  <c:v>79.911682959026706</c:v>
                </c:pt>
                <c:pt idx="28">
                  <c:v>78.490811168076533</c:v>
                </c:pt>
                <c:pt idx="29">
                  <c:v>74.632713222960817</c:v>
                </c:pt>
                <c:pt idx="30">
                  <c:v>77.515447338760026</c:v>
                </c:pt>
                <c:pt idx="31">
                  <c:v>79.724969282852172</c:v>
                </c:pt>
                <c:pt idx="32">
                  <c:v>81.343766862705422</c:v>
                </c:pt>
                <c:pt idx="33">
                  <c:v>82.202819306607012</c:v>
                </c:pt>
                <c:pt idx="34">
                  <c:v>83.410260831018377</c:v>
                </c:pt>
                <c:pt idx="35">
                  <c:v>85.871241355392868</c:v>
                </c:pt>
                <c:pt idx="36">
                  <c:v>83.363173352511794</c:v>
                </c:pt>
                <c:pt idx="37">
                  <c:v>84.951439791412753</c:v>
                </c:pt>
                <c:pt idx="38">
                  <c:v>85.091217573156385</c:v>
                </c:pt>
                <c:pt idx="39">
                  <c:v>83.31547273377484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EE-4990-94D2-BF3BBCCC8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7072"/>
        <c:axId val="65307552"/>
      </c:scatterChart>
      <c:valAx>
        <c:axId val="6530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7552"/>
        <c:crosses val="autoZero"/>
        <c:crossBetween val="midCat"/>
      </c:valAx>
      <c:valAx>
        <c:axId val="653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Original a</a:t>
            </a:r>
            <a:r>
              <a:rPr lang="en-IN" baseline="0"/>
              <a:t>nd Chosen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S08000024_Lothian!$H$2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S08000024_Lothian!$A$3:$A$42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S08000024_Lothian!$H$3:$H$42</c:f>
              <c:numCache>
                <c:formatCode>0.00</c:formatCode>
                <c:ptCount val="40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81.748466257668724</c:v>
                </c:pt>
                <c:pt idx="33">
                  <c:v>82.417582417582409</c:v>
                </c:pt>
                <c:pt idx="34">
                  <c:v>83.712121212121218</c:v>
                </c:pt>
                <c:pt idx="35">
                  <c:v>86.486486486486484</c:v>
                </c:pt>
                <c:pt idx="36">
                  <c:v>82.736156351791536</c:v>
                </c:pt>
                <c:pt idx="37">
                  <c:v>85.348506401137982</c:v>
                </c:pt>
                <c:pt idx="38">
                  <c:v>85.126162018592296</c:v>
                </c:pt>
                <c:pt idx="39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6-4637-B249-5620198AD97B}"/>
            </c:ext>
          </c:extLst>
        </c:ser>
        <c:ser>
          <c:idx val="1"/>
          <c:order val="1"/>
          <c:tx>
            <c:v>Chosen Forecast Exponential Smoothing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S08000024_Lothian!$I$151:$I$190</c:f>
              <c:numCache>
                <c:formatCode>0.00</c:formatCode>
                <c:ptCount val="40"/>
                <c:pt idx="0">
                  <c:v>94.642857142857139</c:v>
                </c:pt>
                <c:pt idx="1">
                  <c:v>92.548986101617686</c:v>
                </c:pt>
                <c:pt idx="2">
                  <c:v>90.578173288699617</c:v>
                </c:pt>
                <c:pt idx="3">
                  <c:v>94.591980497870424</c:v>
                </c:pt>
                <c:pt idx="4">
                  <c:v>94.684819457238319</c:v>
                </c:pt>
                <c:pt idx="5">
                  <c:v>94.310098219805866</c:v>
                </c:pt>
                <c:pt idx="6">
                  <c:v>95.330610475879666</c:v>
                </c:pt>
                <c:pt idx="7">
                  <c:v>94.57767325029144</c:v>
                </c:pt>
                <c:pt idx="8">
                  <c:v>91.502407236930878</c:v>
                </c:pt>
                <c:pt idx="9">
                  <c:v>92.113431087673959</c:v>
                </c:pt>
                <c:pt idx="10">
                  <c:v>93.644266178999146</c:v>
                </c:pt>
                <c:pt idx="11">
                  <c:v>93.808218315164908</c:v>
                </c:pt>
                <c:pt idx="12">
                  <c:v>92.7033912358485</c:v>
                </c:pt>
                <c:pt idx="13">
                  <c:v>92.31845602494748</c:v>
                </c:pt>
                <c:pt idx="14">
                  <c:v>92.642795682601431</c:v>
                </c:pt>
                <c:pt idx="15">
                  <c:v>91.380270163136259</c:v>
                </c:pt>
                <c:pt idx="16">
                  <c:v>90.618212892097716</c:v>
                </c:pt>
                <c:pt idx="17">
                  <c:v>91.286035740812707</c:v>
                </c:pt>
                <c:pt idx="18">
                  <c:v>88.216721318203028</c:v>
                </c:pt>
                <c:pt idx="19">
                  <c:v>83.717418337714676</c:v>
                </c:pt>
                <c:pt idx="20">
                  <c:v>86.840195466382397</c:v>
                </c:pt>
                <c:pt idx="21">
                  <c:v>85.865615829948524</c:v>
                </c:pt>
                <c:pt idx="22">
                  <c:v>86.406768025802791</c:v>
                </c:pt>
                <c:pt idx="23">
                  <c:v>88.724477544040013</c:v>
                </c:pt>
                <c:pt idx="24">
                  <c:v>85.767076654833886</c:v>
                </c:pt>
                <c:pt idx="25">
                  <c:v>81.768799946351407</c:v>
                </c:pt>
                <c:pt idx="26">
                  <c:v>79.316722952233249</c:v>
                </c:pt>
                <c:pt idx="27">
                  <c:v>79.911682959026706</c:v>
                </c:pt>
                <c:pt idx="28">
                  <c:v>78.490811168076533</c:v>
                </c:pt>
                <c:pt idx="29">
                  <c:v>74.632713222960817</c:v>
                </c:pt>
                <c:pt idx="30">
                  <c:v>77.515447338760026</c:v>
                </c:pt>
                <c:pt idx="31">
                  <c:v>79.724969282852172</c:v>
                </c:pt>
                <c:pt idx="32">
                  <c:v>81.343766862705422</c:v>
                </c:pt>
                <c:pt idx="33">
                  <c:v>82.202819306607012</c:v>
                </c:pt>
                <c:pt idx="34">
                  <c:v>83.410260831018377</c:v>
                </c:pt>
                <c:pt idx="35">
                  <c:v>85.871241355392868</c:v>
                </c:pt>
                <c:pt idx="36">
                  <c:v>83.363173352511794</c:v>
                </c:pt>
                <c:pt idx="37">
                  <c:v>84.951439791412753</c:v>
                </c:pt>
                <c:pt idx="38">
                  <c:v>85.091217573156385</c:v>
                </c:pt>
                <c:pt idx="39">
                  <c:v>83.31547273377484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6-4637-B249-5620198AD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14656"/>
        <c:axId val="160015136"/>
      </c:scatterChart>
      <c:valAx>
        <c:axId val="1600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Quarter Q1 2012 to Q4 2021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5136"/>
        <c:crosses val="autoZero"/>
        <c:crossBetween val="midCat"/>
      </c:valAx>
      <c:valAx>
        <c:axId val="1600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Tayside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S08000030_Tayside!$A$3:$A$42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S08000030_Tayside!$H$3:$H$42</c:f>
              <c:numCache>
                <c:formatCode>0.00</c:formatCode>
                <c:ptCount val="40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91.904761904761898</c:v>
                </c:pt>
                <c:pt idx="33">
                  <c:v>89.142857142857139</c:v>
                </c:pt>
                <c:pt idx="34">
                  <c:v>97.252747252747255</c:v>
                </c:pt>
                <c:pt idx="35">
                  <c:v>97.560975609756099</c:v>
                </c:pt>
                <c:pt idx="36">
                  <c:v>93.782383419689126</c:v>
                </c:pt>
                <c:pt idx="37">
                  <c:v>90.909090909090907</c:v>
                </c:pt>
                <c:pt idx="38">
                  <c:v>92.857142857142861</c:v>
                </c:pt>
                <c:pt idx="39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D-45C8-B9C1-DEBD2A14D1AA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S08000030_Tayside!$I$47:$I$86</c:f>
              <c:numCache>
                <c:formatCode>0.00</c:formatCode>
                <c:ptCount val="40"/>
                <c:pt idx="0">
                  <c:v>93.38699440303337</c:v>
                </c:pt>
                <c:pt idx="1">
                  <c:v>93.289542143400482</c:v>
                </c:pt>
                <c:pt idx="2">
                  <c:v>93.192089883767608</c:v>
                </c:pt>
                <c:pt idx="3">
                  <c:v>93.094637624134734</c:v>
                </c:pt>
                <c:pt idx="4">
                  <c:v>92.997185364501846</c:v>
                </c:pt>
                <c:pt idx="5">
                  <c:v>92.899733104868972</c:v>
                </c:pt>
                <c:pt idx="6">
                  <c:v>92.802280845236098</c:v>
                </c:pt>
                <c:pt idx="7">
                  <c:v>92.704828585603209</c:v>
                </c:pt>
                <c:pt idx="8">
                  <c:v>92.607376325970336</c:v>
                </c:pt>
                <c:pt idx="9">
                  <c:v>92.509924066337462</c:v>
                </c:pt>
                <c:pt idx="10">
                  <c:v>92.412471806704573</c:v>
                </c:pt>
                <c:pt idx="11">
                  <c:v>92.315019547071699</c:v>
                </c:pt>
                <c:pt idx="12">
                  <c:v>92.217567287438811</c:v>
                </c:pt>
                <c:pt idx="13">
                  <c:v>92.120115027805937</c:v>
                </c:pt>
                <c:pt idx="14">
                  <c:v>92.022662768173063</c:v>
                </c:pt>
                <c:pt idx="15">
                  <c:v>91.925210508540175</c:v>
                </c:pt>
                <c:pt idx="16">
                  <c:v>91.827758248907301</c:v>
                </c:pt>
                <c:pt idx="17">
                  <c:v>91.730305989274427</c:v>
                </c:pt>
                <c:pt idx="18">
                  <c:v>91.632853729641539</c:v>
                </c:pt>
                <c:pt idx="19">
                  <c:v>91.535401470008665</c:v>
                </c:pt>
                <c:pt idx="20">
                  <c:v>91.437949210375791</c:v>
                </c:pt>
                <c:pt idx="21">
                  <c:v>91.340496950742903</c:v>
                </c:pt>
                <c:pt idx="22">
                  <c:v>91.243044691110029</c:v>
                </c:pt>
                <c:pt idx="23">
                  <c:v>91.145592431477155</c:v>
                </c:pt>
                <c:pt idx="24">
                  <c:v>91.048140171844267</c:v>
                </c:pt>
                <c:pt idx="25">
                  <c:v>90.950687912211393</c:v>
                </c:pt>
                <c:pt idx="26">
                  <c:v>90.853235652578519</c:v>
                </c:pt>
                <c:pt idx="27">
                  <c:v>90.755783392945631</c:v>
                </c:pt>
                <c:pt idx="28">
                  <c:v>90.658331133312757</c:v>
                </c:pt>
                <c:pt idx="29">
                  <c:v>90.560878873679883</c:v>
                </c:pt>
                <c:pt idx="30">
                  <c:v>90.463426614046995</c:v>
                </c:pt>
                <c:pt idx="31">
                  <c:v>90.365974354414121</c:v>
                </c:pt>
                <c:pt idx="32">
                  <c:v>90.268522094781247</c:v>
                </c:pt>
                <c:pt idx="33">
                  <c:v>90.171069835148359</c:v>
                </c:pt>
                <c:pt idx="34">
                  <c:v>90.073617575515485</c:v>
                </c:pt>
                <c:pt idx="35">
                  <c:v>89.976165315882611</c:v>
                </c:pt>
                <c:pt idx="36">
                  <c:v>89.878713056249723</c:v>
                </c:pt>
                <c:pt idx="37">
                  <c:v>89.781260796616849</c:v>
                </c:pt>
                <c:pt idx="38">
                  <c:v>89.68380853698396</c:v>
                </c:pt>
                <c:pt idx="39">
                  <c:v>89.586356277351086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D-45C8-B9C1-DEBD2A14D1AA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S08000030_Tayside!$M$94:$M$137</c:f>
              <c:numCache>
                <c:formatCode>0.00</c:formatCode>
                <c:ptCount val="44"/>
                <c:pt idx="0">
                  <c:v>93.248581062357914</c:v>
                </c:pt>
                <c:pt idx="1">
                  <c:v>93.379035115502177</c:v>
                </c:pt>
                <c:pt idx="2">
                  <c:v>93.414345094410336</c:v>
                </c:pt>
                <c:pt idx="3">
                  <c:v>92.923702587868007</c:v>
                </c:pt>
                <c:pt idx="4">
                  <c:v>92.858638701281819</c:v>
                </c:pt>
                <c:pt idx="5">
                  <c:v>92.989092754426096</c:v>
                </c:pt>
                <c:pt idx="6">
                  <c:v>93.024402733334242</c:v>
                </c:pt>
                <c:pt idx="7">
                  <c:v>92.533760226791927</c:v>
                </c:pt>
                <c:pt idx="8">
                  <c:v>92.468696340205724</c:v>
                </c:pt>
                <c:pt idx="9">
                  <c:v>92.599150393350001</c:v>
                </c:pt>
                <c:pt idx="10">
                  <c:v>92.634460372258161</c:v>
                </c:pt>
                <c:pt idx="11">
                  <c:v>92.143817865715832</c:v>
                </c:pt>
                <c:pt idx="12">
                  <c:v>92.078753979129644</c:v>
                </c:pt>
                <c:pt idx="13">
                  <c:v>92.209208032273921</c:v>
                </c:pt>
                <c:pt idx="14">
                  <c:v>92.244518011182066</c:v>
                </c:pt>
                <c:pt idx="15">
                  <c:v>91.753875504639751</c:v>
                </c:pt>
                <c:pt idx="16">
                  <c:v>91.688811618053549</c:v>
                </c:pt>
                <c:pt idx="17">
                  <c:v>91.819265671197826</c:v>
                </c:pt>
                <c:pt idx="18">
                  <c:v>91.854575650105986</c:v>
                </c:pt>
                <c:pt idx="19">
                  <c:v>91.363933143563656</c:v>
                </c:pt>
                <c:pt idx="20">
                  <c:v>91.298869256977468</c:v>
                </c:pt>
                <c:pt idx="21">
                  <c:v>91.429323310121731</c:v>
                </c:pt>
                <c:pt idx="22">
                  <c:v>91.464633289029891</c:v>
                </c:pt>
                <c:pt idx="23">
                  <c:v>90.973990782487576</c:v>
                </c:pt>
                <c:pt idx="24">
                  <c:v>90.908926895901374</c:v>
                </c:pt>
                <c:pt idx="25">
                  <c:v>91.03938094904565</c:v>
                </c:pt>
                <c:pt idx="26">
                  <c:v>91.074690927953796</c:v>
                </c:pt>
                <c:pt idx="27">
                  <c:v>90.584048421411481</c:v>
                </c:pt>
                <c:pt idx="28">
                  <c:v>90.518984534825293</c:v>
                </c:pt>
                <c:pt idx="29">
                  <c:v>90.649438587969556</c:v>
                </c:pt>
                <c:pt idx="30">
                  <c:v>90.684748566877715</c:v>
                </c:pt>
                <c:pt idx="31">
                  <c:v>90.1941060603354</c:v>
                </c:pt>
                <c:pt idx="32">
                  <c:v>90.129042173749198</c:v>
                </c:pt>
                <c:pt idx="33">
                  <c:v>90.259496226893475</c:v>
                </c:pt>
                <c:pt idx="34">
                  <c:v>90.294806205801621</c:v>
                </c:pt>
                <c:pt idx="35">
                  <c:v>89.804163699259306</c:v>
                </c:pt>
                <c:pt idx="36">
                  <c:v>89.739099812673118</c:v>
                </c:pt>
                <c:pt idx="37">
                  <c:v>89.86955386581738</c:v>
                </c:pt>
                <c:pt idx="38">
                  <c:v>89.90486384472554</c:v>
                </c:pt>
                <c:pt idx="39">
                  <c:v>89.414221338183211</c:v>
                </c:pt>
                <c:pt idx="40">
                  <c:v>89.349157451597023</c:v>
                </c:pt>
                <c:pt idx="41">
                  <c:v>89.4796115047413</c:v>
                </c:pt>
                <c:pt idx="42">
                  <c:v>89.514921483649445</c:v>
                </c:pt>
                <c:pt idx="43">
                  <c:v>89.02427897710713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5D-45C8-B9C1-DEBD2A14D1AA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S08000030_Tayside!$I$149:$I$188</c:f>
              <c:numCache>
                <c:formatCode>0.00</c:formatCode>
                <c:ptCount val="40"/>
                <c:pt idx="0">
                  <c:v>95.927601809954751</c:v>
                </c:pt>
                <c:pt idx="1">
                  <c:v>96.561085972850663</c:v>
                </c:pt>
                <c:pt idx="2">
                  <c:v>95.634992458521864</c:v>
                </c:pt>
                <c:pt idx="3">
                  <c:v>95.571685856368447</c:v>
                </c:pt>
                <c:pt idx="4">
                  <c:v>93.920374535191073</c:v>
                </c:pt>
                <c:pt idx="5">
                  <c:v>94.303771935025409</c:v>
                </c:pt>
                <c:pt idx="6">
                  <c:v>95.491131580507613</c:v>
                </c:pt>
                <c:pt idx="7">
                  <c:v>91.904220208097243</c:v>
                </c:pt>
                <c:pt idx="8">
                  <c:v>91.327134607030118</c:v>
                </c:pt>
                <c:pt idx="9">
                  <c:v>93.761776745745408</c:v>
                </c:pt>
                <c:pt idx="10">
                  <c:v>96.579860457351941</c:v>
                </c:pt>
                <c:pt idx="11">
                  <c:v>96.834220145939213</c:v>
                </c:pt>
                <c:pt idx="12">
                  <c:v>93.247157235491613</c:v>
                </c:pt>
                <c:pt idx="13">
                  <c:v>92.844836825819897</c:v>
                </c:pt>
                <c:pt idx="14">
                  <c:v>88.153076515910769</c:v>
                </c:pt>
                <c:pt idx="15">
                  <c:v>88.507778624876323</c:v>
                </c:pt>
                <c:pt idx="16">
                  <c:v>91.239833587462897</c:v>
                </c:pt>
                <c:pt idx="17">
                  <c:v>90.099222803511594</c:v>
                </c:pt>
                <c:pt idx="18">
                  <c:v>85.108369461140811</c:v>
                </c:pt>
                <c:pt idx="19">
                  <c:v>86.551378762870542</c:v>
                </c:pt>
                <c:pt idx="20">
                  <c:v>88.883701566604358</c:v>
                </c:pt>
                <c:pt idx="21">
                  <c:v>89.908353713224557</c:v>
                </c:pt>
                <c:pt idx="22">
                  <c:v>89.72250611396737</c:v>
                </c:pt>
                <c:pt idx="23">
                  <c:v>89.497396995480528</c:v>
                </c:pt>
                <c:pt idx="24">
                  <c:v>87.343046259137978</c:v>
                </c:pt>
                <c:pt idx="25">
                  <c:v>87.754638015672427</c:v>
                </c:pt>
                <c:pt idx="26">
                  <c:v>84.753810759540443</c:v>
                </c:pt>
                <c:pt idx="27">
                  <c:v>83.474923715667003</c:v>
                </c:pt>
                <c:pt idx="28">
                  <c:v>87.067793570396304</c:v>
                </c:pt>
                <c:pt idx="29">
                  <c:v>88.787004737785566</c:v>
                </c:pt>
                <c:pt idx="30">
                  <c:v>93.302768088002324</c:v>
                </c:pt>
                <c:pt idx="31">
                  <c:v>94.442443329626514</c:v>
                </c:pt>
                <c:pt idx="32">
                  <c:v>92.666066332221291</c:v>
                </c:pt>
                <c:pt idx="33">
                  <c:v>90.19981989966638</c:v>
                </c:pt>
                <c:pt idx="34">
                  <c:v>95.136869046822994</c:v>
                </c:pt>
                <c:pt idx="35">
                  <c:v>96.833743640876165</c:v>
                </c:pt>
                <c:pt idx="36">
                  <c:v>94.697791486045233</c:v>
                </c:pt>
                <c:pt idx="37">
                  <c:v>92.045701082177203</c:v>
                </c:pt>
                <c:pt idx="38">
                  <c:v>92.613710324653169</c:v>
                </c:pt>
                <c:pt idx="39">
                  <c:v>89.514070903303121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5D-45C8-B9C1-DEBD2A14D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722480"/>
        <c:axId val="494719600"/>
      </c:scatterChart>
      <c:valAx>
        <c:axId val="49472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19600"/>
        <c:crosses val="autoZero"/>
        <c:crossBetween val="midCat"/>
      </c:valAx>
      <c:valAx>
        <c:axId val="494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2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Original Data and</a:t>
            </a:r>
            <a:r>
              <a:rPr lang="en-IN" baseline="0"/>
              <a:t> </a:t>
            </a:r>
            <a:r>
              <a:rPr lang="en-IN"/>
              <a:t>Chosen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S08000030_Tayside!$H$2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S08000030_Tayside!$A$3:$A$42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S08000030_Tayside!$H$3:$H$42</c:f>
              <c:numCache>
                <c:formatCode>0.00</c:formatCode>
                <c:ptCount val="40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91.904761904761898</c:v>
                </c:pt>
                <c:pt idx="33">
                  <c:v>89.142857142857139</c:v>
                </c:pt>
                <c:pt idx="34">
                  <c:v>97.252747252747255</c:v>
                </c:pt>
                <c:pt idx="35">
                  <c:v>97.560975609756099</c:v>
                </c:pt>
                <c:pt idx="36">
                  <c:v>93.782383419689126</c:v>
                </c:pt>
                <c:pt idx="37">
                  <c:v>90.909090909090907</c:v>
                </c:pt>
                <c:pt idx="38">
                  <c:v>92.857142857142861</c:v>
                </c:pt>
                <c:pt idx="39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D-4BCF-943E-29EF2F543781}"/>
            </c:ext>
          </c:extLst>
        </c:ser>
        <c:ser>
          <c:idx val="1"/>
          <c:order val="1"/>
          <c:tx>
            <c:v>Chosen Forecast Exponential Smoothing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S08000030_Tayside!$I$149:$I$188</c:f>
              <c:numCache>
                <c:formatCode>0.00</c:formatCode>
                <c:ptCount val="40"/>
                <c:pt idx="0">
                  <c:v>95.927601809954751</c:v>
                </c:pt>
                <c:pt idx="1">
                  <c:v>96.561085972850663</c:v>
                </c:pt>
                <c:pt idx="2">
                  <c:v>95.634992458521864</c:v>
                </c:pt>
                <c:pt idx="3">
                  <c:v>95.571685856368447</c:v>
                </c:pt>
                <c:pt idx="4">
                  <c:v>93.920374535191073</c:v>
                </c:pt>
                <c:pt idx="5">
                  <c:v>94.303771935025409</c:v>
                </c:pt>
                <c:pt idx="6">
                  <c:v>95.491131580507613</c:v>
                </c:pt>
                <c:pt idx="7">
                  <c:v>91.904220208097243</c:v>
                </c:pt>
                <c:pt idx="8">
                  <c:v>91.327134607030118</c:v>
                </c:pt>
                <c:pt idx="9">
                  <c:v>93.761776745745408</c:v>
                </c:pt>
                <c:pt idx="10">
                  <c:v>96.579860457351941</c:v>
                </c:pt>
                <c:pt idx="11">
                  <c:v>96.834220145939213</c:v>
                </c:pt>
                <c:pt idx="12">
                  <c:v>93.247157235491613</c:v>
                </c:pt>
                <c:pt idx="13">
                  <c:v>92.844836825819897</c:v>
                </c:pt>
                <c:pt idx="14">
                  <c:v>88.153076515910769</c:v>
                </c:pt>
                <c:pt idx="15">
                  <c:v>88.507778624876323</c:v>
                </c:pt>
                <c:pt idx="16">
                  <c:v>91.239833587462897</c:v>
                </c:pt>
                <c:pt idx="17">
                  <c:v>90.099222803511594</c:v>
                </c:pt>
                <c:pt idx="18">
                  <c:v>85.108369461140811</c:v>
                </c:pt>
                <c:pt idx="19">
                  <c:v>86.551378762870542</c:v>
                </c:pt>
                <c:pt idx="20">
                  <c:v>88.883701566604358</c:v>
                </c:pt>
                <c:pt idx="21">
                  <c:v>89.908353713224557</c:v>
                </c:pt>
                <c:pt idx="22">
                  <c:v>89.72250611396737</c:v>
                </c:pt>
                <c:pt idx="23">
                  <c:v>89.497396995480528</c:v>
                </c:pt>
                <c:pt idx="24">
                  <c:v>87.343046259137978</c:v>
                </c:pt>
                <c:pt idx="25">
                  <c:v>87.754638015672427</c:v>
                </c:pt>
                <c:pt idx="26">
                  <c:v>84.753810759540443</c:v>
                </c:pt>
                <c:pt idx="27">
                  <c:v>83.474923715667003</c:v>
                </c:pt>
                <c:pt idx="28">
                  <c:v>87.067793570396304</c:v>
                </c:pt>
                <c:pt idx="29">
                  <c:v>88.787004737785566</c:v>
                </c:pt>
                <c:pt idx="30">
                  <c:v>93.302768088002324</c:v>
                </c:pt>
                <c:pt idx="31">
                  <c:v>94.442443329626514</c:v>
                </c:pt>
                <c:pt idx="32">
                  <c:v>92.666066332221291</c:v>
                </c:pt>
                <c:pt idx="33">
                  <c:v>90.19981989966638</c:v>
                </c:pt>
                <c:pt idx="34">
                  <c:v>95.136869046822994</c:v>
                </c:pt>
                <c:pt idx="35">
                  <c:v>96.833743640876165</c:v>
                </c:pt>
                <c:pt idx="36">
                  <c:v>94.697791486045233</c:v>
                </c:pt>
                <c:pt idx="37">
                  <c:v>92.045701082177203</c:v>
                </c:pt>
                <c:pt idx="38">
                  <c:v>92.613710324653169</c:v>
                </c:pt>
                <c:pt idx="39">
                  <c:v>89.514070903303121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D-4BCF-943E-29EF2F54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4672"/>
        <c:axId val="63195152"/>
      </c:scatterChart>
      <c:valAx>
        <c:axId val="6319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Quarted from Q1 2012 to Q4 2021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5152"/>
        <c:crosses val="autoZero"/>
        <c:crossBetween val="midCat"/>
      </c:valAx>
      <c:valAx>
        <c:axId val="631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0</xdr:row>
      <xdr:rowOff>177800</xdr:rowOff>
    </xdr:from>
    <xdr:to>
      <xdr:col>22</xdr:col>
      <xdr:colOff>376075</xdr:colOff>
      <xdr:row>37</xdr:row>
      <xdr:rowOff>58245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640046-A9E2-4665-B3C4-DE7BF2F90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511174</xdr:colOff>
      <xdr:row>1</xdr:row>
      <xdr:rowOff>177800</xdr:rowOff>
    </xdr:from>
    <xdr:to>
      <xdr:col>18</xdr:col>
      <xdr:colOff>253999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11DA5-59AF-F569-D773-096EBB654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79375</xdr:colOff>
      <xdr:row>25</xdr:row>
      <xdr:rowOff>88900</xdr:rowOff>
    </xdr:from>
    <xdr:to>
      <xdr:col>17</xdr:col>
      <xdr:colOff>384175</xdr:colOff>
      <xdr:row>43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B521D8-3065-5F29-0C59-909B22836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384174</xdr:colOff>
      <xdr:row>3</xdr:row>
      <xdr:rowOff>31750</xdr:rowOff>
    </xdr:from>
    <xdr:to>
      <xdr:col>17</xdr:col>
      <xdr:colOff>488950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3D033-A95B-500D-6FE6-55C3C0376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23</xdr:row>
      <xdr:rowOff>139700</xdr:rowOff>
    </xdr:from>
    <xdr:to>
      <xdr:col>17</xdr:col>
      <xdr:colOff>161925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24A64-190E-759A-94FB-362F9A9FF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352424</xdr:colOff>
      <xdr:row>2</xdr:row>
      <xdr:rowOff>44450</xdr:rowOff>
    </xdr:from>
    <xdr:to>
      <xdr:col>17</xdr:col>
      <xdr:colOff>171449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68F9A-7244-90AA-59D9-0CF9F224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327025</xdr:colOff>
      <xdr:row>23</xdr:row>
      <xdr:rowOff>12700</xdr:rowOff>
    </xdr:from>
    <xdr:to>
      <xdr:col>17</xdr:col>
      <xdr:colOff>22225</xdr:colOff>
      <xdr:row>37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060F3C-7330-60A0-73A9-83D1DDDA9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ha%20U\Desktop\DMU\Sem%202\BI%20Application\Assignments\Group%20Assignment'\Final%20Excel\cwt_62_day_standard_Cleaned.xlsx" TargetMode="External"/><Relationship Id="rId1" Type="http://schemas.openxmlformats.org/officeDocument/2006/relationships/externalLinkPath" Target="cwt_62_day_standard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DATA-&gt;"/>
      <sheetName val="cwt_62_day_standard"/>
      <sheetName val="hb14_hb19"/>
      <sheetName val="special-health-boards_19022021"/>
      <sheetName val="CLEANED DATA-&gt;"/>
      <sheetName val="Rows Deleted"/>
      <sheetName val="Filtered Data"/>
      <sheetName val="Sorted Data"/>
      <sheetName val="Removed Data"/>
      <sheetName val="Split"/>
      <sheetName val="HBT Name"/>
      <sheetName val="Period"/>
      <sheetName val="Final"/>
    </sheetNames>
    <sheetDataSet>
      <sheetData sheetId="0"/>
      <sheetData sheetId="1"/>
      <sheetData sheetId="2">
        <row r="1">
          <cell r="A1" t="str">
            <v>HB</v>
          </cell>
          <cell r="B1" t="str">
            <v>HBName</v>
          </cell>
          <cell r="C1" t="str">
            <v>HBDateEnacted</v>
          </cell>
          <cell r="D1" t="str">
            <v>HBDateArchived</v>
          </cell>
          <cell r="E1" t="str">
            <v>Country</v>
          </cell>
        </row>
        <row r="2">
          <cell r="A2" t="str">
            <v>S08000015</v>
          </cell>
          <cell r="B2" t="str">
            <v>NHS Ayrshire and Arran</v>
          </cell>
          <cell r="C2">
            <v>20140401</v>
          </cell>
          <cell r="E2" t="str">
            <v>S92000003</v>
          </cell>
        </row>
        <row r="3">
          <cell r="A3" t="str">
            <v>S08000016</v>
          </cell>
          <cell r="B3" t="str">
            <v>NHS Borders</v>
          </cell>
          <cell r="C3">
            <v>20140401</v>
          </cell>
          <cell r="E3" t="str">
            <v>S92000003</v>
          </cell>
        </row>
        <row r="4">
          <cell r="A4" t="str">
            <v>S08000017</v>
          </cell>
          <cell r="B4" t="str">
            <v>NHS Dumfries and Galloway</v>
          </cell>
          <cell r="C4">
            <v>20140401</v>
          </cell>
          <cell r="E4" t="str">
            <v>S92000003</v>
          </cell>
        </row>
        <row r="5">
          <cell r="A5" t="str">
            <v>S08000018</v>
          </cell>
          <cell r="B5" t="str">
            <v>NHS Fife</v>
          </cell>
          <cell r="C5">
            <v>20140401</v>
          </cell>
          <cell r="D5">
            <v>20180201</v>
          </cell>
          <cell r="E5" t="str">
            <v>S92000003</v>
          </cell>
        </row>
        <row r="6">
          <cell r="A6" t="str">
            <v>S08000019</v>
          </cell>
          <cell r="B6" t="str">
            <v>NHS Forth Valley</v>
          </cell>
          <cell r="C6">
            <v>20140401</v>
          </cell>
          <cell r="E6" t="str">
            <v>S92000003</v>
          </cell>
        </row>
        <row r="7">
          <cell r="A7" t="str">
            <v>S08000020</v>
          </cell>
          <cell r="B7" t="str">
            <v>NHS Grampian</v>
          </cell>
          <cell r="C7">
            <v>20140401</v>
          </cell>
          <cell r="E7" t="str">
            <v>S92000003</v>
          </cell>
        </row>
        <row r="8">
          <cell r="A8" t="str">
            <v>S08000021</v>
          </cell>
          <cell r="B8" t="str">
            <v>NHS Greater Glasgow and Clyde</v>
          </cell>
          <cell r="C8">
            <v>20140401</v>
          </cell>
          <cell r="D8">
            <v>20190331</v>
          </cell>
          <cell r="E8" t="str">
            <v>S92000003</v>
          </cell>
        </row>
        <row r="9">
          <cell r="A9" t="str">
            <v>S08000022</v>
          </cell>
          <cell r="B9" t="str">
            <v>NHS Highland</v>
          </cell>
          <cell r="C9">
            <v>20140401</v>
          </cell>
          <cell r="E9" t="str">
            <v>S92000003</v>
          </cell>
        </row>
        <row r="10">
          <cell r="A10" t="str">
            <v>S08000023</v>
          </cell>
          <cell r="B10" t="str">
            <v>NHS Lanarkshire</v>
          </cell>
          <cell r="C10">
            <v>20140401</v>
          </cell>
          <cell r="D10">
            <v>20190331</v>
          </cell>
          <cell r="E10" t="str">
            <v>S92000003</v>
          </cell>
        </row>
        <row r="11">
          <cell r="A11" t="str">
            <v>S08000024</v>
          </cell>
          <cell r="B11" t="str">
            <v>NHS Lothian</v>
          </cell>
          <cell r="C11">
            <v>20140401</v>
          </cell>
          <cell r="E11" t="str">
            <v>S92000003</v>
          </cell>
        </row>
        <row r="12">
          <cell r="A12" t="str">
            <v>S08000025</v>
          </cell>
          <cell r="B12" t="str">
            <v>NHS Orkney</v>
          </cell>
          <cell r="C12">
            <v>20140401</v>
          </cell>
          <cell r="E12" t="str">
            <v>S92000003</v>
          </cell>
        </row>
        <row r="13">
          <cell r="A13" t="str">
            <v>S08000026</v>
          </cell>
          <cell r="B13" t="str">
            <v>NHS Shetland</v>
          </cell>
          <cell r="C13">
            <v>20140401</v>
          </cell>
          <cell r="E13" t="str">
            <v>S92000003</v>
          </cell>
        </row>
        <row r="14">
          <cell r="A14" t="str">
            <v>S08000027</v>
          </cell>
          <cell r="B14" t="str">
            <v>NHS Tayside</v>
          </cell>
          <cell r="C14">
            <v>20140401</v>
          </cell>
          <cell r="D14">
            <v>20180201</v>
          </cell>
          <cell r="E14" t="str">
            <v>S92000003</v>
          </cell>
        </row>
        <row r="15">
          <cell r="A15" t="str">
            <v>S08000028</v>
          </cell>
          <cell r="B15" t="str">
            <v>NHS Western Isles</v>
          </cell>
          <cell r="C15">
            <v>20140401</v>
          </cell>
          <cell r="E15" t="str">
            <v>S92000003</v>
          </cell>
        </row>
        <row r="16">
          <cell r="A16" t="str">
            <v>S08000029</v>
          </cell>
          <cell r="B16" t="str">
            <v>NHS Fife</v>
          </cell>
          <cell r="C16">
            <v>20180202</v>
          </cell>
          <cell r="E16" t="str">
            <v>S92000003</v>
          </cell>
        </row>
        <row r="17">
          <cell r="A17" t="str">
            <v>S08000030</v>
          </cell>
          <cell r="B17" t="str">
            <v>NHS Tayside</v>
          </cell>
          <cell r="C17">
            <v>20180202</v>
          </cell>
          <cell r="E17" t="str">
            <v>S92000003</v>
          </cell>
        </row>
        <row r="18">
          <cell r="A18" t="str">
            <v>S08000031</v>
          </cell>
          <cell r="B18" t="str">
            <v>NHS Greater Glasgow and Clyde</v>
          </cell>
          <cell r="C18">
            <v>20190401</v>
          </cell>
          <cell r="E18" t="str">
            <v>S92000003</v>
          </cell>
        </row>
        <row r="19">
          <cell r="A19" t="str">
            <v>S08000032</v>
          </cell>
          <cell r="B19" t="str">
            <v>NHS Lanarkshire</v>
          </cell>
          <cell r="C19">
            <v>20190401</v>
          </cell>
          <cell r="E19" t="str">
            <v>S92000003</v>
          </cell>
        </row>
      </sheetData>
      <sheetData sheetId="3">
        <row r="1">
          <cell r="A1" t="str">
            <v>SHB</v>
          </cell>
          <cell r="B1" t="str">
            <v>SHBName</v>
          </cell>
          <cell r="C1" t="str">
            <v>Country</v>
          </cell>
        </row>
        <row r="2">
          <cell r="A2" t="str">
            <v>SB0801</v>
          </cell>
          <cell r="B2" t="str">
            <v>The Golden Jubilee National Hospital</v>
          </cell>
          <cell r="C2" t="str">
            <v>S92000003</v>
          </cell>
        </row>
        <row r="3">
          <cell r="A3" t="str">
            <v>SB0802</v>
          </cell>
          <cell r="B3" t="str">
            <v>State Hospitals Board for Scotland</v>
          </cell>
          <cell r="C3" t="str">
            <v>S92000003</v>
          </cell>
        </row>
        <row r="4">
          <cell r="A4" t="str">
            <v>SB0803</v>
          </cell>
          <cell r="B4" t="str">
            <v>NHS24</v>
          </cell>
          <cell r="C4" t="str">
            <v>S92000003</v>
          </cell>
        </row>
        <row r="5">
          <cell r="A5" t="str">
            <v>SB0804</v>
          </cell>
          <cell r="B5" t="str">
            <v>NHS Health Scotland</v>
          </cell>
          <cell r="C5" t="str">
            <v>S92000003</v>
          </cell>
        </row>
        <row r="6">
          <cell r="A6" t="str">
            <v>SB0805</v>
          </cell>
          <cell r="B6" t="str">
            <v>Healthcare Improvement Scotland</v>
          </cell>
          <cell r="C6" t="str">
            <v>S92000003</v>
          </cell>
        </row>
        <row r="7">
          <cell r="A7" t="str">
            <v>SB0806</v>
          </cell>
          <cell r="B7" t="str">
            <v>Scottish Ambulance Service</v>
          </cell>
          <cell r="C7" t="str">
            <v>S92000003</v>
          </cell>
        </row>
        <row r="8">
          <cell r="A8" t="str">
            <v>SB0807</v>
          </cell>
          <cell r="B8" t="str">
            <v>NHS Education for Scotland</v>
          </cell>
          <cell r="C8" t="str">
            <v>S92000003</v>
          </cell>
        </row>
        <row r="9">
          <cell r="A9" t="str">
            <v>SB0808</v>
          </cell>
          <cell r="B9" t="str">
            <v>NHS National Services Scotland</v>
          </cell>
          <cell r="C9" t="str">
            <v>S92000003</v>
          </cell>
        </row>
        <row r="10">
          <cell r="A10" t="str">
            <v>SN0811</v>
          </cell>
          <cell r="B10" t="str">
            <v xml:space="preserve">National Facility NHS Louisa Jordan </v>
          </cell>
          <cell r="C10" t="str">
            <v>S92000003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M2">
            <v>97.041420118343197</v>
          </cell>
        </row>
        <row r="3">
          <cell r="A3">
            <v>2</v>
          </cell>
          <cell r="M3">
            <v>97.044334975369466</v>
          </cell>
        </row>
        <row r="4">
          <cell r="A4">
            <v>3</v>
          </cell>
          <cell r="M4">
            <v>97.014925373134332</v>
          </cell>
        </row>
        <row r="5">
          <cell r="A5">
            <v>4</v>
          </cell>
          <cell r="M5">
            <v>96.36363636363636</v>
          </cell>
        </row>
        <row r="6">
          <cell r="A6">
            <v>5</v>
          </cell>
          <cell r="M6">
            <v>98.275862068965509</v>
          </cell>
        </row>
        <row r="7">
          <cell r="A7">
            <v>6</v>
          </cell>
          <cell r="M7">
            <v>96.934865900383144</v>
          </cell>
        </row>
        <row r="8">
          <cell r="A8">
            <v>7</v>
          </cell>
          <cell r="M8">
            <v>97.083333333333329</v>
          </cell>
        </row>
        <row r="9">
          <cell r="A9">
            <v>8</v>
          </cell>
          <cell r="M9">
            <v>98</v>
          </cell>
        </row>
        <row r="10">
          <cell r="A10">
            <v>9</v>
          </cell>
          <cell r="M10">
            <v>98.578199052132703</v>
          </cell>
        </row>
        <row r="11">
          <cell r="A11">
            <v>10</v>
          </cell>
          <cell r="M11">
            <v>95.594713656387668</v>
          </cell>
        </row>
        <row r="12">
          <cell r="A12">
            <v>11</v>
          </cell>
          <cell r="M12">
            <v>97.468354430379748</v>
          </cell>
        </row>
        <row r="13">
          <cell r="A13">
            <v>12</v>
          </cell>
          <cell r="M13">
            <v>95.689655172413794</v>
          </cell>
        </row>
        <row r="14">
          <cell r="A14">
            <v>13</v>
          </cell>
          <cell r="M14">
            <v>94.560669456066947</v>
          </cell>
        </row>
        <row r="15">
          <cell r="A15">
            <v>14</v>
          </cell>
          <cell r="M15">
            <v>97.244094488188978</v>
          </cell>
        </row>
        <row r="16">
          <cell r="A16">
            <v>15</v>
          </cell>
          <cell r="M16">
            <v>96.551724137931032</v>
          </cell>
        </row>
        <row r="17">
          <cell r="A17">
            <v>16</v>
          </cell>
          <cell r="M17">
            <v>95.594713656387668</v>
          </cell>
        </row>
        <row r="18">
          <cell r="A18">
            <v>17</v>
          </cell>
          <cell r="M18">
            <v>93.689320388349515</v>
          </cell>
        </row>
        <row r="19">
          <cell r="A19">
            <v>18</v>
          </cell>
          <cell r="M19">
            <v>93.055555555555557</v>
          </cell>
        </row>
        <row r="20">
          <cell r="A20">
            <v>19</v>
          </cell>
          <cell r="M20">
            <v>95.614035087719301</v>
          </cell>
        </row>
        <row r="21">
          <cell r="A21">
            <v>20</v>
          </cell>
          <cell r="M21">
            <v>95.319148936170222</v>
          </cell>
        </row>
        <row r="22">
          <cell r="A22">
            <v>21</v>
          </cell>
          <cell r="M22">
            <v>95.794392523364493</v>
          </cell>
        </row>
        <row r="23">
          <cell r="A23">
            <v>22</v>
          </cell>
          <cell r="M23">
            <v>94.9579831932773</v>
          </cell>
        </row>
        <row r="24">
          <cell r="A24">
            <v>23</v>
          </cell>
          <cell r="M24">
            <v>92.96875</v>
          </cell>
        </row>
        <row r="25">
          <cell r="A25">
            <v>24</v>
          </cell>
          <cell r="M25">
            <v>96.399999999999991</v>
          </cell>
        </row>
        <row r="26">
          <cell r="A26">
            <v>25</v>
          </cell>
          <cell r="M26">
            <v>92.165898617511516</v>
          </cell>
        </row>
        <row r="27">
          <cell r="A27">
            <v>26</v>
          </cell>
          <cell r="M27">
            <v>91.363636363636374</v>
          </cell>
        </row>
        <row r="28">
          <cell r="A28">
            <v>27</v>
          </cell>
          <cell r="M28">
            <v>88.65546218487394</v>
          </cell>
        </row>
        <row r="29">
          <cell r="A29">
            <v>28</v>
          </cell>
          <cell r="M29">
            <v>86.715867158671585</v>
          </cell>
        </row>
        <row r="30">
          <cell r="A30">
            <v>29</v>
          </cell>
          <cell r="M30">
            <v>84.549356223175963</v>
          </cell>
        </row>
        <row r="31">
          <cell r="A31">
            <v>30</v>
          </cell>
          <cell r="M31">
            <v>83.206106870229007</v>
          </cell>
        </row>
        <row r="32">
          <cell r="A32">
            <v>31</v>
          </cell>
          <cell r="M32">
            <v>88.721804511278194</v>
          </cell>
        </row>
        <row r="33">
          <cell r="A33">
            <v>32</v>
          </cell>
          <cell r="M33">
            <v>89.565217391304358</v>
          </cell>
        </row>
        <row r="34">
          <cell r="A34">
            <v>33</v>
          </cell>
          <cell r="M34">
            <v>93.155893536121667</v>
          </cell>
        </row>
        <row r="35">
          <cell r="A35">
            <v>34</v>
          </cell>
          <cell r="M35">
            <v>94.642857142857139</v>
          </cell>
        </row>
        <row r="36">
          <cell r="A36">
            <v>35</v>
          </cell>
          <cell r="M36">
            <v>94.857142857142861</v>
          </cell>
        </row>
        <row r="37">
          <cell r="A37">
            <v>36</v>
          </cell>
          <cell r="M37">
            <v>85.777777777777771</v>
          </cell>
        </row>
        <row r="38">
          <cell r="A38">
            <v>37</v>
          </cell>
          <cell r="M38">
            <v>79.555555555555557</v>
          </cell>
        </row>
        <row r="39">
          <cell r="A39">
            <v>38</v>
          </cell>
          <cell r="M39">
            <v>88.405797101449281</v>
          </cell>
        </row>
        <row r="40">
          <cell r="A40">
            <v>39</v>
          </cell>
          <cell r="M40">
            <v>85.407725321888421</v>
          </cell>
        </row>
        <row r="41">
          <cell r="A41">
            <v>40</v>
          </cell>
          <cell r="M41">
            <v>77.642276422764226</v>
          </cell>
        </row>
        <row r="42">
          <cell r="A42">
            <v>1</v>
          </cell>
          <cell r="M42">
            <v>100</v>
          </cell>
        </row>
        <row r="43">
          <cell r="A43">
            <v>2</v>
          </cell>
          <cell r="M43">
            <v>100</v>
          </cell>
        </row>
        <row r="44">
          <cell r="A44">
            <v>3</v>
          </cell>
          <cell r="M44">
            <v>100</v>
          </cell>
        </row>
        <row r="45">
          <cell r="A45">
            <v>4</v>
          </cell>
          <cell r="M45">
            <v>100</v>
          </cell>
        </row>
        <row r="46">
          <cell r="A46">
            <v>5</v>
          </cell>
          <cell r="M46">
            <v>98.305084745762713</v>
          </cell>
        </row>
        <row r="47">
          <cell r="A47">
            <v>6</v>
          </cell>
          <cell r="M47">
            <v>93.75</v>
          </cell>
        </row>
        <row r="48">
          <cell r="A48">
            <v>7</v>
          </cell>
          <cell r="M48">
            <v>97.142857142857139</v>
          </cell>
        </row>
        <row r="49">
          <cell r="A49">
            <v>8</v>
          </cell>
          <cell r="M49">
            <v>98.591549295774655</v>
          </cell>
        </row>
        <row r="50">
          <cell r="A50">
            <v>9</v>
          </cell>
          <cell r="M50">
            <v>97.674418604651152</v>
          </cell>
        </row>
        <row r="51">
          <cell r="A51">
            <v>10</v>
          </cell>
          <cell r="M51">
            <v>100</v>
          </cell>
        </row>
        <row r="52">
          <cell r="A52">
            <v>11</v>
          </cell>
          <cell r="M52">
            <v>97.916666666666657</v>
          </cell>
        </row>
        <row r="53">
          <cell r="A53">
            <v>12</v>
          </cell>
          <cell r="M53">
            <v>100</v>
          </cell>
        </row>
        <row r="54">
          <cell r="A54">
            <v>13</v>
          </cell>
          <cell r="M54">
            <v>96.610169491525426</v>
          </cell>
        </row>
        <row r="55">
          <cell r="A55">
            <v>14</v>
          </cell>
          <cell r="M55">
            <v>100</v>
          </cell>
        </row>
        <row r="56">
          <cell r="A56">
            <v>15</v>
          </cell>
          <cell r="M56">
            <v>100</v>
          </cell>
        </row>
        <row r="57">
          <cell r="A57">
            <v>16</v>
          </cell>
          <cell r="M57">
            <v>100</v>
          </cell>
        </row>
        <row r="58">
          <cell r="A58">
            <v>17</v>
          </cell>
          <cell r="M58">
            <v>100</v>
          </cell>
        </row>
        <row r="59">
          <cell r="A59">
            <v>18</v>
          </cell>
          <cell r="M59">
            <v>100</v>
          </cell>
        </row>
        <row r="60">
          <cell r="A60">
            <v>19</v>
          </cell>
          <cell r="M60">
            <v>100</v>
          </cell>
        </row>
        <row r="61">
          <cell r="A61">
            <v>20</v>
          </cell>
          <cell r="M61">
            <v>98.4375</v>
          </cell>
        </row>
        <row r="62">
          <cell r="A62">
            <v>21</v>
          </cell>
          <cell r="M62">
            <v>98.550724637681171</v>
          </cell>
        </row>
        <row r="63">
          <cell r="A63">
            <v>22</v>
          </cell>
          <cell r="M63">
            <v>97.101449275362313</v>
          </cell>
        </row>
        <row r="64">
          <cell r="A64">
            <v>23</v>
          </cell>
          <cell r="M64">
            <v>100</v>
          </cell>
        </row>
        <row r="65">
          <cell r="A65">
            <v>24</v>
          </cell>
          <cell r="M65">
            <v>98.305084745762713</v>
          </cell>
        </row>
        <row r="66">
          <cell r="A66">
            <v>25</v>
          </cell>
          <cell r="M66">
            <v>100</v>
          </cell>
        </row>
        <row r="67">
          <cell r="A67">
            <v>26</v>
          </cell>
          <cell r="M67">
            <v>96.92307692307692</v>
          </cell>
        </row>
        <row r="68">
          <cell r="A68">
            <v>27</v>
          </cell>
          <cell r="M68">
            <v>97.222222222222214</v>
          </cell>
        </row>
        <row r="69">
          <cell r="A69">
            <v>28</v>
          </cell>
          <cell r="M69">
            <v>98.412698412698404</v>
          </cell>
        </row>
        <row r="70">
          <cell r="A70">
            <v>29</v>
          </cell>
          <cell r="M70">
            <v>88</v>
          </cell>
        </row>
        <row r="71">
          <cell r="A71">
            <v>30</v>
          </cell>
          <cell r="M71">
            <v>98.507462686567166</v>
          </cell>
        </row>
        <row r="72">
          <cell r="A72">
            <v>31</v>
          </cell>
          <cell r="M72">
            <v>91.428571428571431</v>
          </cell>
        </row>
        <row r="73">
          <cell r="A73">
            <v>32</v>
          </cell>
          <cell r="M73">
            <v>96.551724137931032</v>
          </cell>
        </row>
        <row r="74">
          <cell r="A74">
            <v>33</v>
          </cell>
          <cell r="M74">
            <v>96.36363636363636</v>
          </cell>
        </row>
        <row r="75">
          <cell r="A75">
            <v>34</v>
          </cell>
          <cell r="M75">
            <v>92.753623188405797</v>
          </cell>
        </row>
        <row r="76">
          <cell r="A76">
            <v>35</v>
          </cell>
          <cell r="M76">
            <v>100</v>
          </cell>
        </row>
        <row r="77">
          <cell r="A77">
            <v>36</v>
          </cell>
          <cell r="M77">
            <v>96</v>
          </cell>
        </row>
        <row r="78">
          <cell r="A78">
            <v>37</v>
          </cell>
          <cell r="M78">
            <v>98.333333333333329</v>
          </cell>
        </row>
        <row r="79">
          <cell r="A79">
            <v>38</v>
          </cell>
          <cell r="M79">
            <v>94.73684210526315</v>
          </cell>
        </row>
        <row r="80">
          <cell r="A80">
            <v>39</v>
          </cell>
          <cell r="M80">
            <v>96.296296296296291</v>
          </cell>
        </row>
        <row r="81">
          <cell r="A81">
            <v>40</v>
          </cell>
          <cell r="M81">
            <v>95.774647887323937</v>
          </cell>
        </row>
        <row r="82">
          <cell r="A82">
            <v>1</v>
          </cell>
          <cell r="M82">
            <v>100</v>
          </cell>
        </row>
        <row r="83">
          <cell r="A83">
            <v>2</v>
          </cell>
          <cell r="M83">
            <v>98.611111111111114</v>
          </cell>
        </row>
        <row r="84">
          <cell r="A84">
            <v>3</v>
          </cell>
          <cell r="M84">
            <v>97.142857142857139</v>
          </cell>
        </row>
        <row r="85">
          <cell r="A85">
            <v>4</v>
          </cell>
          <cell r="M85">
            <v>98.591549295774655</v>
          </cell>
        </row>
        <row r="86">
          <cell r="A86">
            <v>5</v>
          </cell>
          <cell r="M86">
            <v>100</v>
          </cell>
        </row>
        <row r="87">
          <cell r="A87">
            <v>6</v>
          </cell>
          <cell r="M87">
            <v>100</v>
          </cell>
        </row>
        <row r="88">
          <cell r="A88">
            <v>7</v>
          </cell>
          <cell r="M88">
            <v>100</v>
          </cell>
        </row>
        <row r="89">
          <cell r="A89">
            <v>8</v>
          </cell>
          <cell r="M89">
            <v>100</v>
          </cell>
        </row>
        <row r="90">
          <cell r="A90">
            <v>9</v>
          </cell>
          <cell r="M90">
            <v>100</v>
          </cell>
        </row>
        <row r="91">
          <cell r="A91">
            <v>10</v>
          </cell>
          <cell r="M91">
            <v>98.98989898989899</v>
          </cell>
        </row>
        <row r="92">
          <cell r="A92">
            <v>11</v>
          </cell>
          <cell r="M92">
            <v>98.958333333333343</v>
          </cell>
        </row>
        <row r="93">
          <cell r="A93">
            <v>12</v>
          </cell>
          <cell r="M93">
            <v>100</v>
          </cell>
        </row>
        <row r="94">
          <cell r="A94">
            <v>13</v>
          </cell>
          <cell r="M94">
            <v>100</v>
          </cell>
        </row>
        <row r="95">
          <cell r="A95">
            <v>14</v>
          </cell>
          <cell r="M95">
            <v>100</v>
          </cell>
        </row>
        <row r="96">
          <cell r="A96">
            <v>15</v>
          </cell>
          <cell r="M96">
            <v>97.53086419753086</v>
          </cell>
        </row>
        <row r="97">
          <cell r="A97">
            <v>16</v>
          </cell>
          <cell r="M97">
            <v>100</v>
          </cell>
        </row>
        <row r="98">
          <cell r="A98">
            <v>17</v>
          </cell>
          <cell r="M98">
            <v>98.837209302325576</v>
          </cell>
        </row>
        <row r="99">
          <cell r="A99">
            <v>18</v>
          </cell>
          <cell r="M99">
            <v>95.121951219512198</v>
          </cell>
        </row>
        <row r="100">
          <cell r="A100">
            <v>19</v>
          </cell>
          <cell r="M100">
            <v>97.183098591549296</v>
          </cell>
        </row>
        <row r="101">
          <cell r="A101">
            <v>20</v>
          </cell>
          <cell r="M101">
            <v>98.571428571428584</v>
          </cell>
        </row>
        <row r="102">
          <cell r="A102">
            <v>21</v>
          </cell>
          <cell r="M102">
            <v>98.76543209876543</v>
          </cell>
        </row>
        <row r="103">
          <cell r="A103">
            <v>22</v>
          </cell>
          <cell r="M103">
            <v>98.76543209876543</v>
          </cell>
        </row>
        <row r="104">
          <cell r="A104">
            <v>23</v>
          </cell>
          <cell r="M104">
            <v>97.402597402597408</v>
          </cell>
        </row>
        <row r="105">
          <cell r="A105">
            <v>24</v>
          </cell>
          <cell r="M105">
            <v>98.571428571428584</v>
          </cell>
        </row>
        <row r="106">
          <cell r="A106">
            <v>25</v>
          </cell>
          <cell r="M106">
            <v>97.916666666666657</v>
          </cell>
        </row>
        <row r="107">
          <cell r="A107">
            <v>26</v>
          </cell>
          <cell r="M107">
            <v>97.169811320754718</v>
          </cell>
        </row>
        <row r="108">
          <cell r="A108">
            <v>27</v>
          </cell>
          <cell r="M108">
            <v>93.827160493827151</v>
          </cell>
        </row>
        <row r="109">
          <cell r="A109">
            <v>28</v>
          </cell>
          <cell r="M109">
            <v>96.666666666666671</v>
          </cell>
        </row>
        <row r="110">
          <cell r="A110">
            <v>29</v>
          </cell>
          <cell r="M110">
            <v>95.652173913043484</v>
          </cell>
        </row>
        <row r="111">
          <cell r="A111">
            <v>30</v>
          </cell>
          <cell r="M111">
            <v>93.75</v>
          </cell>
        </row>
        <row r="112">
          <cell r="A112">
            <v>31</v>
          </cell>
          <cell r="M112">
            <v>97.674418604651152</v>
          </cell>
        </row>
        <row r="113">
          <cell r="A113">
            <v>32</v>
          </cell>
          <cell r="M113">
            <v>89.473684210526315</v>
          </cell>
        </row>
        <row r="114">
          <cell r="A114">
            <v>33</v>
          </cell>
          <cell r="M114">
            <v>93.45794392523365</v>
          </cell>
        </row>
        <row r="115">
          <cell r="A115">
            <v>34</v>
          </cell>
          <cell r="M115">
            <v>92.307692307692307</v>
          </cell>
        </row>
        <row r="116">
          <cell r="A116">
            <v>35</v>
          </cell>
          <cell r="M116">
            <v>98.019801980198025</v>
          </cell>
        </row>
        <row r="117">
          <cell r="A117">
            <v>36</v>
          </cell>
          <cell r="M117">
            <v>95.833333333333343</v>
          </cell>
        </row>
        <row r="118">
          <cell r="A118">
            <v>37</v>
          </cell>
          <cell r="M118">
            <v>87.850467289719631</v>
          </cell>
        </row>
        <row r="119">
          <cell r="A119">
            <v>38</v>
          </cell>
          <cell r="M119">
            <v>94.505494505494497</v>
          </cell>
        </row>
        <row r="120">
          <cell r="A120">
            <v>39</v>
          </cell>
          <cell r="M120">
            <v>86.138613861386133</v>
          </cell>
        </row>
        <row r="121">
          <cell r="A121">
            <v>40</v>
          </cell>
          <cell r="M121">
            <v>83.505154639175259</v>
          </cell>
        </row>
        <row r="122">
          <cell r="A122">
            <v>1</v>
          </cell>
          <cell r="M122">
            <v>91.240875912408754</v>
          </cell>
        </row>
        <row r="123">
          <cell r="A123">
            <v>2</v>
          </cell>
          <cell r="M123">
            <v>94.186046511627907</v>
          </cell>
        </row>
        <row r="124">
          <cell r="A124">
            <v>3</v>
          </cell>
          <cell r="M124">
            <v>95.512820512820511</v>
          </cell>
        </row>
        <row r="125">
          <cell r="A125">
            <v>4</v>
          </cell>
          <cell r="M125">
            <v>98</v>
          </cell>
        </row>
        <row r="126">
          <cell r="A126">
            <v>5</v>
          </cell>
          <cell r="M126">
            <v>95.588235294117652</v>
          </cell>
        </row>
        <row r="127">
          <cell r="A127">
            <v>6</v>
          </cell>
          <cell r="M127">
            <v>95.862068965517238</v>
          </cell>
        </row>
        <row r="128">
          <cell r="A128">
            <v>7</v>
          </cell>
          <cell r="M128">
            <v>96.732026143790847</v>
          </cell>
        </row>
        <row r="129">
          <cell r="A129">
            <v>8</v>
          </cell>
          <cell r="M129">
            <v>95.783132530120483</v>
          </cell>
        </row>
        <row r="130">
          <cell r="A130">
            <v>9</v>
          </cell>
          <cell r="M130">
            <v>90.209790209790214</v>
          </cell>
        </row>
        <row r="131">
          <cell r="A131">
            <v>10</v>
          </cell>
          <cell r="M131">
            <v>98.089171974522287</v>
          </cell>
        </row>
        <row r="132">
          <cell r="A132">
            <v>11</v>
          </cell>
          <cell r="M132">
            <v>97.887323943661968</v>
          </cell>
        </row>
        <row r="133">
          <cell r="A133">
            <v>12</v>
          </cell>
          <cell r="M133">
            <v>95.882352941176478</v>
          </cell>
        </row>
        <row r="134">
          <cell r="A134">
            <v>13</v>
          </cell>
          <cell r="M134">
            <v>93.589743589743591</v>
          </cell>
        </row>
        <row r="135">
          <cell r="A135">
            <v>14</v>
          </cell>
          <cell r="M135">
            <v>95.50561797752809</v>
          </cell>
        </row>
        <row r="136">
          <cell r="A136">
            <v>15</v>
          </cell>
          <cell r="M136">
            <v>97.857142857142847</v>
          </cell>
        </row>
        <row r="137">
          <cell r="A137">
            <v>16</v>
          </cell>
          <cell r="M137">
            <v>96.15384615384616</v>
          </cell>
        </row>
        <row r="138">
          <cell r="A138">
            <v>17</v>
          </cell>
          <cell r="M138">
            <v>94.267515923566876</v>
          </cell>
        </row>
        <row r="139">
          <cell r="A139">
            <v>18</v>
          </cell>
          <cell r="M139">
            <v>92.715231788079464</v>
          </cell>
        </row>
        <row r="140">
          <cell r="A140">
            <v>19</v>
          </cell>
          <cell r="M140">
            <v>90.384615384615387</v>
          </cell>
        </row>
        <row r="141">
          <cell r="A141">
            <v>20</v>
          </cell>
          <cell r="M141">
            <v>93.630573248407643</v>
          </cell>
        </row>
        <row r="142">
          <cell r="A142">
            <v>21</v>
          </cell>
          <cell r="M142">
            <v>93.023255813953483</v>
          </cell>
        </row>
        <row r="143">
          <cell r="A143">
            <v>22</v>
          </cell>
          <cell r="M143">
            <v>87.2340425531915</v>
          </cell>
        </row>
        <row r="144">
          <cell r="A144">
            <v>23</v>
          </cell>
          <cell r="M144">
            <v>88.359788359788354</v>
          </cell>
        </row>
        <row r="145">
          <cell r="A145">
            <v>24</v>
          </cell>
          <cell r="M145">
            <v>88.082901554404145</v>
          </cell>
        </row>
        <row r="146">
          <cell r="A146">
            <v>25</v>
          </cell>
          <cell r="M146">
            <v>86.138613861386133</v>
          </cell>
        </row>
        <row r="147">
          <cell r="A147">
            <v>26</v>
          </cell>
          <cell r="M147">
            <v>84.976525821596255</v>
          </cell>
        </row>
        <row r="148">
          <cell r="A148">
            <v>27</v>
          </cell>
          <cell r="M148">
            <v>82.845188284518827</v>
          </cell>
        </row>
        <row r="149">
          <cell r="A149">
            <v>28</v>
          </cell>
          <cell r="M149">
            <v>85.784313725490193</v>
          </cell>
        </row>
        <row r="150">
          <cell r="A150">
            <v>29</v>
          </cell>
          <cell r="M150">
            <v>88.082901554404145</v>
          </cell>
        </row>
        <row r="151">
          <cell r="A151">
            <v>30</v>
          </cell>
          <cell r="M151">
            <v>86</v>
          </cell>
        </row>
        <row r="152">
          <cell r="A152">
            <v>31</v>
          </cell>
          <cell r="M152">
            <v>85.643564356435647</v>
          </cell>
        </row>
        <row r="153">
          <cell r="A153">
            <v>32</v>
          </cell>
          <cell r="M153">
            <v>91.542288557213936</v>
          </cell>
        </row>
        <row r="154">
          <cell r="A154">
            <v>33</v>
          </cell>
          <cell r="M154">
            <v>80</v>
          </cell>
        </row>
        <row r="155">
          <cell r="A155">
            <v>34</v>
          </cell>
          <cell r="M155">
            <v>88.043478260869563</v>
          </cell>
        </row>
        <row r="156">
          <cell r="A156">
            <v>35</v>
          </cell>
          <cell r="M156">
            <v>90.502793296089393</v>
          </cell>
        </row>
        <row r="157">
          <cell r="A157">
            <v>36</v>
          </cell>
          <cell r="M157">
            <v>93.478260869565219</v>
          </cell>
        </row>
        <row r="158">
          <cell r="A158">
            <v>37</v>
          </cell>
          <cell r="M158">
            <v>88.888888888888886</v>
          </cell>
        </row>
        <row r="159">
          <cell r="A159">
            <v>38</v>
          </cell>
          <cell r="M159">
            <v>92.344497607655512</v>
          </cell>
        </row>
        <row r="160">
          <cell r="A160">
            <v>39</v>
          </cell>
          <cell r="M160">
            <v>86.224489795918373</v>
          </cell>
        </row>
        <row r="161">
          <cell r="A161">
            <v>40</v>
          </cell>
          <cell r="M161">
            <v>84.08163265306122</v>
          </cell>
        </row>
        <row r="162">
          <cell r="A162">
            <v>1</v>
          </cell>
          <cell r="M162">
            <v>90.102389078498291</v>
          </cell>
        </row>
        <row r="163">
          <cell r="A163">
            <v>2</v>
          </cell>
          <cell r="M163">
            <v>95.136778115501514</v>
          </cell>
        </row>
        <row r="164">
          <cell r="A164">
            <v>3</v>
          </cell>
          <cell r="M164">
            <v>88.679245283018872</v>
          </cell>
        </row>
        <row r="165">
          <cell r="A165">
            <v>4</v>
          </cell>
          <cell r="M165">
            <v>95.59748427672956</v>
          </cell>
        </row>
        <row r="166">
          <cell r="A166">
            <v>5</v>
          </cell>
          <cell r="M166">
            <v>90.202702702702695</v>
          </cell>
        </row>
        <row r="167">
          <cell r="A167">
            <v>6</v>
          </cell>
          <cell r="M167">
            <v>88.698630136986296</v>
          </cell>
        </row>
        <row r="168">
          <cell r="A168">
            <v>7</v>
          </cell>
          <cell r="M168">
            <v>89.368770764119603</v>
          </cell>
        </row>
        <row r="169">
          <cell r="A169">
            <v>8</v>
          </cell>
          <cell r="M169">
            <v>92.145015105740185</v>
          </cell>
        </row>
        <row r="170">
          <cell r="A170">
            <v>9</v>
          </cell>
          <cell r="M170">
            <v>85.483870967741936</v>
          </cell>
        </row>
        <row r="171">
          <cell r="A171">
            <v>10</v>
          </cell>
          <cell r="M171">
            <v>90.282131661442008</v>
          </cell>
        </row>
        <row r="172">
          <cell r="A172">
            <v>11</v>
          </cell>
          <cell r="M172">
            <v>86.82634730538922</v>
          </cell>
        </row>
        <row r="173">
          <cell r="A173">
            <v>12</v>
          </cell>
          <cell r="M173">
            <v>89.130434782608688</v>
          </cell>
        </row>
        <row r="174">
          <cell r="A174">
            <v>13</v>
          </cell>
          <cell r="M174">
            <v>85.534591194968556</v>
          </cell>
        </row>
        <row r="175">
          <cell r="A175">
            <v>14</v>
          </cell>
          <cell r="M175">
            <v>84.482758620689651</v>
          </cell>
        </row>
        <row r="176">
          <cell r="A176">
            <v>15</v>
          </cell>
          <cell r="M176">
            <v>85</v>
          </cell>
        </row>
        <row r="177">
          <cell r="A177">
            <v>16</v>
          </cell>
          <cell r="M177">
            <v>86.549707602339183</v>
          </cell>
        </row>
        <row r="178">
          <cell r="A178">
            <v>17</v>
          </cell>
          <cell r="M178">
            <v>86.834733893557427</v>
          </cell>
        </row>
        <row r="179">
          <cell r="A179">
            <v>18</v>
          </cell>
          <cell r="M179">
            <v>85.13513513513513</v>
          </cell>
        </row>
        <row r="180">
          <cell r="A180">
            <v>19</v>
          </cell>
          <cell r="M180">
            <v>81.723237597911222</v>
          </cell>
        </row>
        <row r="181">
          <cell r="A181">
            <v>20</v>
          </cell>
          <cell r="M181">
            <v>84.382871536523936</v>
          </cell>
        </row>
        <row r="182">
          <cell r="A182">
            <v>21</v>
          </cell>
          <cell r="M182">
            <v>85.359801488833739</v>
          </cell>
        </row>
        <row r="183">
          <cell r="A183">
            <v>22</v>
          </cell>
          <cell r="M183">
            <v>81.84143222506394</v>
          </cell>
        </row>
        <row r="184">
          <cell r="A184">
            <v>23</v>
          </cell>
          <cell r="M184">
            <v>82.608695652173907</v>
          </cell>
        </row>
        <row r="185">
          <cell r="A185">
            <v>24</v>
          </cell>
          <cell r="M185">
            <v>79.606879606879616</v>
          </cell>
        </row>
        <row r="186">
          <cell r="A186">
            <v>25</v>
          </cell>
          <cell r="M186">
            <v>75.797872340425528</v>
          </cell>
        </row>
        <row r="187">
          <cell r="A187">
            <v>26</v>
          </cell>
          <cell r="M187">
            <v>79.820627802690581</v>
          </cell>
        </row>
        <row r="188">
          <cell r="A188">
            <v>27</v>
          </cell>
          <cell r="M188">
            <v>76.712328767123282</v>
          </cell>
        </row>
        <row r="189">
          <cell r="A189">
            <v>28</v>
          </cell>
          <cell r="M189">
            <v>79.136690647482013</v>
          </cell>
        </row>
        <row r="190">
          <cell r="A190">
            <v>29</v>
          </cell>
          <cell r="M190">
            <v>76.737967914438499</v>
          </cell>
        </row>
        <row r="191">
          <cell r="A191">
            <v>30</v>
          </cell>
          <cell r="M191">
            <v>86.634844868735087</v>
          </cell>
        </row>
        <row r="192">
          <cell r="A192">
            <v>31</v>
          </cell>
          <cell r="M192">
            <v>79.126213592233015</v>
          </cell>
        </row>
        <row r="193">
          <cell r="A193">
            <v>32</v>
          </cell>
          <cell r="M193">
            <v>79.255319148936167</v>
          </cell>
        </row>
        <row r="194">
          <cell r="A194">
            <v>33</v>
          </cell>
          <cell r="M194">
            <v>83.78378378378379</v>
          </cell>
        </row>
        <row r="195">
          <cell r="A195">
            <v>34</v>
          </cell>
          <cell r="M195">
            <v>80.792682926829272</v>
          </cell>
        </row>
        <row r="196">
          <cell r="A196">
            <v>35</v>
          </cell>
          <cell r="M196">
            <v>81.350482315112544</v>
          </cell>
        </row>
        <row r="197">
          <cell r="A197">
            <v>36</v>
          </cell>
          <cell r="M197">
            <v>86.206896551724128</v>
          </cell>
        </row>
        <row r="198">
          <cell r="A198">
            <v>37</v>
          </cell>
          <cell r="M198">
            <v>75.454545454545453</v>
          </cell>
        </row>
        <row r="199">
          <cell r="A199">
            <v>38</v>
          </cell>
          <cell r="M199">
            <v>80.361757105943155</v>
          </cell>
        </row>
        <row r="200">
          <cell r="A200">
            <v>39</v>
          </cell>
          <cell r="M200">
            <v>75.335120643431637</v>
          </cell>
        </row>
        <row r="201">
          <cell r="A201">
            <v>40</v>
          </cell>
          <cell r="M201">
            <v>72.616136919315394</v>
          </cell>
        </row>
        <row r="202">
          <cell r="A202">
            <v>1</v>
          </cell>
          <cell r="M202">
            <v>95.512820512820511</v>
          </cell>
        </row>
        <row r="203">
          <cell r="A203">
            <v>2</v>
          </cell>
          <cell r="M203">
            <v>97.560975609756099</v>
          </cell>
        </row>
        <row r="204">
          <cell r="A204">
            <v>3</v>
          </cell>
          <cell r="M204">
            <v>96.875</v>
          </cell>
        </row>
        <row r="205">
          <cell r="A205">
            <v>4</v>
          </cell>
          <cell r="M205">
            <v>93.442622950819683</v>
          </cell>
        </row>
        <row r="206">
          <cell r="A206">
            <v>5</v>
          </cell>
          <cell r="M206">
            <v>90</v>
          </cell>
        </row>
        <row r="207">
          <cell r="A207">
            <v>6</v>
          </cell>
          <cell r="M207">
            <v>92.972972972972983</v>
          </cell>
        </row>
        <row r="208">
          <cell r="A208">
            <v>7</v>
          </cell>
          <cell r="M208">
            <v>93.264248704663217</v>
          </cell>
        </row>
        <row r="209">
          <cell r="A209">
            <v>8</v>
          </cell>
          <cell r="M209">
            <v>95.26627218934911</v>
          </cell>
        </row>
        <row r="210">
          <cell r="A210">
            <v>9</v>
          </cell>
          <cell r="M210">
            <v>89.444444444444443</v>
          </cell>
        </row>
        <row r="211">
          <cell r="A211">
            <v>10</v>
          </cell>
          <cell r="M211">
            <v>91.397849462365585</v>
          </cell>
        </row>
        <row r="212">
          <cell r="A212">
            <v>11</v>
          </cell>
          <cell r="M212">
            <v>94.674556213017752</v>
          </cell>
        </row>
        <row r="213">
          <cell r="A213">
            <v>12</v>
          </cell>
          <cell r="M213">
            <v>94.318181818181827</v>
          </cell>
        </row>
        <row r="214">
          <cell r="A214">
            <v>13</v>
          </cell>
          <cell r="M214">
            <v>94.413407821229043</v>
          </cell>
        </row>
        <row r="215">
          <cell r="A215">
            <v>14</v>
          </cell>
          <cell r="M215">
            <v>88.64864864864866</v>
          </cell>
        </row>
        <row r="216">
          <cell r="A216">
            <v>15</v>
          </cell>
          <cell r="M216">
            <v>87.939698492462313</v>
          </cell>
        </row>
        <row r="217">
          <cell r="A217">
            <v>16</v>
          </cell>
          <cell r="M217">
            <v>90.957446808510639</v>
          </cell>
        </row>
        <row r="218">
          <cell r="A218">
            <v>17</v>
          </cell>
          <cell r="M218">
            <v>93.670886075949369</v>
          </cell>
        </row>
        <row r="219">
          <cell r="A219">
            <v>18</v>
          </cell>
          <cell r="M219">
            <v>84.472049689440993</v>
          </cell>
        </row>
        <row r="220">
          <cell r="A220">
            <v>19</v>
          </cell>
          <cell r="M220">
            <v>88.829787234042556</v>
          </cell>
        </row>
        <row r="221">
          <cell r="A221">
            <v>20</v>
          </cell>
          <cell r="M221">
            <v>84.768211920529808</v>
          </cell>
        </row>
        <row r="222">
          <cell r="A222">
            <v>21</v>
          </cell>
          <cell r="M222">
            <v>88.41463414634147</v>
          </cell>
        </row>
        <row r="223">
          <cell r="A223">
            <v>22</v>
          </cell>
          <cell r="M223">
            <v>82.8125</v>
          </cell>
        </row>
        <row r="224">
          <cell r="A224">
            <v>23</v>
          </cell>
          <cell r="M224">
            <v>86.631016042780757</v>
          </cell>
        </row>
        <row r="225">
          <cell r="A225">
            <v>24</v>
          </cell>
          <cell r="M225">
            <v>85.082872928176798</v>
          </cell>
        </row>
        <row r="226">
          <cell r="A226">
            <v>25</v>
          </cell>
          <cell r="M226">
            <v>82.775119617224874</v>
          </cell>
        </row>
        <row r="227">
          <cell r="A227">
            <v>26</v>
          </cell>
          <cell r="M227">
            <v>86.206896551724128</v>
          </cell>
        </row>
        <row r="228">
          <cell r="A228">
            <v>27</v>
          </cell>
          <cell r="M228">
            <v>79.326923076923066</v>
          </cell>
        </row>
        <row r="229">
          <cell r="A229">
            <v>28</v>
          </cell>
          <cell r="M229">
            <v>83.65384615384616</v>
          </cell>
        </row>
        <row r="230">
          <cell r="A230">
            <v>29</v>
          </cell>
          <cell r="M230">
            <v>74.090909090909093</v>
          </cell>
        </row>
        <row r="231">
          <cell r="A231">
            <v>30</v>
          </cell>
          <cell r="M231">
            <v>83.944954128440358</v>
          </cell>
        </row>
        <row r="232">
          <cell r="A232">
            <v>31</v>
          </cell>
          <cell r="M232">
            <v>77.253218884120173</v>
          </cell>
        </row>
        <row r="233">
          <cell r="A233">
            <v>32</v>
          </cell>
          <cell r="M233">
            <v>73.267326732673268</v>
          </cell>
        </row>
        <row r="234">
          <cell r="A234">
            <v>33</v>
          </cell>
          <cell r="M234">
            <v>74.528301886792448</v>
          </cell>
        </row>
        <row r="235">
          <cell r="A235">
            <v>34</v>
          </cell>
          <cell r="M235">
            <v>73.5</v>
          </cell>
        </row>
        <row r="236">
          <cell r="A236">
            <v>35</v>
          </cell>
          <cell r="M236">
            <v>74.585635359116026</v>
          </cell>
        </row>
        <row r="237">
          <cell r="A237">
            <v>36</v>
          </cell>
          <cell r="M237">
            <v>70.56074766355141</v>
          </cell>
        </row>
        <row r="238">
          <cell r="A238">
            <v>37</v>
          </cell>
          <cell r="M238">
            <v>72.56637168141593</v>
          </cell>
        </row>
        <row r="239">
          <cell r="A239">
            <v>38</v>
          </cell>
          <cell r="M239">
            <v>67.158671586715869</v>
          </cell>
        </row>
        <row r="240">
          <cell r="A240">
            <v>39</v>
          </cell>
          <cell r="M240">
            <v>80.882352941176478</v>
          </cell>
        </row>
        <row r="241">
          <cell r="A241">
            <v>40</v>
          </cell>
          <cell r="M241">
            <v>86.715867158671585</v>
          </cell>
        </row>
        <row r="242">
          <cell r="A242">
            <v>1</v>
          </cell>
          <cell r="M242">
            <v>94.642857142857139</v>
          </cell>
        </row>
        <row r="243">
          <cell r="A243">
            <v>2</v>
          </cell>
          <cell r="M243">
            <v>92.025518341307816</v>
          </cell>
        </row>
        <row r="244">
          <cell r="A244">
            <v>3</v>
          </cell>
          <cell r="M244">
            <v>90.085470085470092</v>
          </cell>
        </row>
        <row r="245">
          <cell r="A245">
            <v>4</v>
          </cell>
          <cell r="M245">
            <v>95.595432300163125</v>
          </cell>
        </row>
        <row r="246">
          <cell r="A246">
            <v>5</v>
          </cell>
          <cell r="M246">
            <v>94.708029197080293</v>
          </cell>
        </row>
        <row r="247">
          <cell r="A247">
            <v>6</v>
          </cell>
          <cell r="M247">
            <v>94.21641791044776</v>
          </cell>
        </row>
        <row r="248">
          <cell r="A248">
            <v>7</v>
          </cell>
          <cell r="M248">
            <v>95.585738539898131</v>
          </cell>
        </row>
        <row r="249">
          <cell r="A249">
            <v>8</v>
          </cell>
          <cell r="M249">
            <v>94.38943894389439</v>
          </cell>
        </row>
        <row r="250">
          <cell r="A250">
            <v>9</v>
          </cell>
          <cell r="M250">
            <v>90.733590733590731</v>
          </cell>
        </row>
        <row r="251">
          <cell r="A251">
            <v>10</v>
          </cell>
          <cell r="M251">
            <v>92.266187050359719</v>
          </cell>
        </row>
        <row r="252">
          <cell r="A252">
            <v>11</v>
          </cell>
          <cell r="M252">
            <v>94.026974951830439</v>
          </cell>
        </row>
        <row r="253">
          <cell r="A253">
            <v>12</v>
          </cell>
          <cell r="M253">
            <v>93.849206349206355</v>
          </cell>
        </row>
        <row r="254">
          <cell r="A254">
            <v>13</v>
          </cell>
          <cell r="M254">
            <v>92.427184466019412</v>
          </cell>
        </row>
        <row r="255">
          <cell r="A255">
            <v>14</v>
          </cell>
          <cell r="M255">
            <v>92.222222222222229</v>
          </cell>
        </row>
        <row r="256">
          <cell r="A256">
            <v>15</v>
          </cell>
          <cell r="M256">
            <v>92.723880597014926</v>
          </cell>
        </row>
        <row r="257">
          <cell r="A257">
            <v>16</v>
          </cell>
          <cell r="M257">
            <v>91.064638783269956</v>
          </cell>
        </row>
        <row r="258">
          <cell r="A258">
            <v>17</v>
          </cell>
          <cell r="M258">
            <v>90.427698574338095</v>
          </cell>
        </row>
        <row r="259">
          <cell r="A259">
            <v>18</v>
          </cell>
          <cell r="M259">
            <v>91.452991452991455</v>
          </cell>
        </row>
        <row r="260">
          <cell r="A260">
            <v>19</v>
          </cell>
          <cell r="M260">
            <v>87.449392712550605</v>
          </cell>
        </row>
        <row r="261">
          <cell r="A261">
            <v>20</v>
          </cell>
          <cell r="M261">
            <v>82.592592592592595</v>
          </cell>
        </row>
        <row r="262">
          <cell r="A262">
            <v>21</v>
          </cell>
          <cell r="M262">
            <v>87.620889748549331</v>
          </cell>
        </row>
        <row r="263">
          <cell r="A263">
            <v>22</v>
          </cell>
          <cell r="M263">
            <v>85.621970920840056</v>
          </cell>
        </row>
        <row r="264">
          <cell r="A264">
            <v>23</v>
          </cell>
          <cell r="M264">
            <v>86.542056074766364</v>
          </cell>
        </row>
        <row r="265">
          <cell r="A265">
            <v>24</v>
          </cell>
          <cell r="M265">
            <v>89.303904923599319</v>
          </cell>
        </row>
        <row r="266">
          <cell r="A266">
            <v>25</v>
          </cell>
          <cell r="M266">
            <v>85.027726432532347</v>
          </cell>
        </row>
        <row r="267">
          <cell r="A267">
            <v>26</v>
          </cell>
          <cell r="M267">
            <v>80.769230769230774</v>
          </cell>
        </row>
        <row r="268">
          <cell r="A268">
            <v>27</v>
          </cell>
          <cell r="M268">
            <v>78.703703703703709</v>
          </cell>
        </row>
        <row r="269">
          <cell r="A269">
            <v>28</v>
          </cell>
          <cell r="M269">
            <v>80.060422960725077</v>
          </cell>
        </row>
        <row r="270">
          <cell r="A270">
            <v>29</v>
          </cell>
          <cell r="M270">
            <v>78.13559322033899</v>
          </cell>
        </row>
        <row r="271">
          <cell r="A271">
            <v>30</v>
          </cell>
          <cell r="M271">
            <v>73.668188736681884</v>
          </cell>
        </row>
        <row r="272">
          <cell r="A272">
            <v>31</v>
          </cell>
          <cell r="M272">
            <v>78.236130867709818</v>
          </cell>
        </row>
        <row r="273">
          <cell r="A273">
            <v>32</v>
          </cell>
          <cell r="M273">
            <v>80.277349768875197</v>
          </cell>
        </row>
        <row r="274">
          <cell r="A274">
            <v>33</v>
          </cell>
          <cell r="M274">
            <v>81.748466257668724</v>
          </cell>
        </row>
        <row r="275">
          <cell r="A275">
            <v>34</v>
          </cell>
          <cell r="M275">
            <v>82.417582417582409</v>
          </cell>
        </row>
        <row r="276">
          <cell r="A276">
            <v>35</v>
          </cell>
          <cell r="M276">
            <v>83.712121212121218</v>
          </cell>
        </row>
        <row r="277">
          <cell r="A277">
            <v>36</v>
          </cell>
          <cell r="M277">
            <v>86.486486486486484</v>
          </cell>
        </row>
        <row r="278">
          <cell r="A278">
            <v>37</v>
          </cell>
          <cell r="M278">
            <v>82.736156351791536</v>
          </cell>
        </row>
        <row r="279">
          <cell r="A279">
            <v>38</v>
          </cell>
          <cell r="M279">
            <v>85.348506401137982</v>
          </cell>
        </row>
        <row r="280">
          <cell r="A280">
            <v>39</v>
          </cell>
          <cell r="M280">
            <v>85.126162018592296</v>
          </cell>
        </row>
        <row r="281">
          <cell r="A281">
            <v>40</v>
          </cell>
          <cell r="M281">
            <v>82.871536523929464</v>
          </cell>
        </row>
        <row r="282">
          <cell r="A282">
            <v>1</v>
          </cell>
          <cell r="M282">
            <v>100</v>
          </cell>
        </row>
        <row r="283">
          <cell r="A283">
            <v>2</v>
          </cell>
          <cell r="M283">
            <v>100</v>
          </cell>
        </row>
        <row r="284">
          <cell r="A284">
            <v>3</v>
          </cell>
          <cell r="M284">
            <v>100</v>
          </cell>
        </row>
        <row r="285">
          <cell r="A285">
            <v>4</v>
          </cell>
          <cell r="M285">
            <v>100</v>
          </cell>
        </row>
        <row r="286">
          <cell r="A286">
            <v>5</v>
          </cell>
          <cell r="M286">
            <v>100</v>
          </cell>
        </row>
        <row r="287">
          <cell r="A287">
            <v>6</v>
          </cell>
          <cell r="M287">
            <v>100</v>
          </cell>
        </row>
        <row r="288">
          <cell r="A288">
            <v>7</v>
          </cell>
          <cell r="M288">
            <v>100</v>
          </cell>
        </row>
        <row r="289">
          <cell r="A289">
            <v>8</v>
          </cell>
          <cell r="M289">
            <v>100</v>
          </cell>
        </row>
        <row r="290">
          <cell r="A290">
            <v>9</v>
          </cell>
          <cell r="M290">
            <v>100</v>
          </cell>
        </row>
        <row r="291">
          <cell r="A291">
            <v>10</v>
          </cell>
          <cell r="M291">
            <v>87.5</v>
          </cell>
        </row>
        <row r="292">
          <cell r="A292">
            <v>11</v>
          </cell>
          <cell r="M292">
            <v>100</v>
          </cell>
        </row>
        <row r="293">
          <cell r="A293">
            <v>12</v>
          </cell>
          <cell r="M293">
            <v>100</v>
          </cell>
        </row>
        <row r="294">
          <cell r="A294">
            <v>13</v>
          </cell>
          <cell r="M294">
            <v>88.888888888888886</v>
          </cell>
        </row>
        <row r="295">
          <cell r="A295">
            <v>14</v>
          </cell>
          <cell r="M295">
            <v>100</v>
          </cell>
        </row>
        <row r="296">
          <cell r="A296">
            <v>15</v>
          </cell>
          <cell r="M296">
            <v>100</v>
          </cell>
        </row>
        <row r="297">
          <cell r="A297">
            <v>16</v>
          </cell>
          <cell r="M297">
            <v>100</v>
          </cell>
        </row>
        <row r="298">
          <cell r="A298">
            <v>17</v>
          </cell>
          <cell r="M298">
            <v>88.888888888888886</v>
          </cell>
        </row>
        <row r="299">
          <cell r="A299">
            <v>18</v>
          </cell>
          <cell r="M299">
            <v>100</v>
          </cell>
        </row>
        <row r="300">
          <cell r="A300">
            <v>19</v>
          </cell>
          <cell r="M300">
            <v>100</v>
          </cell>
        </row>
        <row r="301">
          <cell r="A301">
            <v>20</v>
          </cell>
          <cell r="M301">
            <v>100</v>
          </cell>
        </row>
        <row r="302">
          <cell r="A302">
            <v>21</v>
          </cell>
          <cell r="M302">
            <v>91.666666666666657</v>
          </cell>
        </row>
        <row r="303">
          <cell r="A303">
            <v>22</v>
          </cell>
          <cell r="M303">
            <v>100</v>
          </cell>
        </row>
        <row r="304">
          <cell r="A304">
            <v>23</v>
          </cell>
          <cell r="M304">
            <v>100</v>
          </cell>
        </row>
        <row r="305">
          <cell r="A305">
            <v>24</v>
          </cell>
          <cell r="M305">
            <v>90</v>
          </cell>
        </row>
        <row r="306">
          <cell r="A306">
            <v>25</v>
          </cell>
          <cell r="M306">
            <v>100</v>
          </cell>
        </row>
        <row r="307">
          <cell r="A307">
            <v>26</v>
          </cell>
          <cell r="M307">
            <v>85.714285714285708</v>
          </cell>
        </row>
        <row r="308">
          <cell r="A308">
            <v>27</v>
          </cell>
          <cell r="M308">
            <v>71.428571428571431</v>
          </cell>
        </row>
        <row r="309">
          <cell r="A309">
            <v>28</v>
          </cell>
          <cell r="M309">
            <v>92.857142857142861</v>
          </cell>
        </row>
        <row r="310">
          <cell r="A310">
            <v>29</v>
          </cell>
          <cell r="M310">
            <v>100</v>
          </cell>
        </row>
        <row r="311">
          <cell r="A311">
            <v>30</v>
          </cell>
          <cell r="M311">
            <v>91.666666666666657</v>
          </cell>
        </row>
        <row r="312">
          <cell r="A312">
            <v>31</v>
          </cell>
          <cell r="M312">
            <v>100</v>
          </cell>
        </row>
        <row r="313">
          <cell r="A313">
            <v>32</v>
          </cell>
          <cell r="M313">
            <v>100</v>
          </cell>
        </row>
        <row r="314">
          <cell r="A314">
            <v>33</v>
          </cell>
          <cell r="M314">
            <v>75</v>
          </cell>
        </row>
        <row r="315">
          <cell r="A315">
            <v>34</v>
          </cell>
          <cell r="M315">
            <v>87.5</v>
          </cell>
        </row>
        <row r="316">
          <cell r="A316">
            <v>35</v>
          </cell>
          <cell r="M316">
            <v>100</v>
          </cell>
        </row>
        <row r="317">
          <cell r="A317">
            <v>36</v>
          </cell>
          <cell r="M317">
            <v>100</v>
          </cell>
        </row>
        <row r="318">
          <cell r="A318">
            <v>37</v>
          </cell>
          <cell r="M318">
            <v>100</v>
          </cell>
        </row>
        <row r="319">
          <cell r="A319">
            <v>38</v>
          </cell>
          <cell r="M319">
            <v>88.888888888888886</v>
          </cell>
        </row>
        <row r="320">
          <cell r="A320">
            <v>39</v>
          </cell>
          <cell r="M320">
            <v>100</v>
          </cell>
        </row>
        <row r="321">
          <cell r="A321">
            <v>40</v>
          </cell>
          <cell r="M321">
            <v>92.857142857142861</v>
          </cell>
        </row>
        <row r="322">
          <cell r="A322">
            <v>1</v>
          </cell>
          <cell r="M322">
            <v>100</v>
          </cell>
        </row>
        <row r="323">
          <cell r="A323">
            <v>2</v>
          </cell>
          <cell r="M323">
            <v>100</v>
          </cell>
        </row>
        <row r="324">
          <cell r="A324">
            <v>3</v>
          </cell>
          <cell r="M324">
            <v>100</v>
          </cell>
        </row>
        <row r="325">
          <cell r="A325">
            <v>4</v>
          </cell>
          <cell r="M325">
            <v>100</v>
          </cell>
        </row>
        <row r="326">
          <cell r="A326">
            <v>5</v>
          </cell>
          <cell r="M326">
            <v>100</v>
          </cell>
        </row>
        <row r="327">
          <cell r="A327">
            <v>6</v>
          </cell>
          <cell r="M327">
            <v>100</v>
          </cell>
        </row>
        <row r="328">
          <cell r="A328">
            <v>7</v>
          </cell>
          <cell r="M328">
            <v>100</v>
          </cell>
        </row>
        <row r="329">
          <cell r="A329">
            <v>8</v>
          </cell>
          <cell r="M329">
            <v>100</v>
          </cell>
        </row>
        <row r="330">
          <cell r="A330">
            <v>9</v>
          </cell>
          <cell r="M330">
            <v>100</v>
          </cell>
        </row>
        <row r="331">
          <cell r="A331">
            <v>10</v>
          </cell>
          <cell r="M331">
            <v>66.666666666666657</v>
          </cell>
        </row>
        <row r="332">
          <cell r="A332">
            <v>11</v>
          </cell>
          <cell r="M332">
            <v>100</v>
          </cell>
        </row>
        <row r="333">
          <cell r="A333">
            <v>12</v>
          </cell>
          <cell r="M333">
            <v>100</v>
          </cell>
        </row>
        <row r="334">
          <cell r="A334">
            <v>13</v>
          </cell>
          <cell r="M334">
            <v>100</v>
          </cell>
        </row>
        <row r="335">
          <cell r="A335">
            <v>14</v>
          </cell>
          <cell r="M335">
            <v>92.307692307692307</v>
          </cell>
        </row>
        <row r="336">
          <cell r="A336">
            <v>15</v>
          </cell>
          <cell r="M336">
            <v>80</v>
          </cell>
        </row>
        <row r="337">
          <cell r="A337">
            <v>16</v>
          </cell>
          <cell r="M337">
            <v>100</v>
          </cell>
        </row>
        <row r="338">
          <cell r="A338">
            <v>17</v>
          </cell>
          <cell r="M338">
            <v>80</v>
          </cell>
        </row>
        <row r="339">
          <cell r="A339">
            <v>18</v>
          </cell>
          <cell r="M339">
            <v>100</v>
          </cell>
        </row>
        <row r="340">
          <cell r="A340">
            <v>19</v>
          </cell>
          <cell r="M340">
            <v>100</v>
          </cell>
        </row>
        <row r="341">
          <cell r="A341">
            <v>20</v>
          </cell>
          <cell r="M341">
            <v>100</v>
          </cell>
        </row>
        <row r="342">
          <cell r="A342">
            <v>21</v>
          </cell>
          <cell r="M342">
            <v>90.909090909090907</v>
          </cell>
        </row>
        <row r="343">
          <cell r="A343">
            <v>22</v>
          </cell>
          <cell r="M343">
            <v>80</v>
          </cell>
        </row>
        <row r="344">
          <cell r="A344">
            <v>23</v>
          </cell>
          <cell r="M344">
            <v>88.888888888888886</v>
          </cell>
        </row>
        <row r="345">
          <cell r="A345">
            <v>24</v>
          </cell>
          <cell r="M345">
            <v>85.714285714285708</v>
          </cell>
        </row>
        <row r="346">
          <cell r="A346">
            <v>25</v>
          </cell>
          <cell r="M346">
            <v>90.909090909090907</v>
          </cell>
        </row>
        <row r="347">
          <cell r="A347">
            <v>26</v>
          </cell>
          <cell r="M347">
            <v>100</v>
          </cell>
        </row>
        <row r="348">
          <cell r="A348">
            <v>27</v>
          </cell>
          <cell r="M348">
            <v>90</v>
          </cell>
        </row>
        <row r="349">
          <cell r="A349">
            <v>28</v>
          </cell>
          <cell r="M349">
            <v>66.666666666666657</v>
          </cell>
        </row>
        <row r="350">
          <cell r="A350">
            <v>29</v>
          </cell>
          <cell r="M350">
            <v>81.818181818181827</v>
          </cell>
        </row>
        <row r="351">
          <cell r="A351">
            <v>30</v>
          </cell>
          <cell r="M351">
            <v>83.333333333333343</v>
          </cell>
        </row>
        <row r="352">
          <cell r="A352">
            <v>31</v>
          </cell>
          <cell r="M352">
            <v>82.35294117647058</v>
          </cell>
        </row>
        <row r="353">
          <cell r="A353">
            <v>32</v>
          </cell>
          <cell r="M353">
            <v>85.714285714285708</v>
          </cell>
        </row>
        <row r="354">
          <cell r="A354">
            <v>33</v>
          </cell>
          <cell r="M354">
            <v>92.857142857142861</v>
          </cell>
        </row>
        <row r="355">
          <cell r="A355">
            <v>34</v>
          </cell>
          <cell r="M355">
            <v>100</v>
          </cell>
        </row>
        <row r="356">
          <cell r="A356">
            <v>35</v>
          </cell>
          <cell r="M356">
            <v>100</v>
          </cell>
        </row>
        <row r="357">
          <cell r="A357">
            <v>36</v>
          </cell>
          <cell r="M357">
            <v>87.5</v>
          </cell>
        </row>
        <row r="358">
          <cell r="A358">
            <v>37</v>
          </cell>
          <cell r="M358">
            <v>80</v>
          </cell>
        </row>
        <row r="359">
          <cell r="A359">
            <v>38</v>
          </cell>
          <cell r="M359">
            <v>80</v>
          </cell>
        </row>
        <row r="360">
          <cell r="A360">
            <v>39</v>
          </cell>
          <cell r="M360">
            <v>77.272727272727266</v>
          </cell>
        </row>
        <row r="361">
          <cell r="A361">
            <v>40</v>
          </cell>
          <cell r="M361">
            <v>78.571428571428569</v>
          </cell>
        </row>
        <row r="362">
          <cell r="A362">
            <v>1</v>
          </cell>
          <cell r="M362">
            <v>93.865030674846622</v>
          </cell>
        </row>
        <row r="363">
          <cell r="A363">
            <v>2</v>
          </cell>
          <cell r="M363">
            <v>93.650793650793645</v>
          </cell>
        </row>
        <row r="364">
          <cell r="A364">
            <v>3</v>
          </cell>
          <cell r="M364">
            <v>97.159090909090907</v>
          </cell>
        </row>
        <row r="365">
          <cell r="A365">
            <v>4</v>
          </cell>
          <cell r="M365">
            <v>98.630136986301366</v>
          </cell>
        </row>
        <row r="366">
          <cell r="A366">
            <v>5</v>
          </cell>
          <cell r="M366">
            <v>99.290780141843967</v>
          </cell>
        </row>
        <row r="367">
          <cell r="A367">
            <v>6</v>
          </cell>
          <cell r="M367">
            <v>96.666666666666671</v>
          </cell>
        </row>
        <row r="368">
          <cell r="A368">
            <v>7</v>
          </cell>
          <cell r="M368">
            <v>94.117647058823522</v>
          </cell>
        </row>
        <row r="369">
          <cell r="A369">
            <v>8</v>
          </cell>
          <cell r="M369">
            <v>96.581196581196579</v>
          </cell>
        </row>
        <row r="370">
          <cell r="A370">
            <v>9</v>
          </cell>
          <cell r="M370">
            <v>95.36423841059603</v>
          </cell>
        </row>
        <row r="371">
          <cell r="A371">
            <v>10</v>
          </cell>
          <cell r="M371">
            <v>95.172413793103445</v>
          </cell>
        </row>
        <row r="372">
          <cell r="A372">
            <v>11</v>
          </cell>
          <cell r="M372">
            <v>93.788819875776397</v>
          </cell>
        </row>
        <row r="373">
          <cell r="A373">
            <v>12</v>
          </cell>
          <cell r="M373">
            <v>94.615384615384613</v>
          </cell>
        </row>
        <row r="374">
          <cell r="A374">
            <v>13</v>
          </cell>
          <cell r="M374">
            <v>92.356687898089177</v>
          </cell>
        </row>
        <row r="375">
          <cell r="A375">
            <v>14</v>
          </cell>
          <cell r="M375">
            <v>96.527777777777786</v>
          </cell>
        </row>
        <row r="376">
          <cell r="A376">
            <v>15</v>
          </cell>
          <cell r="M376">
            <v>94.936708860759495</v>
          </cell>
        </row>
        <row r="377">
          <cell r="A377">
            <v>16</v>
          </cell>
          <cell r="M377">
            <v>94.475138121546962</v>
          </cell>
        </row>
        <row r="378">
          <cell r="A378">
            <v>17</v>
          </cell>
          <cell r="M378">
            <v>93.661971830985919</v>
          </cell>
        </row>
        <row r="379">
          <cell r="A379">
            <v>18</v>
          </cell>
          <cell r="M379">
            <v>91.279069767441854</v>
          </cell>
        </row>
        <row r="380">
          <cell r="A380">
            <v>19</v>
          </cell>
          <cell r="M380">
            <v>89.743589743589752</v>
          </cell>
        </row>
        <row r="381">
          <cell r="A381">
            <v>20</v>
          </cell>
          <cell r="M381">
            <v>91.19496855345912</v>
          </cell>
        </row>
        <row r="382">
          <cell r="A382">
            <v>21</v>
          </cell>
          <cell r="M382">
            <v>84.93150684931507</v>
          </cell>
        </row>
        <row r="383">
          <cell r="A383">
            <v>22</v>
          </cell>
          <cell r="M383">
            <v>96.590909090909093</v>
          </cell>
        </row>
        <row r="384">
          <cell r="A384">
            <v>23</v>
          </cell>
          <cell r="M384">
            <v>96.341463414634148</v>
          </cell>
        </row>
        <row r="385">
          <cell r="A385">
            <v>24</v>
          </cell>
          <cell r="M385">
            <v>93.85474860335195</v>
          </cell>
        </row>
        <row r="386">
          <cell r="A386">
            <v>25</v>
          </cell>
          <cell r="M386">
            <v>91.124260355029591</v>
          </cell>
        </row>
        <row r="387">
          <cell r="A387">
            <v>26</v>
          </cell>
          <cell r="M387">
            <v>94.117647058823522</v>
          </cell>
        </row>
        <row r="388">
          <cell r="A388">
            <v>27</v>
          </cell>
          <cell r="M388">
            <v>86.19047619047619</v>
          </cell>
        </row>
        <row r="389">
          <cell r="A389">
            <v>28</v>
          </cell>
          <cell r="M389">
            <v>90.957446808510639</v>
          </cell>
        </row>
        <row r="390">
          <cell r="A390">
            <v>29</v>
          </cell>
          <cell r="M390">
            <v>88.613861386138609</v>
          </cell>
        </row>
        <row r="391">
          <cell r="A391">
            <v>30</v>
          </cell>
          <cell r="M391">
            <v>89.333333333333329</v>
          </cell>
        </row>
        <row r="392">
          <cell r="A392">
            <v>31</v>
          </cell>
          <cell r="M392">
            <v>86.893203883495147</v>
          </cell>
        </row>
        <row r="393">
          <cell r="A393">
            <v>32</v>
          </cell>
          <cell r="M393">
            <v>92.156862745098039</v>
          </cell>
        </row>
        <row r="394">
          <cell r="A394">
            <v>33</v>
          </cell>
          <cell r="M394">
            <v>88.177339901477836</v>
          </cell>
        </row>
        <row r="395">
          <cell r="A395">
            <v>34</v>
          </cell>
          <cell r="M395">
            <v>85</v>
          </cell>
        </row>
        <row r="396">
          <cell r="A396">
            <v>35</v>
          </cell>
          <cell r="M396">
            <v>89.714285714285708</v>
          </cell>
        </row>
        <row r="397">
          <cell r="A397">
            <v>36</v>
          </cell>
          <cell r="M397">
            <v>86.390532544378701</v>
          </cell>
        </row>
        <row r="398">
          <cell r="A398">
            <v>37</v>
          </cell>
          <cell r="M398">
            <v>87.195121951219505</v>
          </cell>
        </row>
        <row r="399">
          <cell r="A399">
            <v>38</v>
          </cell>
          <cell r="M399">
            <v>85.207100591715985</v>
          </cell>
        </row>
        <row r="400">
          <cell r="A400">
            <v>39</v>
          </cell>
          <cell r="M400">
            <v>91.62561576354679</v>
          </cell>
        </row>
        <row r="401">
          <cell r="A401">
            <v>40</v>
          </cell>
          <cell r="M401">
            <v>88.888888888888886</v>
          </cell>
        </row>
        <row r="402">
          <cell r="A402">
            <v>1</v>
          </cell>
          <cell r="M402">
            <v>95.927601809954751</v>
          </cell>
        </row>
        <row r="403">
          <cell r="A403">
            <v>2</v>
          </cell>
          <cell r="M403">
            <v>96.832579185520359</v>
          </cell>
        </row>
        <row r="404">
          <cell r="A404">
            <v>3</v>
          </cell>
          <cell r="M404">
            <v>95.238095238095227</v>
          </cell>
        </row>
        <row r="405">
          <cell r="A405">
            <v>4</v>
          </cell>
          <cell r="M405">
            <v>95.544554455445535</v>
          </cell>
        </row>
        <row r="406">
          <cell r="A406">
            <v>5</v>
          </cell>
          <cell r="M406">
            <v>93.212669683257914</v>
          </cell>
        </row>
        <row r="407">
          <cell r="A407">
            <v>6</v>
          </cell>
          <cell r="M407">
            <v>94.468085106382986</v>
          </cell>
        </row>
        <row r="408">
          <cell r="A408">
            <v>7</v>
          </cell>
          <cell r="M408">
            <v>96</v>
          </cell>
        </row>
        <row r="409">
          <cell r="A409">
            <v>8</v>
          </cell>
          <cell r="M409">
            <v>90.366972477064223</v>
          </cell>
        </row>
        <row r="410">
          <cell r="A410">
            <v>9</v>
          </cell>
          <cell r="M410">
            <v>91.079812206572768</v>
          </cell>
        </row>
        <row r="411">
          <cell r="A411">
            <v>10</v>
          </cell>
          <cell r="M411">
            <v>94.805194805194802</v>
          </cell>
        </row>
        <row r="412">
          <cell r="A412">
            <v>11</v>
          </cell>
          <cell r="M412">
            <v>97.787610619469021</v>
          </cell>
        </row>
        <row r="413">
          <cell r="A413">
            <v>12</v>
          </cell>
          <cell r="M413">
            <v>96.943231441048042</v>
          </cell>
        </row>
        <row r="414">
          <cell r="A414">
            <v>13</v>
          </cell>
          <cell r="M414">
            <v>91.709844559585491</v>
          </cell>
        </row>
        <row r="415">
          <cell r="A415">
            <v>14</v>
          </cell>
          <cell r="M415">
            <v>92.672413793103445</v>
          </cell>
        </row>
        <row r="416">
          <cell r="A416">
            <v>15</v>
          </cell>
          <cell r="M416">
            <v>86.142322097378283</v>
          </cell>
        </row>
        <row r="417">
          <cell r="A417">
            <v>16</v>
          </cell>
          <cell r="M417">
            <v>88.659793814432987</v>
          </cell>
        </row>
        <row r="418">
          <cell r="A418">
            <v>17</v>
          </cell>
          <cell r="M418">
            <v>92.410714285714292</v>
          </cell>
        </row>
        <row r="419">
          <cell r="A419">
            <v>18</v>
          </cell>
          <cell r="M419">
            <v>89.610389610389603</v>
          </cell>
        </row>
        <row r="420">
          <cell r="A420">
            <v>19</v>
          </cell>
          <cell r="M420">
            <v>82.969432314410483</v>
          </cell>
        </row>
        <row r="421">
          <cell r="A421">
            <v>20</v>
          </cell>
          <cell r="M421">
            <v>87.169811320754718</v>
          </cell>
        </row>
        <row r="422">
          <cell r="A422">
            <v>21</v>
          </cell>
          <cell r="M422">
            <v>89.88326848249028</v>
          </cell>
        </row>
        <row r="423">
          <cell r="A423">
            <v>22</v>
          </cell>
          <cell r="M423">
            <v>90.34749034749035</v>
          </cell>
        </row>
        <row r="424">
          <cell r="A424">
            <v>23</v>
          </cell>
          <cell r="M424">
            <v>89.642857142857153</v>
          </cell>
        </row>
        <row r="425">
          <cell r="A425">
            <v>24</v>
          </cell>
          <cell r="M425">
            <v>89.400921658986178</v>
          </cell>
        </row>
        <row r="426">
          <cell r="A426">
            <v>25</v>
          </cell>
          <cell r="M426">
            <v>86.419753086419746</v>
          </cell>
        </row>
        <row r="427">
          <cell r="A427">
            <v>26</v>
          </cell>
          <cell r="M427">
            <v>87.931034482758619</v>
          </cell>
        </row>
        <row r="428">
          <cell r="A428">
            <v>27</v>
          </cell>
          <cell r="M428">
            <v>83.467741935483872</v>
          </cell>
        </row>
        <row r="429">
          <cell r="A429">
            <v>28</v>
          </cell>
          <cell r="M429">
            <v>82.926829268292678</v>
          </cell>
        </row>
        <row r="430">
          <cell r="A430">
            <v>29</v>
          </cell>
          <cell r="M430">
            <v>88.60759493670885</v>
          </cell>
        </row>
        <row r="431">
          <cell r="A431">
            <v>30</v>
          </cell>
          <cell r="M431">
            <v>89.523809523809533</v>
          </cell>
        </row>
        <row r="432">
          <cell r="A432">
            <v>31</v>
          </cell>
          <cell r="M432">
            <v>95.238095238095227</v>
          </cell>
        </row>
        <row r="433">
          <cell r="A433">
            <v>32</v>
          </cell>
          <cell r="M433">
            <v>94.930875576036868</v>
          </cell>
        </row>
        <row r="434">
          <cell r="A434">
            <v>33</v>
          </cell>
          <cell r="M434">
            <v>91.904761904761898</v>
          </cell>
        </row>
        <row r="435">
          <cell r="A435">
            <v>34</v>
          </cell>
          <cell r="M435">
            <v>89.142857142857139</v>
          </cell>
        </row>
        <row r="436">
          <cell r="A436">
            <v>35</v>
          </cell>
          <cell r="M436">
            <v>97.252747252747255</v>
          </cell>
        </row>
        <row r="437">
          <cell r="A437">
            <v>36</v>
          </cell>
          <cell r="M437">
            <v>97.560975609756099</v>
          </cell>
        </row>
        <row r="438">
          <cell r="A438">
            <v>37</v>
          </cell>
          <cell r="M438">
            <v>93.782383419689126</v>
          </cell>
        </row>
        <row r="439">
          <cell r="A439">
            <v>38</v>
          </cell>
          <cell r="M439">
            <v>90.909090909090907</v>
          </cell>
        </row>
        <row r="440">
          <cell r="A440">
            <v>39</v>
          </cell>
          <cell r="M440">
            <v>92.857142857142861</v>
          </cell>
        </row>
        <row r="441">
          <cell r="A441">
            <v>40</v>
          </cell>
          <cell r="M441">
            <v>88.185654008438817</v>
          </cell>
        </row>
        <row r="442">
          <cell r="A442">
            <v>1</v>
          </cell>
          <cell r="M442">
            <v>94.829760403530898</v>
          </cell>
        </row>
        <row r="443">
          <cell r="A443">
            <v>2</v>
          </cell>
          <cell r="M443">
            <v>95.862884160756494</v>
          </cell>
        </row>
        <row r="444">
          <cell r="A444">
            <v>3</v>
          </cell>
          <cell r="M444">
            <v>94.306930693069305</v>
          </cell>
        </row>
        <row r="445">
          <cell r="A445">
            <v>4</v>
          </cell>
          <cell r="M445">
            <v>94.903737259343146</v>
          </cell>
        </row>
        <row r="446">
          <cell r="A446">
            <v>5</v>
          </cell>
          <cell r="M446">
            <v>93.412384716732547</v>
          </cell>
        </row>
        <row r="447">
          <cell r="A447">
            <v>6</v>
          </cell>
          <cell r="M447">
            <v>94.329896907216494</v>
          </cell>
        </row>
        <row r="448">
          <cell r="A448">
            <v>7</v>
          </cell>
          <cell r="M448">
            <v>93.19899244332494</v>
          </cell>
        </row>
        <row r="449">
          <cell r="A449">
            <v>8</v>
          </cell>
          <cell r="M449">
            <v>94.223826714801433</v>
          </cell>
        </row>
        <row r="450">
          <cell r="A450">
            <v>9</v>
          </cell>
          <cell r="M450">
            <v>90.400972053462937</v>
          </cell>
        </row>
        <row r="451">
          <cell r="A451">
            <v>10</v>
          </cell>
          <cell r="M451">
            <v>89.850057670126873</v>
          </cell>
        </row>
        <row r="452">
          <cell r="A452">
            <v>11</v>
          </cell>
          <cell r="M452">
            <v>90.740740740740748</v>
          </cell>
        </row>
        <row r="453">
          <cell r="A453">
            <v>12</v>
          </cell>
          <cell r="M453">
            <v>92.65255292652553</v>
          </cell>
        </row>
        <row r="454">
          <cell r="A454">
            <v>13</v>
          </cell>
          <cell r="M454">
            <v>90.665110851808635</v>
          </cell>
        </row>
        <row r="455">
          <cell r="A455">
            <v>14</v>
          </cell>
          <cell r="M455">
            <v>89.626055488540416</v>
          </cell>
        </row>
        <row r="456">
          <cell r="A456">
            <v>15</v>
          </cell>
          <cell r="M456">
            <v>86.238532110091754</v>
          </cell>
        </row>
        <row r="457">
          <cell r="A457">
            <v>16</v>
          </cell>
          <cell r="M457">
            <v>87.149028077753769</v>
          </cell>
        </row>
        <row r="458">
          <cell r="A458">
            <v>17</v>
          </cell>
          <cell r="M458">
            <v>85.968819599109139</v>
          </cell>
        </row>
        <row r="459">
          <cell r="A459">
            <v>18</v>
          </cell>
          <cell r="M459">
            <v>87.950450450450447</v>
          </cell>
        </row>
        <row r="460">
          <cell r="A460">
            <v>19</v>
          </cell>
          <cell r="M460">
            <v>81.950672645739914</v>
          </cell>
        </row>
        <row r="461">
          <cell r="A461">
            <v>20</v>
          </cell>
          <cell r="M461">
            <v>84.573894282632139</v>
          </cell>
        </row>
        <row r="462">
          <cell r="A462">
            <v>21</v>
          </cell>
          <cell r="M462">
            <v>83.095499451152577</v>
          </cell>
        </row>
        <row r="463">
          <cell r="A463">
            <v>22</v>
          </cell>
          <cell r="M463">
            <v>82.563025210084035</v>
          </cell>
        </row>
        <row r="464">
          <cell r="A464">
            <v>23</v>
          </cell>
          <cell r="M464">
            <v>81.208791208791212</v>
          </cell>
        </row>
        <row r="465">
          <cell r="A465">
            <v>24</v>
          </cell>
          <cell r="M465">
            <v>81.438998957247136</v>
          </cell>
        </row>
        <row r="466">
          <cell r="A466">
            <v>25</v>
          </cell>
          <cell r="M466">
            <v>80.148619957537164</v>
          </cell>
        </row>
        <row r="467">
          <cell r="A467">
            <v>26</v>
          </cell>
          <cell r="M467">
            <v>78.8</v>
          </cell>
        </row>
        <row r="468">
          <cell r="A468">
            <v>27</v>
          </cell>
          <cell r="M468">
            <v>75.508317929759698</v>
          </cell>
        </row>
        <row r="469">
          <cell r="A469">
            <v>28</v>
          </cell>
          <cell r="M469">
            <v>76</v>
          </cell>
        </row>
        <row r="470">
          <cell r="A470">
            <v>29</v>
          </cell>
          <cell r="M470">
            <v>75.157515751575161</v>
          </cell>
        </row>
        <row r="471">
          <cell r="A471">
            <v>30</v>
          </cell>
          <cell r="M471">
            <v>76.360392506690459</v>
          </cell>
        </row>
        <row r="472">
          <cell r="A472">
            <v>31</v>
          </cell>
          <cell r="M472">
            <v>78.715596330275233</v>
          </cell>
        </row>
        <row r="473">
          <cell r="A473">
            <v>32</v>
          </cell>
          <cell r="M473">
            <v>78.494623655913969</v>
          </cell>
        </row>
        <row r="474">
          <cell r="A474">
            <v>33</v>
          </cell>
          <cell r="M474">
            <v>80.603842634949686</v>
          </cell>
        </row>
        <row r="475">
          <cell r="A475">
            <v>34</v>
          </cell>
          <cell r="M475">
            <v>80.606060606060609</v>
          </cell>
        </row>
        <row r="476">
          <cell r="A476">
            <v>35</v>
          </cell>
          <cell r="M476">
            <v>85.933806146572095</v>
          </cell>
        </row>
        <row r="477">
          <cell r="A477">
            <v>36</v>
          </cell>
          <cell r="M477">
            <v>81.92893401015229</v>
          </cell>
        </row>
        <row r="478">
          <cell r="A478">
            <v>37</v>
          </cell>
          <cell r="M478">
            <v>80.708294501397944</v>
          </cell>
        </row>
        <row r="479">
          <cell r="A479">
            <v>38</v>
          </cell>
          <cell r="M479">
            <v>79.945799457994582</v>
          </cell>
        </row>
        <row r="480">
          <cell r="A480">
            <v>39</v>
          </cell>
          <cell r="M480">
            <v>78.135888501742158</v>
          </cell>
        </row>
        <row r="481">
          <cell r="A481">
            <v>40</v>
          </cell>
          <cell r="M481">
            <v>71.722365038560412</v>
          </cell>
        </row>
        <row r="482">
          <cell r="A482">
            <v>1</v>
          </cell>
          <cell r="M482">
            <v>97.297297297297305</v>
          </cell>
        </row>
        <row r="483">
          <cell r="A483">
            <v>2</v>
          </cell>
          <cell r="M483">
            <v>97.590361445783131</v>
          </cell>
        </row>
        <row r="484">
          <cell r="A484">
            <v>3</v>
          </cell>
          <cell r="M484">
            <v>99.033816425120762</v>
          </cell>
        </row>
        <row r="485">
          <cell r="A485">
            <v>4</v>
          </cell>
          <cell r="M485">
            <v>97.881355932203391</v>
          </cell>
        </row>
        <row r="486">
          <cell r="A486">
            <v>5</v>
          </cell>
          <cell r="M486">
            <v>98.067632850241552</v>
          </cell>
        </row>
        <row r="487">
          <cell r="A487">
            <v>6</v>
          </cell>
          <cell r="M487">
            <v>97.47899159663865</v>
          </cell>
        </row>
        <row r="488">
          <cell r="A488">
            <v>7</v>
          </cell>
          <cell r="M488">
            <v>96.5</v>
          </cell>
        </row>
        <row r="489">
          <cell r="A489">
            <v>8</v>
          </cell>
          <cell r="M489">
            <v>97.727272727272734</v>
          </cell>
        </row>
        <row r="490">
          <cell r="A490">
            <v>9</v>
          </cell>
          <cell r="M490">
            <v>96.460176991150433</v>
          </cell>
        </row>
        <row r="491">
          <cell r="A491">
            <v>10</v>
          </cell>
          <cell r="M491">
            <v>97.21254355400697</v>
          </cell>
        </row>
        <row r="492">
          <cell r="A492">
            <v>11</v>
          </cell>
          <cell r="M492">
            <v>97.959183673469383</v>
          </cell>
        </row>
        <row r="493">
          <cell r="A493">
            <v>12</v>
          </cell>
          <cell r="M493">
            <v>96.761133603238875</v>
          </cell>
        </row>
        <row r="494">
          <cell r="A494">
            <v>13</v>
          </cell>
          <cell r="M494">
            <v>98.122065727699521</v>
          </cell>
        </row>
        <row r="495">
          <cell r="A495">
            <v>14</v>
          </cell>
          <cell r="M495">
            <v>98.23788546255507</v>
          </cell>
        </row>
        <row r="496">
          <cell r="A496">
            <v>15</v>
          </cell>
          <cell r="M496">
            <v>96.638655462184872</v>
          </cell>
        </row>
        <row r="497">
          <cell r="A497">
            <v>16</v>
          </cell>
          <cell r="M497">
            <v>95.33898305084746</v>
          </cell>
        </row>
        <row r="498">
          <cell r="A498">
            <v>17</v>
          </cell>
          <cell r="M498">
            <v>97.391304347826093</v>
          </cell>
        </row>
        <row r="499">
          <cell r="A499">
            <v>18</v>
          </cell>
          <cell r="M499">
            <v>95.620437956204384</v>
          </cell>
        </row>
        <row r="500">
          <cell r="A500">
            <v>19</v>
          </cell>
          <cell r="M500">
            <v>97.718631178707227</v>
          </cell>
        </row>
        <row r="501">
          <cell r="A501">
            <v>20</v>
          </cell>
          <cell r="M501">
            <v>97.747747747747752</v>
          </cell>
        </row>
        <row r="502">
          <cell r="A502">
            <v>21</v>
          </cell>
          <cell r="M502">
            <v>97.435897435897431</v>
          </cell>
        </row>
        <row r="503">
          <cell r="A503">
            <v>22</v>
          </cell>
          <cell r="M503">
            <v>96.15384615384616</v>
          </cell>
        </row>
        <row r="504">
          <cell r="A504">
            <v>23</v>
          </cell>
          <cell r="M504">
            <v>95.723684210526315</v>
          </cell>
        </row>
        <row r="505">
          <cell r="A505">
            <v>24</v>
          </cell>
          <cell r="M505">
            <v>96.638655462184872</v>
          </cell>
        </row>
        <row r="506">
          <cell r="A506">
            <v>25</v>
          </cell>
          <cell r="M506">
            <v>97.416974169741692</v>
          </cell>
        </row>
        <row r="507">
          <cell r="A507">
            <v>26</v>
          </cell>
          <cell r="M507">
            <v>96.407185628742525</v>
          </cell>
        </row>
        <row r="508">
          <cell r="A508">
            <v>27</v>
          </cell>
          <cell r="M508">
            <v>97.115384615384613</v>
          </cell>
        </row>
        <row r="509">
          <cell r="A509">
            <v>28</v>
          </cell>
          <cell r="M509">
            <v>97.394136807817588</v>
          </cell>
        </row>
        <row r="510">
          <cell r="A510">
            <v>29</v>
          </cell>
          <cell r="M510">
            <v>98.71794871794873</v>
          </cell>
        </row>
        <row r="511">
          <cell r="A511">
            <v>30</v>
          </cell>
          <cell r="M511">
            <v>97.720797720797719</v>
          </cell>
        </row>
        <row r="512">
          <cell r="A512">
            <v>31</v>
          </cell>
          <cell r="M512">
            <v>97.878787878787875</v>
          </cell>
        </row>
        <row r="513">
          <cell r="A513">
            <v>32</v>
          </cell>
          <cell r="M513">
            <v>98.281786941580748</v>
          </cell>
        </row>
        <row r="514">
          <cell r="A514">
            <v>33</v>
          </cell>
          <cell r="M514">
            <v>97.994269340974213</v>
          </cell>
        </row>
        <row r="515">
          <cell r="A515">
            <v>34</v>
          </cell>
          <cell r="M515">
            <v>92.592592592592595</v>
          </cell>
        </row>
        <row r="516">
          <cell r="A516">
            <v>35</v>
          </cell>
          <cell r="M516">
            <v>90.566037735849065</v>
          </cell>
        </row>
        <row r="517">
          <cell r="A517">
            <v>36</v>
          </cell>
          <cell r="M517">
            <v>91.558441558441558</v>
          </cell>
        </row>
        <row r="518">
          <cell r="A518">
            <v>37</v>
          </cell>
          <cell r="M518">
            <v>92.72727272727272</v>
          </cell>
        </row>
        <row r="519">
          <cell r="A519">
            <v>38</v>
          </cell>
          <cell r="M519">
            <v>92.857142857142861</v>
          </cell>
        </row>
        <row r="520">
          <cell r="A520">
            <v>39</v>
          </cell>
          <cell r="M520">
            <v>89.117647058823536</v>
          </cell>
        </row>
        <row r="521">
          <cell r="A521">
            <v>40</v>
          </cell>
          <cell r="M521">
            <v>81.502890173410407</v>
          </cell>
        </row>
        <row r="522">
          <cell r="A522">
            <v>1</v>
          </cell>
          <cell r="M522">
            <v>92.307692307692307</v>
          </cell>
        </row>
        <row r="523">
          <cell r="A523">
            <v>2</v>
          </cell>
          <cell r="M523">
            <v>86.842105263157904</v>
          </cell>
        </row>
        <row r="524">
          <cell r="A524">
            <v>3</v>
          </cell>
          <cell r="M524">
            <v>82.35294117647058</v>
          </cell>
        </row>
        <row r="525">
          <cell r="A525">
            <v>4</v>
          </cell>
          <cell r="M525">
            <v>86.486486486486484</v>
          </cell>
        </row>
        <row r="526">
          <cell r="A526">
            <v>5</v>
          </cell>
          <cell r="M526">
            <v>85</v>
          </cell>
        </row>
        <row r="527">
          <cell r="A527">
            <v>6</v>
          </cell>
          <cell r="M527">
            <v>91.17647058823529</v>
          </cell>
        </row>
        <row r="528">
          <cell r="A528">
            <v>7</v>
          </cell>
          <cell r="M528">
            <v>89.189189189189193</v>
          </cell>
        </row>
        <row r="529">
          <cell r="A529">
            <v>8</v>
          </cell>
          <cell r="M529">
            <v>81.578947368421055</v>
          </cell>
        </row>
        <row r="530">
          <cell r="A530">
            <v>9</v>
          </cell>
          <cell r="M530">
            <v>84.375</v>
          </cell>
        </row>
        <row r="531">
          <cell r="A531">
            <v>10</v>
          </cell>
          <cell r="M531">
            <v>87.5</v>
          </cell>
        </row>
        <row r="532">
          <cell r="A532">
            <v>11</v>
          </cell>
          <cell r="M532">
            <v>88.095238095238088</v>
          </cell>
        </row>
        <row r="533">
          <cell r="A533">
            <v>12</v>
          </cell>
          <cell r="M533">
            <v>89.285714285714292</v>
          </cell>
        </row>
        <row r="534">
          <cell r="A534">
            <v>13</v>
          </cell>
          <cell r="M534">
            <v>76</v>
          </cell>
        </row>
        <row r="535">
          <cell r="A535">
            <v>14</v>
          </cell>
          <cell r="M535">
            <v>95.454545454545453</v>
          </cell>
        </row>
        <row r="536">
          <cell r="A536">
            <v>15</v>
          </cell>
          <cell r="M536">
            <v>85.714285714285708</v>
          </cell>
        </row>
        <row r="537">
          <cell r="A537">
            <v>16</v>
          </cell>
          <cell r="M537">
            <v>92.307692307692307</v>
          </cell>
        </row>
        <row r="538">
          <cell r="A538">
            <v>17</v>
          </cell>
          <cell r="M538">
            <v>70.588235294117652</v>
          </cell>
        </row>
        <row r="539">
          <cell r="A539">
            <v>18</v>
          </cell>
          <cell r="M539">
            <v>77.142857142857153</v>
          </cell>
        </row>
        <row r="540">
          <cell r="A540">
            <v>19</v>
          </cell>
          <cell r="M540">
            <v>75.555555555555557</v>
          </cell>
        </row>
        <row r="541">
          <cell r="A541">
            <v>20</v>
          </cell>
          <cell r="M541">
            <v>75.609756097560975</v>
          </cell>
        </row>
        <row r="542">
          <cell r="A542">
            <v>21</v>
          </cell>
          <cell r="M542">
            <v>67.441860465116278</v>
          </cell>
        </row>
        <row r="543">
          <cell r="A543">
            <v>22</v>
          </cell>
          <cell r="M543">
            <v>60.869565217391312</v>
          </cell>
        </row>
        <row r="544">
          <cell r="A544">
            <v>23</v>
          </cell>
          <cell r="M544">
            <v>71.05263157894737</v>
          </cell>
        </row>
        <row r="545">
          <cell r="A545">
            <v>24</v>
          </cell>
          <cell r="M545">
            <v>72.727272727272734</v>
          </cell>
        </row>
        <row r="546">
          <cell r="A546">
            <v>25</v>
          </cell>
          <cell r="M546">
            <v>67.567567567567565</v>
          </cell>
        </row>
        <row r="547">
          <cell r="A547">
            <v>26</v>
          </cell>
          <cell r="M547">
            <v>72.727272727272734</v>
          </cell>
        </row>
        <row r="548">
          <cell r="A548">
            <v>27</v>
          </cell>
          <cell r="M548">
            <v>71.428571428571431</v>
          </cell>
        </row>
        <row r="549">
          <cell r="A549">
            <v>28</v>
          </cell>
          <cell r="M549">
            <v>79.411764705882348</v>
          </cell>
        </row>
        <row r="550">
          <cell r="A550">
            <v>29</v>
          </cell>
          <cell r="M550">
            <v>71.428571428571431</v>
          </cell>
        </row>
        <row r="551">
          <cell r="A551">
            <v>30</v>
          </cell>
          <cell r="M551">
            <v>60</v>
          </cell>
        </row>
        <row r="552">
          <cell r="A552">
            <v>31</v>
          </cell>
          <cell r="M552">
            <v>71.428571428571431</v>
          </cell>
        </row>
        <row r="553">
          <cell r="A553">
            <v>32</v>
          </cell>
          <cell r="M553">
            <v>55.555555555555557</v>
          </cell>
        </row>
        <row r="554">
          <cell r="A554">
            <v>33</v>
          </cell>
          <cell r="M554">
            <v>66.666666666666657</v>
          </cell>
        </row>
        <row r="555">
          <cell r="A555">
            <v>34</v>
          </cell>
          <cell r="M555">
            <v>77.5</v>
          </cell>
        </row>
        <row r="556">
          <cell r="A556">
            <v>35</v>
          </cell>
          <cell r="M556">
            <v>92</v>
          </cell>
        </row>
        <row r="557">
          <cell r="A557">
            <v>36</v>
          </cell>
          <cell r="M557">
            <v>84.210526315789465</v>
          </cell>
        </row>
        <row r="558">
          <cell r="A558">
            <v>37</v>
          </cell>
          <cell r="M558">
            <v>69.767441860465112</v>
          </cell>
        </row>
        <row r="559">
          <cell r="A559">
            <v>38</v>
          </cell>
          <cell r="M559">
            <v>83.333333333333343</v>
          </cell>
        </row>
        <row r="560">
          <cell r="A560">
            <v>39</v>
          </cell>
          <cell r="M560">
            <v>68.75</v>
          </cell>
        </row>
        <row r="561">
          <cell r="A561">
            <v>40</v>
          </cell>
          <cell r="M561">
            <v>58.139534883720934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047C-9467-4766-A839-00F7BF5898D8}">
  <dimension ref="A1:I561"/>
  <sheetViews>
    <sheetView zoomScale="106" workbookViewId="0">
      <selection activeCell="H24" sqref="H24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2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/>
    </row>
    <row r="2" spans="1:9" x14ac:dyDescent="0.35">
      <c r="A2">
        <v>1</v>
      </c>
      <c r="B2">
        <v>2012</v>
      </c>
      <c r="C2">
        <v>1</v>
      </c>
      <c r="D2" t="s">
        <v>8</v>
      </c>
      <c r="E2" t="s">
        <v>9</v>
      </c>
      <c r="F2" t="s">
        <v>10</v>
      </c>
      <c r="G2" t="s">
        <v>24</v>
      </c>
      <c r="H2" s="2">
        <v>97.041420118343197</v>
      </c>
    </row>
    <row r="3" spans="1:9" x14ac:dyDescent="0.35">
      <c r="A3">
        <v>2</v>
      </c>
      <c r="B3">
        <v>2012</v>
      </c>
      <c r="C3">
        <v>2</v>
      </c>
      <c r="D3" t="s">
        <v>8</v>
      </c>
      <c r="E3" t="s">
        <v>9</v>
      </c>
      <c r="F3" t="s">
        <v>10</v>
      </c>
      <c r="G3" t="s">
        <v>24</v>
      </c>
      <c r="H3" s="2">
        <v>97.044334975369466</v>
      </c>
    </row>
    <row r="4" spans="1:9" x14ac:dyDescent="0.35">
      <c r="A4">
        <v>3</v>
      </c>
      <c r="B4">
        <v>2012</v>
      </c>
      <c r="C4">
        <v>3</v>
      </c>
      <c r="D4" t="s">
        <v>8</v>
      </c>
      <c r="E4" t="s">
        <v>9</v>
      </c>
      <c r="F4" t="s">
        <v>10</v>
      </c>
      <c r="G4" t="s">
        <v>24</v>
      </c>
      <c r="H4" s="2">
        <v>97.014925373134332</v>
      </c>
    </row>
    <row r="5" spans="1:9" x14ac:dyDescent="0.35">
      <c r="A5">
        <v>4</v>
      </c>
      <c r="B5">
        <v>2012</v>
      </c>
      <c r="C5">
        <v>4</v>
      </c>
      <c r="D5" t="s">
        <v>8</v>
      </c>
      <c r="E5" t="s">
        <v>9</v>
      </c>
      <c r="F5" t="s">
        <v>10</v>
      </c>
      <c r="G5" t="s">
        <v>24</v>
      </c>
      <c r="H5" s="2">
        <v>96.36363636363636</v>
      </c>
    </row>
    <row r="6" spans="1:9" x14ac:dyDescent="0.35">
      <c r="A6">
        <v>5</v>
      </c>
      <c r="B6">
        <v>2013</v>
      </c>
      <c r="C6">
        <v>1</v>
      </c>
      <c r="D6" t="s">
        <v>8</v>
      </c>
      <c r="E6" t="s">
        <v>9</v>
      </c>
      <c r="F6" t="s">
        <v>10</v>
      </c>
      <c r="G6" t="s">
        <v>24</v>
      </c>
      <c r="H6" s="2">
        <v>98.275862068965509</v>
      </c>
    </row>
    <row r="7" spans="1:9" x14ac:dyDescent="0.35">
      <c r="A7">
        <v>6</v>
      </c>
      <c r="B7">
        <v>2013</v>
      </c>
      <c r="C7">
        <v>2</v>
      </c>
      <c r="D7" t="s">
        <v>8</v>
      </c>
      <c r="E7" t="s">
        <v>9</v>
      </c>
      <c r="F7" t="s">
        <v>10</v>
      </c>
      <c r="G7" t="s">
        <v>24</v>
      </c>
      <c r="H7" s="2">
        <v>96.934865900383144</v>
      </c>
    </row>
    <row r="8" spans="1:9" x14ac:dyDescent="0.35">
      <c r="A8">
        <v>7</v>
      </c>
      <c r="B8">
        <v>2013</v>
      </c>
      <c r="C8">
        <v>3</v>
      </c>
      <c r="D8" t="s">
        <v>8</v>
      </c>
      <c r="E8" t="s">
        <v>9</v>
      </c>
      <c r="F8" t="s">
        <v>10</v>
      </c>
      <c r="G8" t="s">
        <v>24</v>
      </c>
      <c r="H8" s="2">
        <v>97.083333333333329</v>
      </c>
    </row>
    <row r="9" spans="1:9" x14ac:dyDescent="0.35">
      <c r="A9">
        <v>8</v>
      </c>
      <c r="B9">
        <v>2013</v>
      </c>
      <c r="C9">
        <v>4</v>
      </c>
      <c r="D9" t="s">
        <v>8</v>
      </c>
      <c r="E9" t="s">
        <v>9</v>
      </c>
      <c r="F9" t="s">
        <v>10</v>
      </c>
      <c r="G9" t="s">
        <v>24</v>
      </c>
      <c r="H9" s="2">
        <v>98</v>
      </c>
    </row>
    <row r="10" spans="1:9" x14ac:dyDescent="0.35">
      <c r="A10">
        <v>9</v>
      </c>
      <c r="B10">
        <v>2014</v>
      </c>
      <c r="C10">
        <v>1</v>
      </c>
      <c r="D10" t="s">
        <v>8</v>
      </c>
      <c r="E10" t="s">
        <v>9</v>
      </c>
      <c r="F10" t="s">
        <v>10</v>
      </c>
      <c r="G10" t="s">
        <v>24</v>
      </c>
      <c r="H10" s="2">
        <v>98.578199052132703</v>
      </c>
    </row>
    <row r="11" spans="1:9" x14ac:dyDescent="0.35">
      <c r="A11">
        <v>10</v>
      </c>
      <c r="B11">
        <v>2014</v>
      </c>
      <c r="C11">
        <v>2</v>
      </c>
      <c r="D11" t="s">
        <v>8</v>
      </c>
      <c r="E11" t="s">
        <v>9</v>
      </c>
      <c r="F11" t="s">
        <v>10</v>
      </c>
      <c r="G11" t="s">
        <v>24</v>
      </c>
      <c r="H11" s="2">
        <v>95.594713656387668</v>
      </c>
    </row>
    <row r="12" spans="1:9" x14ac:dyDescent="0.35">
      <c r="A12">
        <v>11</v>
      </c>
      <c r="B12">
        <v>2014</v>
      </c>
      <c r="C12">
        <v>3</v>
      </c>
      <c r="D12" t="s">
        <v>8</v>
      </c>
      <c r="E12" t="s">
        <v>9</v>
      </c>
      <c r="F12" t="s">
        <v>10</v>
      </c>
      <c r="G12" t="s">
        <v>24</v>
      </c>
      <c r="H12" s="2">
        <v>97.468354430379748</v>
      </c>
    </row>
    <row r="13" spans="1:9" x14ac:dyDescent="0.35">
      <c r="A13">
        <v>12</v>
      </c>
      <c r="B13">
        <v>2014</v>
      </c>
      <c r="C13">
        <v>4</v>
      </c>
      <c r="D13" t="s">
        <v>8</v>
      </c>
      <c r="E13" t="s">
        <v>9</v>
      </c>
      <c r="F13" t="s">
        <v>10</v>
      </c>
      <c r="G13" t="s">
        <v>24</v>
      </c>
      <c r="H13" s="2">
        <v>95.689655172413794</v>
      </c>
    </row>
    <row r="14" spans="1:9" x14ac:dyDescent="0.35">
      <c r="A14">
        <v>13</v>
      </c>
      <c r="B14">
        <v>2015</v>
      </c>
      <c r="C14">
        <v>1</v>
      </c>
      <c r="D14" t="s">
        <v>8</v>
      </c>
      <c r="E14" t="s">
        <v>9</v>
      </c>
      <c r="F14" t="s">
        <v>10</v>
      </c>
      <c r="G14" t="s">
        <v>24</v>
      </c>
      <c r="H14" s="2">
        <v>94.560669456066947</v>
      </c>
    </row>
    <row r="15" spans="1:9" x14ac:dyDescent="0.35">
      <c r="A15">
        <v>14</v>
      </c>
      <c r="B15">
        <v>2015</v>
      </c>
      <c r="C15">
        <v>2</v>
      </c>
      <c r="D15" t="s">
        <v>8</v>
      </c>
      <c r="E15" t="s">
        <v>9</v>
      </c>
      <c r="F15" t="s">
        <v>10</v>
      </c>
      <c r="G15" t="s">
        <v>24</v>
      </c>
      <c r="H15" s="2">
        <v>97.244094488188978</v>
      </c>
    </row>
    <row r="16" spans="1:9" x14ac:dyDescent="0.35">
      <c r="A16">
        <v>15</v>
      </c>
      <c r="B16">
        <v>2015</v>
      </c>
      <c r="C16">
        <v>3</v>
      </c>
      <c r="D16" t="s">
        <v>8</v>
      </c>
      <c r="E16" t="s">
        <v>9</v>
      </c>
      <c r="F16" t="s">
        <v>10</v>
      </c>
      <c r="G16" t="s">
        <v>24</v>
      </c>
      <c r="H16" s="2">
        <v>96.551724137931032</v>
      </c>
    </row>
    <row r="17" spans="1:8" x14ac:dyDescent="0.35">
      <c r="A17">
        <v>16</v>
      </c>
      <c r="B17">
        <v>2015</v>
      </c>
      <c r="C17">
        <v>4</v>
      </c>
      <c r="D17" t="s">
        <v>8</v>
      </c>
      <c r="E17" t="s">
        <v>9</v>
      </c>
      <c r="F17" t="s">
        <v>10</v>
      </c>
      <c r="G17" t="s">
        <v>24</v>
      </c>
      <c r="H17" s="2">
        <v>95.594713656387668</v>
      </c>
    </row>
    <row r="18" spans="1:8" x14ac:dyDescent="0.35">
      <c r="A18">
        <v>17</v>
      </c>
      <c r="B18">
        <v>2016</v>
      </c>
      <c r="C18">
        <v>1</v>
      </c>
      <c r="D18" t="s">
        <v>8</v>
      </c>
      <c r="E18" t="s">
        <v>9</v>
      </c>
      <c r="F18" t="s">
        <v>10</v>
      </c>
      <c r="G18" t="s">
        <v>24</v>
      </c>
      <c r="H18" s="2">
        <v>93.689320388349515</v>
      </c>
    </row>
    <row r="19" spans="1:8" x14ac:dyDescent="0.35">
      <c r="A19">
        <v>18</v>
      </c>
      <c r="B19">
        <v>2016</v>
      </c>
      <c r="C19">
        <v>2</v>
      </c>
      <c r="D19" t="s">
        <v>8</v>
      </c>
      <c r="E19" t="s">
        <v>9</v>
      </c>
      <c r="F19" t="s">
        <v>10</v>
      </c>
      <c r="G19" t="s">
        <v>24</v>
      </c>
      <c r="H19" s="2">
        <v>93.055555555555557</v>
      </c>
    </row>
    <row r="20" spans="1:8" x14ac:dyDescent="0.35">
      <c r="A20">
        <v>19</v>
      </c>
      <c r="B20">
        <v>2016</v>
      </c>
      <c r="C20">
        <v>3</v>
      </c>
      <c r="D20" t="s">
        <v>8</v>
      </c>
      <c r="E20" t="s">
        <v>9</v>
      </c>
      <c r="F20" t="s">
        <v>10</v>
      </c>
      <c r="G20" t="s">
        <v>24</v>
      </c>
      <c r="H20" s="2">
        <v>95.614035087719301</v>
      </c>
    </row>
    <row r="21" spans="1:8" x14ac:dyDescent="0.35">
      <c r="A21">
        <v>20</v>
      </c>
      <c r="B21">
        <v>2016</v>
      </c>
      <c r="C21">
        <v>4</v>
      </c>
      <c r="D21" t="s">
        <v>8</v>
      </c>
      <c r="E21" t="s">
        <v>9</v>
      </c>
      <c r="F21" t="s">
        <v>10</v>
      </c>
      <c r="G21" t="s">
        <v>24</v>
      </c>
      <c r="H21" s="2">
        <v>95.319148936170222</v>
      </c>
    </row>
    <row r="22" spans="1:8" x14ac:dyDescent="0.35">
      <c r="A22">
        <v>21</v>
      </c>
      <c r="B22">
        <v>2017</v>
      </c>
      <c r="C22">
        <v>1</v>
      </c>
      <c r="D22" t="s">
        <v>8</v>
      </c>
      <c r="E22" t="s">
        <v>9</v>
      </c>
      <c r="F22" t="s">
        <v>10</v>
      </c>
      <c r="G22" t="s">
        <v>24</v>
      </c>
      <c r="H22" s="2">
        <v>95.794392523364493</v>
      </c>
    </row>
    <row r="23" spans="1:8" x14ac:dyDescent="0.35">
      <c r="A23">
        <v>22</v>
      </c>
      <c r="B23">
        <v>2017</v>
      </c>
      <c r="C23">
        <v>2</v>
      </c>
      <c r="D23" t="s">
        <v>8</v>
      </c>
      <c r="E23" t="s">
        <v>9</v>
      </c>
      <c r="F23" t="s">
        <v>10</v>
      </c>
      <c r="G23" t="s">
        <v>24</v>
      </c>
      <c r="H23" s="2">
        <v>94.9579831932773</v>
      </c>
    </row>
    <row r="24" spans="1:8" x14ac:dyDescent="0.35">
      <c r="A24">
        <v>23</v>
      </c>
      <c r="B24">
        <v>2017</v>
      </c>
      <c r="C24">
        <v>3</v>
      </c>
      <c r="D24" t="s">
        <v>8</v>
      </c>
      <c r="E24" t="s">
        <v>9</v>
      </c>
      <c r="F24" t="s">
        <v>10</v>
      </c>
      <c r="G24" t="s">
        <v>24</v>
      </c>
      <c r="H24" s="2">
        <v>92.96875</v>
      </c>
    </row>
    <row r="25" spans="1:8" x14ac:dyDescent="0.35">
      <c r="A25">
        <v>24</v>
      </c>
      <c r="B25">
        <v>2017</v>
      </c>
      <c r="C25">
        <v>4</v>
      </c>
      <c r="D25" t="s">
        <v>8</v>
      </c>
      <c r="E25" t="s">
        <v>9</v>
      </c>
      <c r="F25" t="s">
        <v>10</v>
      </c>
      <c r="G25" t="s">
        <v>24</v>
      </c>
      <c r="H25" s="2">
        <v>96.399999999999991</v>
      </c>
    </row>
    <row r="26" spans="1:8" x14ac:dyDescent="0.35">
      <c r="A26">
        <v>25</v>
      </c>
      <c r="B26">
        <v>2018</v>
      </c>
      <c r="C26">
        <v>1</v>
      </c>
      <c r="D26" t="s">
        <v>8</v>
      </c>
      <c r="E26" t="s">
        <v>9</v>
      </c>
      <c r="F26" t="s">
        <v>10</v>
      </c>
      <c r="G26" t="s">
        <v>24</v>
      </c>
      <c r="H26" s="2">
        <v>92.165898617511516</v>
      </c>
    </row>
    <row r="27" spans="1:8" x14ac:dyDescent="0.35">
      <c r="A27">
        <v>26</v>
      </c>
      <c r="B27">
        <v>2018</v>
      </c>
      <c r="C27">
        <v>2</v>
      </c>
      <c r="D27" t="s">
        <v>8</v>
      </c>
      <c r="E27" t="s">
        <v>9</v>
      </c>
      <c r="F27" t="s">
        <v>10</v>
      </c>
      <c r="G27" t="s">
        <v>24</v>
      </c>
      <c r="H27" s="2">
        <v>91.363636363636374</v>
      </c>
    </row>
    <row r="28" spans="1:8" x14ac:dyDescent="0.35">
      <c r="A28">
        <v>27</v>
      </c>
      <c r="B28">
        <v>2018</v>
      </c>
      <c r="C28">
        <v>3</v>
      </c>
      <c r="D28" t="s">
        <v>8</v>
      </c>
      <c r="E28" t="s">
        <v>9</v>
      </c>
      <c r="F28" t="s">
        <v>10</v>
      </c>
      <c r="G28" t="s">
        <v>24</v>
      </c>
      <c r="H28" s="2">
        <v>88.65546218487394</v>
      </c>
    </row>
    <row r="29" spans="1:8" x14ac:dyDescent="0.35">
      <c r="A29">
        <v>28</v>
      </c>
      <c r="B29">
        <v>2018</v>
      </c>
      <c r="C29">
        <v>4</v>
      </c>
      <c r="D29" t="s">
        <v>8</v>
      </c>
      <c r="E29" t="s">
        <v>9</v>
      </c>
      <c r="F29" t="s">
        <v>10</v>
      </c>
      <c r="G29" t="s">
        <v>24</v>
      </c>
      <c r="H29" s="2">
        <v>86.715867158671585</v>
      </c>
    </row>
    <row r="30" spans="1:8" x14ac:dyDescent="0.35">
      <c r="A30">
        <v>29</v>
      </c>
      <c r="B30">
        <v>2019</v>
      </c>
      <c r="C30">
        <v>1</v>
      </c>
      <c r="D30" t="s">
        <v>8</v>
      </c>
      <c r="E30" t="s">
        <v>9</v>
      </c>
      <c r="F30" t="s">
        <v>10</v>
      </c>
      <c r="G30" t="s">
        <v>24</v>
      </c>
      <c r="H30" s="2">
        <v>84.549356223175963</v>
      </c>
    </row>
    <row r="31" spans="1:8" x14ac:dyDescent="0.35">
      <c r="A31">
        <v>30</v>
      </c>
      <c r="B31">
        <v>2019</v>
      </c>
      <c r="C31">
        <v>2</v>
      </c>
      <c r="D31" t="s">
        <v>8</v>
      </c>
      <c r="E31" t="s">
        <v>9</v>
      </c>
      <c r="F31" t="s">
        <v>10</v>
      </c>
      <c r="G31" t="s">
        <v>24</v>
      </c>
      <c r="H31" s="2">
        <v>83.206106870229007</v>
      </c>
    </row>
    <row r="32" spans="1:8" x14ac:dyDescent="0.35">
      <c r="A32">
        <v>31</v>
      </c>
      <c r="B32">
        <v>2019</v>
      </c>
      <c r="C32">
        <v>3</v>
      </c>
      <c r="D32" t="s">
        <v>8</v>
      </c>
      <c r="E32" t="s">
        <v>9</v>
      </c>
      <c r="F32" t="s">
        <v>10</v>
      </c>
      <c r="G32" t="s">
        <v>24</v>
      </c>
      <c r="H32" s="2">
        <v>88.721804511278194</v>
      </c>
    </row>
    <row r="33" spans="1:8" x14ac:dyDescent="0.35">
      <c r="A33">
        <v>32</v>
      </c>
      <c r="B33">
        <v>2019</v>
      </c>
      <c r="C33">
        <v>4</v>
      </c>
      <c r="D33" t="s">
        <v>8</v>
      </c>
      <c r="E33" t="s">
        <v>9</v>
      </c>
      <c r="F33" t="s">
        <v>10</v>
      </c>
      <c r="G33" t="s">
        <v>24</v>
      </c>
      <c r="H33" s="2">
        <v>89.565217391304358</v>
      </c>
    </row>
    <row r="34" spans="1:8" x14ac:dyDescent="0.35">
      <c r="A34">
        <v>33</v>
      </c>
      <c r="B34">
        <v>2020</v>
      </c>
      <c r="C34">
        <v>1</v>
      </c>
      <c r="D34" t="s">
        <v>8</v>
      </c>
      <c r="E34" t="s">
        <v>9</v>
      </c>
      <c r="F34" t="s">
        <v>10</v>
      </c>
      <c r="G34" t="s">
        <v>24</v>
      </c>
      <c r="H34" s="2">
        <v>93.155893536121667</v>
      </c>
    </row>
    <row r="35" spans="1:8" x14ac:dyDescent="0.35">
      <c r="A35">
        <v>34</v>
      </c>
      <c r="B35">
        <v>2020</v>
      </c>
      <c r="C35">
        <v>2</v>
      </c>
      <c r="D35" t="s">
        <v>8</v>
      </c>
      <c r="E35" t="s">
        <v>9</v>
      </c>
      <c r="F35" t="s">
        <v>10</v>
      </c>
      <c r="G35" t="s">
        <v>24</v>
      </c>
      <c r="H35" s="2">
        <v>94.642857142857139</v>
      </c>
    </row>
    <row r="36" spans="1:8" x14ac:dyDescent="0.35">
      <c r="A36">
        <v>35</v>
      </c>
      <c r="B36">
        <v>2020</v>
      </c>
      <c r="C36">
        <v>3</v>
      </c>
      <c r="D36" t="s">
        <v>8</v>
      </c>
      <c r="E36" t="s">
        <v>9</v>
      </c>
      <c r="F36" t="s">
        <v>10</v>
      </c>
      <c r="G36" t="s">
        <v>24</v>
      </c>
      <c r="H36" s="2">
        <v>94.857142857142861</v>
      </c>
    </row>
    <row r="37" spans="1:8" x14ac:dyDescent="0.35">
      <c r="A37">
        <v>36</v>
      </c>
      <c r="B37">
        <v>2020</v>
      </c>
      <c r="C37">
        <v>4</v>
      </c>
      <c r="D37" t="s">
        <v>8</v>
      </c>
      <c r="E37" t="s">
        <v>9</v>
      </c>
      <c r="F37" t="s">
        <v>10</v>
      </c>
      <c r="G37" t="s">
        <v>24</v>
      </c>
      <c r="H37" s="2">
        <v>85.777777777777771</v>
      </c>
    </row>
    <row r="38" spans="1:8" x14ac:dyDescent="0.35">
      <c r="A38">
        <v>37</v>
      </c>
      <c r="B38">
        <v>2021</v>
      </c>
      <c r="C38">
        <v>1</v>
      </c>
      <c r="D38" t="s">
        <v>8</v>
      </c>
      <c r="E38" t="s">
        <v>9</v>
      </c>
      <c r="F38" t="s">
        <v>10</v>
      </c>
      <c r="G38" t="s">
        <v>24</v>
      </c>
      <c r="H38" s="2">
        <v>79.555555555555557</v>
      </c>
    </row>
    <row r="39" spans="1:8" x14ac:dyDescent="0.35">
      <c r="A39">
        <v>38</v>
      </c>
      <c r="B39">
        <v>2021</v>
      </c>
      <c r="C39">
        <v>2</v>
      </c>
      <c r="D39" t="s">
        <v>8</v>
      </c>
      <c r="E39" t="s">
        <v>9</v>
      </c>
      <c r="F39" t="s">
        <v>10</v>
      </c>
      <c r="G39" t="s">
        <v>24</v>
      </c>
      <c r="H39" s="2">
        <v>88.405797101449281</v>
      </c>
    </row>
    <row r="40" spans="1:8" x14ac:dyDescent="0.35">
      <c r="A40">
        <v>39</v>
      </c>
      <c r="B40">
        <v>2021</v>
      </c>
      <c r="C40">
        <v>3</v>
      </c>
      <c r="D40" t="s">
        <v>8</v>
      </c>
      <c r="E40" t="s">
        <v>9</v>
      </c>
      <c r="F40" t="s">
        <v>10</v>
      </c>
      <c r="G40" t="s">
        <v>24</v>
      </c>
      <c r="H40" s="2">
        <v>85.407725321888421</v>
      </c>
    </row>
    <row r="41" spans="1:8" x14ac:dyDescent="0.35">
      <c r="A41">
        <v>40</v>
      </c>
      <c r="B41">
        <v>2021</v>
      </c>
      <c r="C41">
        <v>4</v>
      </c>
      <c r="D41" t="s">
        <v>8</v>
      </c>
      <c r="E41" t="s">
        <v>9</v>
      </c>
      <c r="F41" t="s">
        <v>10</v>
      </c>
      <c r="G41" t="s">
        <v>24</v>
      </c>
      <c r="H41" s="2">
        <v>77.642276422764226</v>
      </c>
    </row>
    <row r="42" spans="1:8" x14ac:dyDescent="0.35">
      <c r="A42">
        <v>1</v>
      </c>
      <c r="B42">
        <v>2012</v>
      </c>
      <c r="C42">
        <v>1</v>
      </c>
      <c r="D42" t="s">
        <v>8</v>
      </c>
      <c r="E42" t="s">
        <v>9</v>
      </c>
      <c r="F42" t="s">
        <v>11</v>
      </c>
      <c r="G42" t="s">
        <v>25</v>
      </c>
      <c r="H42" s="2">
        <v>100</v>
      </c>
    </row>
    <row r="43" spans="1:8" x14ac:dyDescent="0.35">
      <c r="A43">
        <v>2</v>
      </c>
      <c r="B43">
        <v>2012</v>
      </c>
      <c r="C43">
        <v>2</v>
      </c>
      <c r="D43" t="s">
        <v>8</v>
      </c>
      <c r="E43" t="s">
        <v>9</v>
      </c>
      <c r="F43" t="s">
        <v>11</v>
      </c>
      <c r="G43" t="s">
        <v>25</v>
      </c>
      <c r="H43" s="2">
        <v>100</v>
      </c>
    </row>
    <row r="44" spans="1:8" x14ac:dyDescent="0.35">
      <c r="A44">
        <v>3</v>
      </c>
      <c r="B44">
        <v>2012</v>
      </c>
      <c r="C44">
        <v>3</v>
      </c>
      <c r="D44" t="s">
        <v>8</v>
      </c>
      <c r="E44" t="s">
        <v>9</v>
      </c>
      <c r="F44" t="s">
        <v>11</v>
      </c>
      <c r="G44" t="s">
        <v>25</v>
      </c>
      <c r="H44" s="2">
        <v>100</v>
      </c>
    </row>
    <row r="45" spans="1:8" x14ac:dyDescent="0.35">
      <c r="A45">
        <v>4</v>
      </c>
      <c r="B45">
        <v>2012</v>
      </c>
      <c r="C45">
        <v>4</v>
      </c>
      <c r="D45" t="s">
        <v>8</v>
      </c>
      <c r="E45" t="s">
        <v>9</v>
      </c>
      <c r="F45" t="s">
        <v>11</v>
      </c>
      <c r="G45" t="s">
        <v>25</v>
      </c>
      <c r="H45" s="2">
        <v>100</v>
      </c>
    </row>
    <row r="46" spans="1:8" x14ac:dyDescent="0.35">
      <c r="A46">
        <v>5</v>
      </c>
      <c r="B46">
        <v>2013</v>
      </c>
      <c r="C46">
        <v>1</v>
      </c>
      <c r="D46" t="s">
        <v>8</v>
      </c>
      <c r="E46" t="s">
        <v>9</v>
      </c>
      <c r="F46" t="s">
        <v>11</v>
      </c>
      <c r="G46" t="s">
        <v>25</v>
      </c>
      <c r="H46" s="2">
        <v>98.305084745762713</v>
      </c>
    </row>
    <row r="47" spans="1:8" x14ac:dyDescent="0.35">
      <c r="A47">
        <v>6</v>
      </c>
      <c r="B47">
        <v>2013</v>
      </c>
      <c r="C47">
        <v>2</v>
      </c>
      <c r="D47" t="s">
        <v>8</v>
      </c>
      <c r="E47" t="s">
        <v>9</v>
      </c>
      <c r="F47" t="s">
        <v>11</v>
      </c>
      <c r="G47" t="s">
        <v>25</v>
      </c>
      <c r="H47" s="2">
        <v>93.75</v>
      </c>
    </row>
    <row r="48" spans="1:8" x14ac:dyDescent="0.35">
      <c r="A48">
        <v>7</v>
      </c>
      <c r="B48">
        <v>2013</v>
      </c>
      <c r="C48">
        <v>3</v>
      </c>
      <c r="D48" t="s">
        <v>8</v>
      </c>
      <c r="E48" t="s">
        <v>9</v>
      </c>
      <c r="F48" t="s">
        <v>11</v>
      </c>
      <c r="G48" t="s">
        <v>25</v>
      </c>
      <c r="H48" s="2">
        <v>97.142857142857139</v>
      </c>
    </row>
    <row r="49" spans="1:8" x14ac:dyDescent="0.35">
      <c r="A49">
        <v>8</v>
      </c>
      <c r="B49">
        <v>2013</v>
      </c>
      <c r="C49">
        <v>4</v>
      </c>
      <c r="D49" t="s">
        <v>8</v>
      </c>
      <c r="E49" t="s">
        <v>9</v>
      </c>
      <c r="F49" t="s">
        <v>11</v>
      </c>
      <c r="G49" t="s">
        <v>25</v>
      </c>
      <c r="H49" s="2">
        <v>98.591549295774655</v>
      </c>
    </row>
    <row r="50" spans="1:8" x14ac:dyDescent="0.35">
      <c r="A50">
        <v>9</v>
      </c>
      <c r="B50">
        <v>2014</v>
      </c>
      <c r="C50">
        <v>1</v>
      </c>
      <c r="D50" t="s">
        <v>8</v>
      </c>
      <c r="E50" t="s">
        <v>9</v>
      </c>
      <c r="F50" t="s">
        <v>11</v>
      </c>
      <c r="G50" t="s">
        <v>25</v>
      </c>
      <c r="H50" s="2">
        <v>97.674418604651152</v>
      </c>
    </row>
    <row r="51" spans="1:8" x14ac:dyDescent="0.35">
      <c r="A51">
        <v>10</v>
      </c>
      <c r="B51">
        <v>2014</v>
      </c>
      <c r="C51">
        <v>2</v>
      </c>
      <c r="D51" t="s">
        <v>8</v>
      </c>
      <c r="E51" t="s">
        <v>9</v>
      </c>
      <c r="F51" t="s">
        <v>11</v>
      </c>
      <c r="G51" t="s">
        <v>25</v>
      </c>
      <c r="H51" s="2">
        <v>100</v>
      </c>
    </row>
    <row r="52" spans="1:8" x14ac:dyDescent="0.35">
      <c r="A52">
        <v>11</v>
      </c>
      <c r="B52">
        <v>2014</v>
      </c>
      <c r="C52">
        <v>3</v>
      </c>
      <c r="D52" t="s">
        <v>8</v>
      </c>
      <c r="E52" t="s">
        <v>9</v>
      </c>
      <c r="F52" t="s">
        <v>11</v>
      </c>
      <c r="G52" t="s">
        <v>25</v>
      </c>
      <c r="H52" s="2">
        <v>97.916666666666657</v>
      </c>
    </row>
    <row r="53" spans="1:8" x14ac:dyDescent="0.35">
      <c r="A53">
        <v>12</v>
      </c>
      <c r="B53">
        <v>2014</v>
      </c>
      <c r="C53">
        <v>4</v>
      </c>
      <c r="D53" t="s">
        <v>8</v>
      </c>
      <c r="E53" t="s">
        <v>9</v>
      </c>
      <c r="F53" t="s">
        <v>11</v>
      </c>
      <c r="G53" t="s">
        <v>25</v>
      </c>
      <c r="H53" s="2">
        <v>100</v>
      </c>
    </row>
    <row r="54" spans="1:8" x14ac:dyDescent="0.35">
      <c r="A54">
        <v>13</v>
      </c>
      <c r="B54">
        <v>2015</v>
      </c>
      <c r="C54">
        <v>1</v>
      </c>
      <c r="D54" t="s">
        <v>8</v>
      </c>
      <c r="E54" t="s">
        <v>9</v>
      </c>
      <c r="F54" t="s">
        <v>11</v>
      </c>
      <c r="G54" t="s">
        <v>25</v>
      </c>
      <c r="H54" s="2">
        <v>96.610169491525426</v>
      </c>
    </row>
    <row r="55" spans="1:8" x14ac:dyDescent="0.35">
      <c r="A55">
        <v>14</v>
      </c>
      <c r="B55">
        <v>2015</v>
      </c>
      <c r="C55">
        <v>2</v>
      </c>
      <c r="D55" t="s">
        <v>8</v>
      </c>
      <c r="E55" t="s">
        <v>9</v>
      </c>
      <c r="F55" t="s">
        <v>11</v>
      </c>
      <c r="G55" t="s">
        <v>25</v>
      </c>
      <c r="H55" s="2">
        <v>100</v>
      </c>
    </row>
    <row r="56" spans="1:8" x14ac:dyDescent="0.35">
      <c r="A56">
        <v>15</v>
      </c>
      <c r="B56">
        <v>2015</v>
      </c>
      <c r="C56">
        <v>3</v>
      </c>
      <c r="D56" t="s">
        <v>8</v>
      </c>
      <c r="E56" t="s">
        <v>9</v>
      </c>
      <c r="F56" t="s">
        <v>11</v>
      </c>
      <c r="G56" t="s">
        <v>25</v>
      </c>
      <c r="H56" s="2">
        <v>100</v>
      </c>
    </row>
    <row r="57" spans="1:8" x14ac:dyDescent="0.35">
      <c r="A57">
        <v>16</v>
      </c>
      <c r="B57">
        <v>2015</v>
      </c>
      <c r="C57">
        <v>4</v>
      </c>
      <c r="D57" t="s">
        <v>8</v>
      </c>
      <c r="E57" t="s">
        <v>9</v>
      </c>
      <c r="F57" t="s">
        <v>11</v>
      </c>
      <c r="G57" t="s">
        <v>25</v>
      </c>
      <c r="H57" s="2">
        <v>100</v>
      </c>
    </row>
    <row r="58" spans="1:8" x14ac:dyDescent="0.35">
      <c r="A58">
        <v>17</v>
      </c>
      <c r="B58">
        <v>2016</v>
      </c>
      <c r="C58">
        <v>1</v>
      </c>
      <c r="D58" t="s">
        <v>8</v>
      </c>
      <c r="E58" t="s">
        <v>9</v>
      </c>
      <c r="F58" t="s">
        <v>11</v>
      </c>
      <c r="G58" t="s">
        <v>25</v>
      </c>
      <c r="H58" s="2">
        <v>100</v>
      </c>
    </row>
    <row r="59" spans="1:8" x14ac:dyDescent="0.35">
      <c r="A59">
        <v>18</v>
      </c>
      <c r="B59">
        <v>2016</v>
      </c>
      <c r="C59">
        <v>2</v>
      </c>
      <c r="D59" t="s">
        <v>8</v>
      </c>
      <c r="E59" t="s">
        <v>9</v>
      </c>
      <c r="F59" t="s">
        <v>11</v>
      </c>
      <c r="G59" t="s">
        <v>25</v>
      </c>
      <c r="H59" s="2">
        <v>100</v>
      </c>
    </row>
    <row r="60" spans="1:8" x14ac:dyDescent="0.35">
      <c r="A60">
        <v>19</v>
      </c>
      <c r="B60">
        <v>2016</v>
      </c>
      <c r="C60">
        <v>3</v>
      </c>
      <c r="D60" t="s">
        <v>8</v>
      </c>
      <c r="E60" t="s">
        <v>9</v>
      </c>
      <c r="F60" t="s">
        <v>11</v>
      </c>
      <c r="G60" t="s">
        <v>25</v>
      </c>
      <c r="H60" s="2">
        <v>100</v>
      </c>
    </row>
    <row r="61" spans="1:8" x14ac:dyDescent="0.35">
      <c r="A61">
        <v>20</v>
      </c>
      <c r="B61">
        <v>2016</v>
      </c>
      <c r="C61">
        <v>4</v>
      </c>
      <c r="D61" t="s">
        <v>8</v>
      </c>
      <c r="E61" t="s">
        <v>9</v>
      </c>
      <c r="F61" t="s">
        <v>11</v>
      </c>
      <c r="G61" t="s">
        <v>25</v>
      </c>
      <c r="H61" s="2">
        <v>98.4375</v>
      </c>
    </row>
    <row r="62" spans="1:8" x14ac:dyDescent="0.35">
      <c r="A62">
        <v>21</v>
      </c>
      <c r="B62">
        <v>2017</v>
      </c>
      <c r="C62">
        <v>1</v>
      </c>
      <c r="D62" t="s">
        <v>8</v>
      </c>
      <c r="E62" t="s">
        <v>9</v>
      </c>
      <c r="F62" t="s">
        <v>11</v>
      </c>
      <c r="G62" t="s">
        <v>25</v>
      </c>
      <c r="H62" s="2">
        <v>98.550724637681171</v>
      </c>
    </row>
    <row r="63" spans="1:8" x14ac:dyDescent="0.35">
      <c r="A63">
        <v>22</v>
      </c>
      <c r="B63">
        <v>2017</v>
      </c>
      <c r="C63">
        <v>2</v>
      </c>
      <c r="D63" t="s">
        <v>8</v>
      </c>
      <c r="E63" t="s">
        <v>9</v>
      </c>
      <c r="F63" t="s">
        <v>11</v>
      </c>
      <c r="G63" t="s">
        <v>25</v>
      </c>
      <c r="H63" s="2">
        <v>97.101449275362313</v>
      </c>
    </row>
    <row r="64" spans="1:8" x14ac:dyDescent="0.35">
      <c r="A64">
        <v>23</v>
      </c>
      <c r="B64">
        <v>2017</v>
      </c>
      <c r="C64">
        <v>3</v>
      </c>
      <c r="D64" t="s">
        <v>8</v>
      </c>
      <c r="E64" t="s">
        <v>9</v>
      </c>
      <c r="F64" t="s">
        <v>11</v>
      </c>
      <c r="G64" t="s">
        <v>25</v>
      </c>
      <c r="H64" s="2">
        <v>100</v>
      </c>
    </row>
    <row r="65" spans="1:8" x14ac:dyDescent="0.35">
      <c r="A65">
        <v>24</v>
      </c>
      <c r="B65">
        <v>2017</v>
      </c>
      <c r="C65">
        <v>4</v>
      </c>
      <c r="D65" t="s">
        <v>8</v>
      </c>
      <c r="E65" t="s">
        <v>9</v>
      </c>
      <c r="F65" t="s">
        <v>11</v>
      </c>
      <c r="G65" t="s">
        <v>25</v>
      </c>
      <c r="H65" s="2">
        <v>98.305084745762713</v>
      </c>
    </row>
    <row r="66" spans="1:8" x14ac:dyDescent="0.35">
      <c r="A66">
        <v>25</v>
      </c>
      <c r="B66">
        <v>2018</v>
      </c>
      <c r="C66">
        <v>1</v>
      </c>
      <c r="D66" t="s">
        <v>8</v>
      </c>
      <c r="E66" t="s">
        <v>9</v>
      </c>
      <c r="F66" t="s">
        <v>11</v>
      </c>
      <c r="G66" t="s">
        <v>25</v>
      </c>
      <c r="H66" s="2">
        <v>100</v>
      </c>
    </row>
    <row r="67" spans="1:8" x14ac:dyDescent="0.35">
      <c r="A67">
        <v>26</v>
      </c>
      <c r="B67">
        <v>2018</v>
      </c>
      <c r="C67">
        <v>2</v>
      </c>
      <c r="D67" t="s">
        <v>8</v>
      </c>
      <c r="E67" t="s">
        <v>9</v>
      </c>
      <c r="F67" t="s">
        <v>11</v>
      </c>
      <c r="G67" t="s">
        <v>25</v>
      </c>
      <c r="H67" s="2">
        <v>96.92307692307692</v>
      </c>
    </row>
    <row r="68" spans="1:8" x14ac:dyDescent="0.35">
      <c r="A68">
        <v>27</v>
      </c>
      <c r="B68">
        <v>2018</v>
      </c>
      <c r="C68">
        <v>3</v>
      </c>
      <c r="D68" t="s">
        <v>8</v>
      </c>
      <c r="E68" t="s">
        <v>9</v>
      </c>
      <c r="F68" t="s">
        <v>11</v>
      </c>
      <c r="G68" t="s">
        <v>25</v>
      </c>
      <c r="H68" s="2">
        <v>97.222222222222214</v>
      </c>
    </row>
    <row r="69" spans="1:8" x14ac:dyDescent="0.35">
      <c r="A69">
        <v>28</v>
      </c>
      <c r="B69">
        <v>2018</v>
      </c>
      <c r="C69">
        <v>4</v>
      </c>
      <c r="D69" t="s">
        <v>8</v>
      </c>
      <c r="E69" t="s">
        <v>9</v>
      </c>
      <c r="F69" t="s">
        <v>11</v>
      </c>
      <c r="G69" t="s">
        <v>25</v>
      </c>
      <c r="H69" s="2">
        <v>98.412698412698404</v>
      </c>
    </row>
    <row r="70" spans="1:8" x14ac:dyDescent="0.35">
      <c r="A70">
        <v>29</v>
      </c>
      <c r="B70">
        <v>2019</v>
      </c>
      <c r="C70">
        <v>1</v>
      </c>
      <c r="D70" t="s">
        <v>8</v>
      </c>
      <c r="E70" t="s">
        <v>9</v>
      </c>
      <c r="F70" t="s">
        <v>11</v>
      </c>
      <c r="G70" t="s">
        <v>25</v>
      </c>
      <c r="H70" s="2">
        <v>88</v>
      </c>
    </row>
    <row r="71" spans="1:8" x14ac:dyDescent="0.35">
      <c r="A71">
        <v>30</v>
      </c>
      <c r="B71">
        <v>2019</v>
      </c>
      <c r="C71">
        <v>2</v>
      </c>
      <c r="D71" t="s">
        <v>8</v>
      </c>
      <c r="E71" t="s">
        <v>9</v>
      </c>
      <c r="F71" t="s">
        <v>11</v>
      </c>
      <c r="G71" t="s">
        <v>25</v>
      </c>
      <c r="H71" s="2">
        <v>98.507462686567166</v>
      </c>
    </row>
    <row r="72" spans="1:8" x14ac:dyDescent="0.35">
      <c r="A72">
        <v>31</v>
      </c>
      <c r="B72">
        <v>2019</v>
      </c>
      <c r="C72">
        <v>3</v>
      </c>
      <c r="D72" t="s">
        <v>8</v>
      </c>
      <c r="E72" t="s">
        <v>9</v>
      </c>
      <c r="F72" t="s">
        <v>11</v>
      </c>
      <c r="G72" t="s">
        <v>25</v>
      </c>
      <c r="H72" s="2">
        <v>91.428571428571431</v>
      </c>
    </row>
    <row r="73" spans="1:8" x14ac:dyDescent="0.35">
      <c r="A73">
        <v>32</v>
      </c>
      <c r="B73">
        <v>2019</v>
      </c>
      <c r="C73">
        <v>4</v>
      </c>
      <c r="D73" t="s">
        <v>8</v>
      </c>
      <c r="E73" t="s">
        <v>9</v>
      </c>
      <c r="F73" t="s">
        <v>11</v>
      </c>
      <c r="G73" t="s">
        <v>25</v>
      </c>
      <c r="H73" s="2">
        <v>96.551724137931032</v>
      </c>
    </row>
    <row r="74" spans="1:8" x14ac:dyDescent="0.35">
      <c r="A74">
        <v>33</v>
      </c>
      <c r="B74">
        <v>2020</v>
      </c>
      <c r="C74">
        <v>1</v>
      </c>
      <c r="D74" t="s">
        <v>8</v>
      </c>
      <c r="E74" t="s">
        <v>9</v>
      </c>
      <c r="F74" t="s">
        <v>11</v>
      </c>
      <c r="G74" t="s">
        <v>25</v>
      </c>
      <c r="H74" s="2">
        <v>96.36363636363636</v>
      </c>
    </row>
    <row r="75" spans="1:8" x14ac:dyDescent="0.35">
      <c r="A75">
        <v>34</v>
      </c>
      <c r="B75">
        <v>2020</v>
      </c>
      <c r="C75">
        <v>2</v>
      </c>
      <c r="D75" t="s">
        <v>8</v>
      </c>
      <c r="E75" t="s">
        <v>9</v>
      </c>
      <c r="F75" t="s">
        <v>11</v>
      </c>
      <c r="G75" t="s">
        <v>25</v>
      </c>
      <c r="H75" s="2">
        <v>92.753623188405797</v>
      </c>
    </row>
    <row r="76" spans="1:8" x14ac:dyDescent="0.35">
      <c r="A76">
        <v>35</v>
      </c>
      <c r="B76">
        <v>2020</v>
      </c>
      <c r="C76">
        <v>3</v>
      </c>
      <c r="D76" t="s">
        <v>8</v>
      </c>
      <c r="E76" t="s">
        <v>9</v>
      </c>
      <c r="F76" t="s">
        <v>11</v>
      </c>
      <c r="G76" t="s">
        <v>25</v>
      </c>
      <c r="H76" s="2">
        <v>100</v>
      </c>
    </row>
    <row r="77" spans="1:8" x14ac:dyDescent="0.35">
      <c r="A77">
        <v>36</v>
      </c>
      <c r="B77">
        <v>2020</v>
      </c>
      <c r="C77">
        <v>4</v>
      </c>
      <c r="D77" t="s">
        <v>8</v>
      </c>
      <c r="E77" t="s">
        <v>9</v>
      </c>
      <c r="F77" t="s">
        <v>11</v>
      </c>
      <c r="G77" t="s">
        <v>25</v>
      </c>
      <c r="H77" s="2">
        <v>96</v>
      </c>
    </row>
    <row r="78" spans="1:8" x14ac:dyDescent="0.35">
      <c r="A78">
        <v>37</v>
      </c>
      <c r="B78">
        <v>2021</v>
      </c>
      <c r="C78">
        <v>1</v>
      </c>
      <c r="D78" t="s">
        <v>8</v>
      </c>
      <c r="E78" t="s">
        <v>9</v>
      </c>
      <c r="F78" t="s">
        <v>11</v>
      </c>
      <c r="G78" t="s">
        <v>25</v>
      </c>
      <c r="H78" s="2">
        <v>98.333333333333329</v>
      </c>
    </row>
    <row r="79" spans="1:8" x14ac:dyDescent="0.35">
      <c r="A79">
        <v>38</v>
      </c>
      <c r="B79">
        <v>2021</v>
      </c>
      <c r="C79">
        <v>2</v>
      </c>
      <c r="D79" t="s">
        <v>8</v>
      </c>
      <c r="E79" t="s">
        <v>9</v>
      </c>
      <c r="F79" t="s">
        <v>11</v>
      </c>
      <c r="G79" t="s">
        <v>25</v>
      </c>
      <c r="H79" s="2">
        <v>94.73684210526315</v>
      </c>
    </row>
    <row r="80" spans="1:8" x14ac:dyDescent="0.35">
      <c r="A80">
        <v>39</v>
      </c>
      <c r="B80">
        <v>2021</v>
      </c>
      <c r="C80">
        <v>3</v>
      </c>
      <c r="D80" t="s">
        <v>8</v>
      </c>
      <c r="E80" t="s">
        <v>9</v>
      </c>
      <c r="F80" t="s">
        <v>11</v>
      </c>
      <c r="G80" t="s">
        <v>25</v>
      </c>
      <c r="H80" s="2">
        <v>96.296296296296291</v>
      </c>
    </row>
    <row r="81" spans="1:8" x14ac:dyDescent="0.35">
      <c r="A81">
        <v>40</v>
      </c>
      <c r="B81">
        <v>2021</v>
      </c>
      <c r="C81">
        <v>4</v>
      </c>
      <c r="D81" t="s">
        <v>8</v>
      </c>
      <c r="E81" t="s">
        <v>9</v>
      </c>
      <c r="F81" t="s">
        <v>11</v>
      </c>
      <c r="G81" t="s">
        <v>25</v>
      </c>
      <c r="H81" s="2">
        <v>95.774647887323937</v>
      </c>
    </row>
    <row r="82" spans="1:8" x14ac:dyDescent="0.35">
      <c r="A82">
        <v>1</v>
      </c>
      <c r="B82">
        <v>2012</v>
      </c>
      <c r="C82">
        <v>1</v>
      </c>
      <c r="D82" t="s">
        <v>8</v>
      </c>
      <c r="E82" t="s">
        <v>9</v>
      </c>
      <c r="F82" t="s">
        <v>12</v>
      </c>
      <c r="G82" t="s">
        <v>26</v>
      </c>
      <c r="H82" s="2">
        <v>100</v>
      </c>
    </row>
    <row r="83" spans="1:8" x14ac:dyDescent="0.35">
      <c r="A83">
        <v>2</v>
      </c>
      <c r="B83">
        <v>2012</v>
      </c>
      <c r="C83">
        <v>2</v>
      </c>
      <c r="D83" t="s">
        <v>8</v>
      </c>
      <c r="E83" t="s">
        <v>9</v>
      </c>
      <c r="F83" t="s">
        <v>12</v>
      </c>
      <c r="G83" t="s">
        <v>26</v>
      </c>
      <c r="H83" s="2">
        <v>98.611111111111114</v>
      </c>
    </row>
    <row r="84" spans="1:8" x14ac:dyDescent="0.35">
      <c r="A84">
        <v>3</v>
      </c>
      <c r="B84">
        <v>2012</v>
      </c>
      <c r="C84">
        <v>3</v>
      </c>
      <c r="D84" t="s">
        <v>8</v>
      </c>
      <c r="E84" t="s">
        <v>9</v>
      </c>
      <c r="F84" t="s">
        <v>12</v>
      </c>
      <c r="G84" t="s">
        <v>26</v>
      </c>
      <c r="H84" s="2">
        <v>97.142857142857139</v>
      </c>
    </row>
    <row r="85" spans="1:8" x14ac:dyDescent="0.35">
      <c r="A85">
        <v>4</v>
      </c>
      <c r="B85">
        <v>2012</v>
      </c>
      <c r="C85">
        <v>4</v>
      </c>
      <c r="D85" t="s">
        <v>8</v>
      </c>
      <c r="E85" t="s">
        <v>9</v>
      </c>
      <c r="F85" t="s">
        <v>12</v>
      </c>
      <c r="G85" t="s">
        <v>26</v>
      </c>
      <c r="H85" s="2">
        <v>98.591549295774655</v>
      </c>
    </row>
    <row r="86" spans="1:8" x14ac:dyDescent="0.35">
      <c r="A86">
        <v>5</v>
      </c>
      <c r="B86">
        <v>2013</v>
      </c>
      <c r="C86">
        <v>1</v>
      </c>
      <c r="D86" t="s">
        <v>8</v>
      </c>
      <c r="E86" t="s">
        <v>9</v>
      </c>
      <c r="F86" t="s">
        <v>12</v>
      </c>
      <c r="G86" t="s">
        <v>26</v>
      </c>
      <c r="H86" s="2">
        <v>100</v>
      </c>
    </row>
    <row r="87" spans="1:8" x14ac:dyDescent="0.35">
      <c r="A87">
        <v>6</v>
      </c>
      <c r="B87">
        <v>2013</v>
      </c>
      <c r="C87">
        <v>2</v>
      </c>
      <c r="D87" t="s">
        <v>8</v>
      </c>
      <c r="E87" t="s">
        <v>9</v>
      </c>
      <c r="F87" t="s">
        <v>12</v>
      </c>
      <c r="G87" t="s">
        <v>26</v>
      </c>
      <c r="H87" s="2">
        <v>100</v>
      </c>
    </row>
    <row r="88" spans="1:8" x14ac:dyDescent="0.35">
      <c r="A88">
        <v>7</v>
      </c>
      <c r="B88">
        <v>2013</v>
      </c>
      <c r="C88">
        <v>3</v>
      </c>
      <c r="D88" t="s">
        <v>8</v>
      </c>
      <c r="E88" t="s">
        <v>9</v>
      </c>
      <c r="F88" t="s">
        <v>12</v>
      </c>
      <c r="G88" t="s">
        <v>26</v>
      </c>
      <c r="H88" s="2">
        <v>100</v>
      </c>
    </row>
    <row r="89" spans="1:8" x14ac:dyDescent="0.35">
      <c r="A89">
        <v>8</v>
      </c>
      <c r="B89">
        <v>2013</v>
      </c>
      <c r="C89">
        <v>4</v>
      </c>
      <c r="D89" t="s">
        <v>8</v>
      </c>
      <c r="E89" t="s">
        <v>9</v>
      </c>
      <c r="F89" t="s">
        <v>12</v>
      </c>
      <c r="G89" t="s">
        <v>26</v>
      </c>
      <c r="H89" s="2">
        <v>100</v>
      </c>
    </row>
    <row r="90" spans="1:8" x14ac:dyDescent="0.35">
      <c r="A90">
        <v>9</v>
      </c>
      <c r="B90">
        <v>2014</v>
      </c>
      <c r="C90">
        <v>1</v>
      </c>
      <c r="D90" t="s">
        <v>8</v>
      </c>
      <c r="E90" t="s">
        <v>9</v>
      </c>
      <c r="F90" t="s">
        <v>12</v>
      </c>
      <c r="G90" t="s">
        <v>26</v>
      </c>
      <c r="H90" s="2">
        <v>100</v>
      </c>
    </row>
    <row r="91" spans="1:8" x14ac:dyDescent="0.35">
      <c r="A91">
        <v>10</v>
      </c>
      <c r="B91">
        <v>2014</v>
      </c>
      <c r="C91">
        <v>2</v>
      </c>
      <c r="D91" t="s">
        <v>8</v>
      </c>
      <c r="E91" t="s">
        <v>9</v>
      </c>
      <c r="F91" t="s">
        <v>12</v>
      </c>
      <c r="G91" t="s">
        <v>26</v>
      </c>
      <c r="H91" s="2">
        <v>98.98989898989899</v>
      </c>
    </row>
    <row r="92" spans="1:8" x14ac:dyDescent="0.35">
      <c r="A92">
        <v>11</v>
      </c>
      <c r="B92">
        <v>2014</v>
      </c>
      <c r="C92">
        <v>3</v>
      </c>
      <c r="D92" t="s">
        <v>8</v>
      </c>
      <c r="E92" t="s">
        <v>9</v>
      </c>
      <c r="F92" t="s">
        <v>12</v>
      </c>
      <c r="G92" t="s">
        <v>26</v>
      </c>
      <c r="H92" s="2">
        <v>98.958333333333343</v>
      </c>
    </row>
    <row r="93" spans="1:8" x14ac:dyDescent="0.35">
      <c r="A93">
        <v>12</v>
      </c>
      <c r="B93">
        <v>2014</v>
      </c>
      <c r="C93">
        <v>4</v>
      </c>
      <c r="D93" t="s">
        <v>8</v>
      </c>
      <c r="E93" t="s">
        <v>9</v>
      </c>
      <c r="F93" t="s">
        <v>12</v>
      </c>
      <c r="G93" t="s">
        <v>26</v>
      </c>
      <c r="H93" s="2">
        <v>100</v>
      </c>
    </row>
    <row r="94" spans="1:8" x14ac:dyDescent="0.35">
      <c r="A94">
        <v>13</v>
      </c>
      <c r="B94">
        <v>2015</v>
      </c>
      <c r="C94">
        <v>1</v>
      </c>
      <c r="D94" t="s">
        <v>8</v>
      </c>
      <c r="E94" t="s">
        <v>9</v>
      </c>
      <c r="F94" t="s">
        <v>12</v>
      </c>
      <c r="G94" t="s">
        <v>26</v>
      </c>
      <c r="H94" s="2">
        <v>100</v>
      </c>
    </row>
    <row r="95" spans="1:8" x14ac:dyDescent="0.35">
      <c r="A95">
        <v>14</v>
      </c>
      <c r="B95">
        <v>2015</v>
      </c>
      <c r="C95">
        <v>2</v>
      </c>
      <c r="D95" t="s">
        <v>8</v>
      </c>
      <c r="E95" t="s">
        <v>9</v>
      </c>
      <c r="F95" t="s">
        <v>12</v>
      </c>
      <c r="G95" t="s">
        <v>26</v>
      </c>
      <c r="H95" s="2">
        <v>100</v>
      </c>
    </row>
    <row r="96" spans="1:8" x14ac:dyDescent="0.35">
      <c r="A96">
        <v>15</v>
      </c>
      <c r="B96">
        <v>2015</v>
      </c>
      <c r="C96">
        <v>3</v>
      </c>
      <c r="D96" t="s">
        <v>8</v>
      </c>
      <c r="E96" t="s">
        <v>9</v>
      </c>
      <c r="F96" t="s">
        <v>12</v>
      </c>
      <c r="G96" t="s">
        <v>26</v>
      </c>
      <c r="H96" s="2">
        <v>97.53086419753086</v>
      </c>
    </row>
    <row r="97" spans="1:8" x14ac:dyDescent="0.35">
      <c r="A97">
        <v>16</v>
      </c>
      <c r="B97">
        <v>2015</v>
      </c>
      <c r="C97">
        <v>4</v>
      </c>
      <c r="D97" t="s">
        <v>8</v>
      </c>
      <c r="E97" t="s">
        <v>9</v>
      </c>
      <c r="F97" t="s">
        <v>12</v>
      </c>
      <c r="G97" t="s">
        <v>26</v>
      </c>
      <c r="H97" s="2">
        <v>100</v>
      </c>
    </row>
    <row r="98" spans="1:8" x14ac:dyDescent="0.35">
      <c r="A98">
        <v>17</v>
      </c>
      <c r="B98">
        <v>2016</v>
      </c>
      <c r="C98">
        <v>1</v>
      </c>
      <c r="D98" t="s">
        <v>8</v>
      </c>
      <c r="E98" t="s">
        <v>9</v>
      </c>
      <c r="F98" t="s">
        <v>12</v>
      </c>
      <c r="G98" t="s">
        <v>26</v>
      </c>
      <c r="H98" s="2">
        <v>98.837209302325576</v>
      </c>
    </row>
    <row r="99" spans="1:8" x14ac:dyDescent="0.35">
      <c r="A99">
        <v>18</v>
      </c>
      <c r="B99">
        <v>2016</v>
      </c>
      <c r="C99">
        <v>2</v>
      </c>
      <c r="D99" t="s">
        <v>8</v>
      </c>
      <c r="E99" t="s">
        <v>9</v>
      </c>
      <c r="F99" t="s">
        <v>12</v>
      </c>
      <c r="G99" t="s">
        <v>26</v>
      </c>
      <c r="H99" s="2">
        <v>95.121951219512198</v>
      </c>
    </row>
    <row r="100" spans="1:8" x14ac:dyDescent="0.35">
      <c r="A100">
        <v>19</v>
      </c>
      <c r="B100">
        <v>2016</v>
      </c>
      <c r="C100">
        <v>3</v>
      </c>
      <c r="D100" t="s">
        <v>8</v>
      </c>
      <c r="E100" t="s">
        <v>9</v>
      </c>
      <c r="F100" t="s">
        <v>12</v>
      </c>
      <c r="G100" t="s">
        <v>26</v>
      </c>
      <c r="H100" s="2">
        <v>97.183098591549296</v>
      </c>
    </row>
    <row r="101" spans="1:8" x14ac:dyDescent="0.35">
      <c r="A101">
        <v>20</v>
      </c>
      <c r="B101">
        <v>2016</v>
      </c>
      <c r="C101">
        <v>4</v>
      </c>
      <c r="D101" t="s">
        <v>8</v>
      </c>
      <c r="E101" t="s">
        <v>9</v>
      </c>
      <c r="F101" t="s">
        <v>12</v>
      </c>
      <c r="G101" t="s">
        <v>26</v>
      </c>
      <c r="H101" s="2">
        <v>98.571428571428584</v>
      </c>
    </row>
    <row r="102" spans="1:8" x14ac:dyDescent="0.35">
      <c r="A102">
        <v>21</v>
      </c>
      <c r="B102">
        <v>2017</v>
      </c>
      <c r="C102">
        <v>1</v>
      </c>
      <c r="D102" t="s">
        <v>8</v>
      </c>
      <c r="E102" t="s">
        <v>9</v>
      </c>
      <c r="F102" t="s">
        <v>12</v>
      </c>
      <c r="G102" t="s">
        <v>26</v>
      </c>
      <c r="H102" s="2">
        <v>98.76543209876543</v>
      </c>
    </row>
    <row r="103" spans="1:8" x14ac:dyDescent="0.35">
      <c r="A103">
        <v>22</v>
      </c>
      <c r="B103">
        <v>2017</v>
      </c>
      <c r="C103">
        <v>2</v>
      </c>
      <c r="D103" t="s">
        <v>8</v>
      </c>
      <c r="E103" t="s">
        <v>9</v>
      </c>
      <c r="F103" t="s">
        <v>12</v>
      </c>
      <c r="G103" t="s">
        <v>26</v>
      </c>
      <c r="H103" s="2">
        <v>98.76543209876543</v>
      </c>
    </row>
    <row r="104" spans="1:8" x14ac:dyDescent="0.35">
      <c r="A104">
        <v>23</v>
      </c>
      <c r="B104">
        <v>2017</v>
      </c>
      <c r="C104">
        <v>3</v>
      </c>
      <c r="D104" t="s">
        <v>8</v>
      </c>
      <c r="E104" t="s">
        <v>9</v>
      </c>
      <c r="F104" t="s">
        <v>12</v>
      </c>
      <c r="G104" t="s">
        <v>26</v>
      </c>
      <c r="H104" s="2">
        <v>97.402597402597408</v>
      </c>
    </row>
    <row r="105" spans="1:8" x14ac:dyDescent="0.35">
      <c r="A105">
        <v>24</v>
      </c>
      <c r="B105">
        <v>2017</v>
      </c>
      <c r="C105">
        <v>4</v>
      </c>
      <c r="D105" t="s">
        <v>8</v>
      </c>
      <c r="E105" t="s">
        <v>9</v>
      </c>
      <c r="F105" t="s">
        <v>12</v>
      </c>
      <c r="G105" t="s">
        <v>26</v>
      </c>
      <c r="H105" s="2">
        <v>98.571428571428584</v>
      </c>
    </row>
    <row r="106" spans="1:8" x14ac:dyDescent="0.35">
      <c r="A106">
        <v>25</v>
      </c>
      <c r="B106">
        <v>2018</v>
      </c>
      <c r="C106">
        <v>1</v>
      </c>
      <c r="D106" t="s">
        <v>8</v>
      </c>
      <c r="E106" t="s">
        <v>9</v>
      </c>
      <c r="F106" t="s">
        <v>12</v>
      </c>
      <c r="G106" t="s">
        <v>26</v>
      </c>
      <c r="H106" s="2">
        <v>97.916666666666657</v>
      </c>
    </row>
    <row r="107" spans="1:8" x14ac:dyDescent="0.35">
      <c r="A107">
        <v>26</v>
      </c>
      <c r="B107">
        <v>2018</v>
      </c>
      <c r="C107">
        <v>2</v>
      </c>
      <c r="D107" t="s">
        <v>8</v>
      </c>
      <c r="E107" t="s">
        <v>9</v>
      </c>
      <c r="F107" t="s">
        <v>12</v>
      </c>
      <c r="G107" t="s">
        <v>26</v>
      </c>
      <c r="H107" s="2">
        <v>97.169811320754718</v>
      </c>
    </row>
    <row r="108" spans="1:8" x14ac:dyDescent="0.35">
      <c r="A108">
        <v>27</v>
      </c>
      <c r="B108">
        <v>2018</v>
      </c>
      <c r="C108">
        <v>3</v>
      </c>
      <c r="D108" t="s">
        <v>8</v>
      </c>
      <c r="E108" t="s">
        <v>9</v>
      </c>
      <c r="F108" t="s">
        <v>12</v>
      </c>
      <c r="G108" t="s">
        <v>26</v>
      </c>
      <c r="H108" s="2">
        <v>93.827160493827151</v>
      </c>
    </row>
    <row r="109" spans="1:8" x14ac:dyDescent="0.35">
      <c r="A109">
        <v>28</v>
      </c>
      <c r="B109">
        <v>2018</v>
      </c>
      <c r="C109">
        <v>4</v>
      </c>
      <c r="D109" t="s">
        <v>8</v>
      </c>
      <c r="E109" t="s">
        <v>9</v>
      </c>
      <c r="F109" t="s">
        <v>12</v>
      </c>
      <c r="G109" t="s">
        <v>26</v>
      </c>
      <c r="H109" s="2">
        <v>96.666666666666671</v>
      </c>
    </row>
    <row r="110" spans="1:8" x14ac:dyDescent="0.35">
      <c r="A110">
        <v>29</v>
      </c>
      <c r="B110">
        <v>2019</v>
      </c>
      <c r="C110">
        <v>1</v>
      </c>
      <c r="D110" t="s">
        <v>8</v>
      </c>
      <c r="E110" t="s">
        <v>9</v>
      </c>
      <c r="F110" t="s">
        <v>12</v>
      </c>
      <c r="G110" t="s">
        <v>26</v>
      </c>
      <c r="H110" s="2">
        <v>95.652173913043484</v>
      </c>
    </row>
    <row r="111" spans="1:8" x14ac:dyDescent="0.35">
      <c r="A111">
        <v>30</v>
      </c>
      <c r="B111">
        <v>2019</v>
      </c>
      <c r="C111">
        <v>2</v>
      </c>
      <c r="D111" t="s">
        <v>8</v>
      </c>
      <c r="E111" t="s">
        <v>9</v>
      </c>
      <c r="F111" t="s">
        <v>12</v>
      </c>
      <c r="G111" t="s">
        <v>26</v>
      </c>
      <c r="H111" s="2">
        <v>93.75</v>
      </c>
    </row>
    <row r="112" spans="1:8" x14ac:dyDescent="0.35">
      <c r="A112">
        <v>31</v>
      </c>
      <c r="B112">
        <v>2019</v>
      </c>
      <c r="C112">
        <v>3</v>
      </c>
      <c r="D112" t="s">
        <v>8</v>
      </c>
      <c r="E112" t="s">
        <v>9</v>
      </c>
      <c r="F112" t="s">
        <v>12</v>
      </c>
      <c r="G112" t="s">
        <v>26</v>
      </c>
      <c r="H112" s="2">
        <v>97.674418604651152</v>
      </c>
    </row>
    <row r="113" spans="1:8" x14ac:dyDescent="0.35">
      <c r="A113">
        <v>32</v>
      </c>
      <c r="B113">
        <v>2019</v>
      </c>
      <c r="C113">
        <v>4</v>
      </c>
      <c r="D113" t="s">
        <v>8</v>
      </c>
      <c r="E113" t="s">
        <v>9</v>
      </c>
      <c r="F113" t="s">
        <v>12</v>
      </c>
      <c r="G113" t="s">
        <v>26</v>
      </c>
      <c r="H113" s="2">
        <v>89.473684210526315</v>
      </c>
    </row>
    <row r="114" spans="1:8" x14ac:dyDescent="0.35">
      <c r="A114">
        <v>33</v>
      </c>
      <c r="B114">
        <v>2020</v>
      </c>
      <c r="C114">
        <v>1</v>
      </c>
      <c r="D114" t="s">
        <v>8</v>
      </c>
      <c r="E114" t="s">
        <v>9</v>
      </c>
      <c r="F114" t="s">
        <v>12</v>
      </c>
      <c r="G114" t="s">
        <v>26</v>
      </c>
      <c r="H114" s="2">
        <v>93.45794392523365</v>
      </c>
    </row>
    <row r="115" spans="1:8" x14ac:dyDescent="0.35">
      <c r="A115">
        <v>34</v>
      </c>
      <c r="B115">
        <v>2020</v>
      </c>
      <c r="C115">
        <v>2</v>
      </c>
      <c r="D115" t="s">
        <v>8</v>
      </c>
      <c r="E115" t="s">
        <v>9</v>
      </c>
      <c r="F115" t="s">
        <v>12</v>
      </c>
      <c r="G115" t="s">
        <v>26</v>
      </c>
      <c r="H115" s="2">
        <v>92.307692307692307</v>
      </c>
    </row>
    <row r="116" spans="1:8" x14ac:dyDescent="0.35">
      <c r="A116">
        <v>35</v>
      </c>
      <c r="B116">
        <v>2020</v>
      </c>
      <c r="C116">
        <v>3</v>
      </c>
      <c r="D116" t="s">
        <v>8</v>
      </c>
      <c r="E116" t="s">
        <v>9</v>
      </c>
      <c r="F116" t="s">
        <v>12</v>
      </c>
      <c r="G116" t="s">
        <v>26</v>
      </c>
      <c r="H116" s="2">
        <v>98.019801980198025</v>
      </c>
    </row>
    <row r="117" spans="1:8" x14ac:dyDescent="0.35">
      <c r="A117">
        <v>36</v>
      </c>
      <c r="B117">
        <v>2020</v>
      </c>
      <c r="C117">
        <v>4</v>
      </c>
      <c r="D117" t="s">
        <v>8</v>
      </c>
      <c r="E117" t="s">
        <v>9</v>
      </c>
      <c r="F117" t="s">
        <v>12</v>
      </c>
      <c r="G117" t="s">
        <v>26</v>
      </c>
      <c r="H117" s="2">
        <v>95.833333333333343</v>
      </c>
    </row>
    <row r="118" spans="1:8" x14ac:dyDescent="0.35">
      <c r="A118">
        <v>37</v>
      </c>
      <c r="B118">
        <v>2021</v>
      </c>
      <c r="C118">
        <v>1</v>
      </c>
      <c r="D118" t="s">
        <v>8</v>
      </c>
      <c r="E118" t="s">
        <v>9</v>
      </c>
      <c r="F118" t="s">
        <v>12</v>
      </c>
      <c r="G118" t="s">
        <v>26</v>
      </c>
      <c r="H118" s="2">
        <v>87.850467289719631</v>
      </c>
    </row>
    <row r="119" spans="1:8" x14ac:dyDescent="0.35">
      <c r="A119">
        <v>38</v>
      </c>
      <c r="B119">
        <v>2021</v>
      </c>
      <c r="C119">
        <v>2</v>
      </c>
      <c r="D119" t="s">
        <v>8</v>
      </c>
      <c r="E119" t="s">
        <v>9</v>
      </c>
      <c r="F119" t="s">
        <v>12</v>
      </c>
      <c r="G119" t="s">
        <v>26</v>
      </c>
      <c r="H119" s="2">
        <v>94.505494505494497</v>
      </c>
    </row>
    <row r="120" spans="1:8" x14ac:dyDescent="0.35">
      <c r="A120">
        <v>39</v>
      </c>
      <c r="B120">
        <v>2021</v>
      </c>
      <c r="C120">
        <v>3</v>
      </c>
      <c r="D120" t="s">
        <v>8</v>
      </c>
      <c r="E120" t="s">
        <v>9</v>
      </c>
      <c r="F120" t="s">
        <v>12</v>
      </c>
      <c r="G120" t="s">
        <v>26</v>
      </c>
      <c r="H120" s="2">
        <v>86.138613861386133</v>
      </c>
    </row>
    <row r="121" spans="1:8" x14ac:dyDescent="0.35">
      <c r="A121">
        <v>40</v>
      </c>
      <c r="B121">
        <v>2021</v>
      </c>
      <c r="C121">
        <v>4</v>
      </c>
      <c r="D121" t="s">
        <v>8</v>
      </c>
      <c r="E121" t="s">
        <v>9</v>
      </c>
      <c r="F121" t="s">
        <v>12</v>
      </c>
      <c r="G121" t="s">
        <v>26</v>
      </c>
      <c r="H121" s="2">
        <v>83.505154639175259</v>
      </c>
    </row>
    <row r="122" spans="1:8" x14ac:dyDescent="0.35">
      <c r="A122">
        <v>1</v>
      </c>
      <c r="B122">
        <v>2012</v>
      </c>
      <c r="C122">
        <v>1</v>
      </c>
      <c r="D122" t="s">
        <v>8</v>
      </c>
      <c r="E122" t="s">
        <v>9</v>
      </c>
      <c r="F122" t="s">
        <v>13</v>
      </c>
      <c r="G122" t="s">
        <v>27</v>
      </c>
      <c r="H122" s="2">
        <v>91.240875912408754</v>
      </c>
    </row>
    <row r="123" spans="1:8" x14ac:dyDescent="0.35">
      <c r="A123">
        <v>2</v>
      </c>
      <c r="B123">
        <v>2012</v>
      </c>
      <c r="C123">
        <v>2</v>
      </c>
      <c r="D123" t="s">
        <v>8</v>
      </c>
      <c r="E123" t="s">
        <v>9</v>
      </c>
      <c r="F123" t="s">
        <v>13</v>
      </c>
      <c r="G123" t="s">
        <v>27</v>
      </c>
      <c r="H123" s="2">
        <v>94.186046511627907</v>
      </c>
    </row>
    <row r="124" spans="1:8" x14ac:dyDescent="0.35">
      <c r="A124">
        <v>3</v>
      </c>
      <c r="B124">
        <v>2012</v>
      </c>
      <c r="C124">
        <v>3</v>
      </c>
      <c r="D124" t="s">
        <v>8</v>
      </c>
      <c r="E124" t="s">
        <v>9</v>
      </c>
      <c r="F124" t="s">
        <v>13</v>
      </c>
      <c r="G124" t="s">
        <v>27</v>
      </c>
      <c r="H124" s="2">
        <v>95.512820512820511</v>
      </c>
    </row>
    <row r="125" spans="1:8" x14ac:dyDescent="0.35">
      <c r="A125">
        <v>4</v>
      </c>
      <c r="B125">
        <v>2012</v>
      </c>
      <c r="C125">
        <v>4</v>
      </c>
      <c r="D125" t="s">
        <v>8</v>
      </c>
      <c r="E125" t="s">
        <v>9</v>
      </c>
      <c r="F125" t="s">
        <v>13</v>
      </c>
      <c r="G125" t="s">
        <v>27</v>
      </c>
      <c r="H125" s="2">
        <v>98</v>
      </c>
    </row>
    <row r="126" spans="1:8" x14ac:dyDescent="0.35">
      <c r="A126">
        <v>5</v>
      </c>
      <c r="B126">
        <v>2013</v>
      </c>
      <c r="C126">
        <v>1</v>
      </c>
      <c r="D126" t="s">
        <v>8</v>
      </c>
      <c r="E126" t="s">
        <v>9</v>
      </c>
      <c r="F126" t="s">
        <v>13</v>
      </c>
      <c r="G126" t="s">
        <v>27</v>
      </c>
      <c r="H126" s="2">
        <v>95.588235294117652</v>
      </c>
    </row>
    <row r="127" spans="1:8" x14ac:dyDescent="0.35">
      <c r="A127">
        <v>6</v>
      </c>
      <c r="B127">
        <v>2013</v>
      </c>
      <c r="C127">
        <v>2</v>
      </c>
      <c r="D127" t="s">
        <v>8</v>
      </c>
      <c r="E127" t="s">
        <v>9</v>
      </c>
      <c r="F127" t="s">
        <v>13</v>
      </c>
      <c r="G127" t="s">
        <v>27</v>
      </c>
      <c r="H127" s="2">
        <v>95.862068965517238</v>
      </c>
    </row>
    <row r="128" spans="1:8" x14ac:dyDescent="0.35">
      <c r="A128">
        <v>7</v>
      </c>
      <c r="B128">
        <v>2013</v>
      </c>
      <c r="C128">
        <v>3</v>
      </c>
      <c r="D128" t="s">
        <v>8</v>
      </c>
      <c r="E128" t="s">
        <v>9</v>
      </c>
      <c r="F128" t="s">
        <v>13</v>
      </c>
      <c r="G128" t="s">
        <v>27</v>
      </c>
      <c r="H128" s="2">
        <v>96.732026143790847</v>
      </c>
    </row>
    <row r="129" spans="1:8" x14ac:dyDescent="0.35">
      <c r="A129">
        <v>8</v>
      </c>
      <c r="B129">
        <v>2013</v>
      </c>
      <c r="C129">
        <v>4</v>
      </c>
      <c r="D129" t="s">
        <v>8</v>
      </c>
      <c r="E129" t="s">
        <v>9</v>
      </c>
      <c r="F129" t="s">
        <v>13</v>
      </c>
      <c r="G129" t="s">
        <v>27</v>
      </c>
      <c r="H129" s="2">
        <v>95.783132530120483</v>
      </c>
    </row>
    <row r="130" spans="1:8" x14ac:dyDescent="0.35">
      <c r="A130">
        <v>9</v>
      </c>
      <c r="B130">
        <v>2014</v>
      </c>
      <c r="C130">
        <v>1</v>
      </c>
      <c r="D130" t="s">
        <v>8</v>
      </c>
      <c r="E130" t="s">
        <v>9</v>
      </c>
      <c r="F130" t="s">
        <v>13</v>
      </c>
      <c r="G130" t="s">
        <v>27</v>
      </c>
      <c r="H130" s="2">
        <v>90.209790209790214</v>
      </c>
    </row>
    <row r="131" spans="1:8" x14ac:dyDescent="0.35">
      <c r="A131">
        <v>10</v>
      </c>
      <c r="B131">
        <v>2014</v>
      </c>
      <c r="C131">
        <v>2</v>
      </c>
      <c r="D131" t="s">
        <v>8</v>
      </c>
      <c r="E131" t="s">
        <v>9</v>
      </c>
      <c r="F131" t="s">
        <v>13</v>
      </c>
      <c r="G131" t="s">
        <v>27</v>
      </c>
      <c r="H131" s="2">
        <v>98.089171974522287</v>
      </c>
    </row>
    <row r="132" spans="1:8" x14ac:dyDescent="0.35">
      <c r="A132">
        <v>11</v>
      </c>
      <c r="B132">
        <v>2014</v>
      </c>
      <c r="C132">
        <v>3</v>
      </c>
      <c r="D132" t="s">
        <v>8</v>
      </c>
      <c r="E132" t="s">
        <v>9</v>
      </c>
      <c r="F132" t="s">
        <v>13</v>
      </c>
      <c r="G132" t="s">
        <v>27</v>
      </c>
      <c r="H132" s="2">
        <v>97.887323943661968</v>
      </c>
    </row>
    <row r="133" spans="1:8" x14ac:dyDescent="0.35">
      <c r="A133">
        <v>12</v>
      </c>
      <c r="B133">
        <v>2014</v>
      </c>
      <c r="C133">
        <v>4</v>
      </c>
      <c r="D133" t="s">
        <v>8</v>
      </c>
      <c r="E133" t="s">
        <v>9</v>
      </c>
      <c r="F133" t="s">
        <v>13</v>
      </c>
      <c r="G133" t="s">
        <v>27</v>
      </c>
      <c r="H133" s="2">
        <v>95.882352941176478</v>
      </c>
    </row>
    <row r="134" spans="1:8" x14ac:dyDescent="0.35">
      <c r="A134">
        <v>13</v>
      </c>
      <c r="B134">
        <v>2015</v>
      </c>
      <c r="C134">
        <v>1</v>
      </c>
      <c r="D134" t="s">
        <v>8</v>
      </c>
      <c r="E134" t="s">
        <v>9</v>
      </c>
      <c r="F134" t="s">
        <v>13</v>
      </c>
      <c r="G134" t="s">
        <v>27</v>
      </c>
      <c r="H134" s="2">
        <v>93.589743589743591</v>
      </c>
    </row>
    <row r="135" spans="1:8" x14ac:dyDescent="0.35">
      <c r="A135">
        <v>14</v>
      </c>
      <c r="B135">
        <v>2015</v>
      </c>
      <c r="C135">
        <v>2</v>
      </c>
      <c r="D135" t="s">
        <v>8</v>
      </c>
      <c r="E135" t="s">
        <v>9</v>
      </c>
      <c r="F135" t="s">
        <v>13</v>
      </c>
      <c r="G135" t="s">
        <v>27</v>
      </c>
      <c r="H135" s="2">
        <v>95.50561797752809</v>
      </c>
    </row>
    <row r="136" spans="1:8" x14ac:dyDescent="0.35">
      <c r="A136">
        <v>15</v>
      </c>
      <c r="B136">
        <v>2015</v>
      </c>
      <c r="C136">
        <v>3</v>
      </c>
      <c r="D136" t="s">
        <v>8</v>
      </c>
      <c r="E136" t="s">
        <v>9</v>
      </c>
      <c r="F136" t="s">
        <v>13</v>
      </c>
      <c r="G136" t="s">
        <v>27</v>
      </c>
      <c r="H136" s="2">
        <v>97.857142857142847</v>
      </c>
    </row>
    <row r="137" spans="1:8" x14ac:dyDescent="0.35">
      <c r="A137">
        <v>16</v>
      </c>
      <c r="B137">
        <v>2015</v>
      </c>
      <c r="C137">
        <v>4</v>
      </c>
      <c r="D137" t="s">
        <v>8</v>
      </c>
      <c r="E137" t="s">
        <v>9</v>
      </c>
      <c r="F137" t="s">
        <v>13</v>
      </c>
      <c r="G137" t="s">
        <v>27</v>
      </c>
      <c r="H137" s="2">
        <v>96.15384615384616</v>
      </c>
    </row>
    <row r="138" spans="1:8" x14ac:dyDescent="0.35">
      <c r="A138">
        <v>17</v>
      </c>
      <c r="B138">
        <v>2016</v>
      </c>
      <c r="C138">
        <v>1</v>
      </c>
      <c r="D138" t="s">
        <v>8</v>
      </c>
      <c r="E138" t="s">
        <v>9</v>
      </c>
      <c r="F138" t="s">
        <v>13</v>
      </c>
      <c r="G138" t="s">
        <v>27</v>
      </c>
      <c r="H138" s="2">
        <v>94.267515923566876</v>
      </c>
    </row>
    <row r="139" spans="1:8" x14ac:dyDescent="0.35">
      <c r="A139">
        <v>18</v>
      </c>
      <c r="B139">
        <v>2016</v>
      </c>
      <c r="C139">
        <v>2</v>
      </c>
      <c r="D139" t="s">
        <v>8</v>
      </c>
      <c r="E139" t="s">
        <v>9</v>
      </c>
      <c r="F139" t="s">
        <v>13</v>
      </c>
      <c r="G139" t="s">
        <v>27</v>
      </c>
      <c r="H139" s="2">
        <v>92.715231788079464</v>
      </c>
    </row>
    <row r="140" spans="1:8" x14ac:dyDescent="0.35">
      <c r="A140">
        <v>19</v>
      </c>
      <c r="B140">
        <v>2016</v>
      </c>
      <c r="C140">
        <v>3</v>
      </c>
      <c r="D140" t="s">
        <v>8</v>
      </c>
      <c r="E140" t="s">
        <v>9</v>
      </c>
      <c r="F140" t="s">
        <v>13</v>
      </c>
      <c r="G140" t="s">
        <v>27</v>
      </c>
      <c r="H140" s="2">
        <v>90.384615384615387</v>
      </c>
    </row>
    <row r="141" spans="1:8" x14ac:dyDescent="0.35">
      <c r="A141">
        <v>20</v>
      </c>
      <c r="B141">
        <v>2016</v>
      </c>
      <c r="C141">
        <v>4</v>
      </c>
      <c r="D141" t="s">
        <v>8</v>
      </c>
      <c r="E141" t="s">
        <v>9</v>
      </c>
      <c r="F141" t="s">
        <v>13</v>
      </c>
      <c r="G141" t="s">
        <v>27</v>
      </c>
      <c r="H141" s="2">
        <v>93.630573248407643</v>
      </c>
    </row>
    <row r="142" spans="1:8" x14ac:dyDescent="0.35">
      <c r="A142">
        <v>21</v>
      </c>
      <c r="B142">
        <v>2017</v>
      </c>
      <c r="C142">
        <v>1</v>
      </c>
      <c r="D142" t="s">
        <v>8</v>
      </c>
      <c r="E142" t="s">
        <v>9</v>
      </c>
      <c r="F142" t="s">
        <v>13</v>
      </c>
      <c r="G142" t="s">
        <v>27</v>
      </c>
      <c r="H142" s="2">
        <v>93.023255813953483</v>
      </c>
    </row>
    <row r="143" spans="1:8" x14ac:dyDescent="0.35">
      <c r="A143">
        <v>22</v>
      </c>
      <c r="B143">
        <v>2017</v>
      </c>
      <c r="C143">
        <v>2</v>
      </c>
      <c r="D143" t="s">
        <v>8</v>
      </c>
      <c r="E143" t="s">
        <v>9</v>
      </c>
      <c r="F143" t="s">
        <v>13</v>
      </c>
      <c r="G143" t="s">
        <v>27</v>
      </c>
      <c r="H143" s="2">
        <v>87.2340425531915</v>
      </c>
    </row>
    <row r="144" spans="1:8" x14ac:dyDescent="0.35">
      <c r="A144">
        <v>23</v>
      </c>
      <c r="B144">
        <v>2017</v>
      </c>
      <c r="C144">
        <v>3</v>
      </c>
      <c r="D144" t="s">
        <v>8</v>
      </c>
      <c r="E144" t="s">
        <v>9</v>
      </c>
      <c r="F144" t="s">
        <v>13</v>
      </c>
      <c r="G144" t="s">
        <v>27</v>
      </c>
      <c r="H144" s="2">
        <v>88.359788359788354</v>
      </c>
    </row>
    <row r="145" spans="1:8" x14ac:dyDescent="0.35">
      <c r="A145">
        <v>24</v>
      </c>
      <c r="B145">
        <v>2017</v>
      </c>
      <c r="C145">
        <v>4</v>
      </c>
      <c r="D145" t="s">
        <v>8</v>
      </c>
      <c r="E145" t="s">
        <v>9</v>
      </c>
      <c r="F145" t="s">
        <v>13</v>
      </c>
      <c r="G145" t="s">
        <v>27</v>
      </c>
      <c r="H145" s="2">
        <v>88.082901554404145</v>
      </c>
    </row>
    <row r="146" spans="1:8" x14ac:dyDescent="0.35">
      <c r="A146">
        <v>25</v>
      </c>
      <c r="B146">
        <v>2018</v>
      </c>
      <c r="C146">
        <v>1</v>
      </c>
      <c r="D146" t="s">
        <v>8</v>
      </c>
      <c r="E146" t="s">
        <v>9</v>
      </c>
      <c r="F146" t="s">
        <v>13</v>
      </c>
      <c r="G146" t="s">
        <v>27</v>
      </c>
      <c r="H146" s="2">
        <v>86.138613861386133</v>
      </c>
    </row>
    <row r="147" spans="1:8" x14ac:dyDescent="0.35">
      <c r="A147">
        <v>26</v>
      </c>
      <c r="B147">
        <v>2018</v>
      </c>
      <c r="C147">
        <v>2</v>
      </c>
      <c r="D147" t="s">
        <v>8</v>
      </c>
      <c r="E147" t="s">
        <v>9</v>
      </c>
      <c r="F147" t="s">
        <v>13</v>
      </c>
      <c r="G147" t="s">
        <v>27</v>
      </c>
      <c r="H147" s="2">
        <v>84.976525821596255</v>
      </c>
    </row>
    <row r="148" spans="1:8" x14ac:dyDescent="0.35">
      <c r="A148">
        <v>27</v>
      </c>
      <c r="B148">
        <v>2018</v>
      </c>
      <c r="C148">
        <v>3</v>
      </c>
      <c r="D148" t="s">
        <v>8</v>
      </c>
      <c r="E148" t="s">
        <v>9</v>
      </c>
      <c r="F148" t="s">
        <v>13</v>
      </c>
      <c r="G148" t="s">
        <v>27</v>
      </c>
      <c r="H148" s="2">
        <v>82.845188284518827</v>
      </c>
    </row>
    <row r="149" spans="1:8" x14ac:dyDescent="0.35">
      <c r="A149">
        <v>28</v>
      </c>
      <c r="B149">
        <v>2018</v>
      </c>
      <c r="C149">
        <v>4</v>
      </c>
      <c r="D149" t="s">
        <v>8</v>
      </c>
      <c r="E149" t="s">
        <v>9</v>
      </c>
      <c r="F149" t="s">
        <v>13</v>
      </c>
      <c r="G149" t="s">
        <v>27</v>
      </c>
      <c r="H149" s="2">
        <v>85.784313725490193</v>
      </c>
    </row>
    <row r="150" spans="1:8" x14ac:dyDescent="0.35">
      <c r="A150">
        <v>29</v>
      </c>
      <c r="B150">
        <v>2019</v>
      </c>
      <c r="C150">
        <v>1</v>
      </c>
      <c r="D150" t="s">
        <v>8</v>
      </c>
      <c r="E150" t="s">
        <v>9</v>
      </c>
      <c r="F150" t="s">
        <v>13</v>
      </c>
      <c r="G150" t="s">
        <v>27</v>
      </c>
      <c r="H150" s="2">
        <v>88.082901554404145</v>
      </c>
    </row>
    <row r="151" spans="1:8" x14ac:dyDescent="0.35">
      <c r="A151">
        <v>30</v>
      </c>
      <c r="B151">
        <v>2019</v>
      </c>
      <c r="C151">
        <v>2</v>
      </c>
      <c r="D151" t="s">
        <v>8</v>
      </c>
      <c r="E151" t="s">
        <v>9</v>
      </c>
      <c r="F151" t="s">
        <v>13</v>
      </c>
      <c r="G151" t="s">
        <v>27</v>
      </c>
      <c r="H151" s="2">
        <v>86</v>
      </c>
    </row>
    <row r="152" spans="1:8" x14ac:dyDescent="0.35">
      <c r="A152">
        <v>31</v>
      </c>
      <c r="B152">
        <v>2019</v>
      </c>
      <c r="C152">
        <v>3</v>
      </c>
      <c r="D152" t="s">
        <v>8</v>
      </c>
      <c r="E152" t="s">
        <v>9</v>
      </c>
      <c r="F152" t="s">
        <v>13</v>
      </c>
      <c r="G152" t="s">
        <v>27</v>
      </c>
      <c r="H152" s="2">
        <v>85.643564356435647</v>
      </c>
    </row>
    <row r="153" spans="1:8" x14ac:dyDescent="0.35">
      <c r="A153">
        <v>32</v>
      </c>
      <c r="B153">
        <v>2019</v>
      </c>
      <c r="C153">
        <v>4</v>
      </c>
      <c r="D153" t="s">
        <v>8</v>
      </c>
      <c r="E153" t="s">
        <v>9</v>
      </c>
      <c r="F153" t="s">
        <v>13</v>
      </c>
      <c r="G153" t="s">
        <v>27</v>
      </c>
      <c r="H153" s="2">
        <v>91.542288557213936</v>
      </c>
    </row>
    <row r="154" spans="1:8" x14ac:dyDescent="0.35">
      <c r="A154">
        <v>33</v>
      </c>
      <c r="B154">
        <v>2020</v>
      </c>
      <c r="C154">
        <v>1</v>
      </c>
      <c r="D154" t="s">
        <v>8</v>
      </c>
      <c r="E154" t="s">
        <v>9</v>
      </c>
      <c r="F154" t="s">
        <v>13</v>
      </c>
      <c r="G154" t="s">
        <v>27</v>
      </c>
      <c r="H154" s="2">
        <v>80</v>
      </c>
    </row>
    <row r="155" spans="1:8" x14ac:dyDescent="0.35">
      <c r="A155">
        <v>34</v>
      </c>
      <c r="B155">
        <v>2020</v>
      </c>
      <c r="C155">
        <v>2</v>
      </c>
      <c r="D155" t="s">
        <v>8</v>
      </c>
      <c r="E155" t="s">
        <v>9</v>
      </c>
      <c r="F155" t="s">
        <v>13</v>
      </c>
      <c r="G155" t="s">
        <v>27</v>
      </c>
      <c r="H155" s="2">
        <v>88.043478260869563</v>
      </c>
    </row>
    <row r="156" spans="1:8" x14ac:dyDescent="0.35">
      <c r="A156">
        <v>35</v>
      </c>
      <c r="B156">
        <v>2020</v>
      </c>
      <c r="C156">
        <v>3</v>
      </c>
      <c r="D156" t="s">
        <v>8</v>
      </c>
      <c r="E156" t="s">
        <v>9</v>
      </c>
      <c r="F156" t="s">
        <v>13</v>
      </c>
      <c r="G156" t="s">
        <v>27</v>
      </c>
      <c r="H156" s="2">
        <v>90.502793296089393</v>
      </c>
    </row>
    <row r="157" spans="1:8" x14ac:dyDescent="0.35">
      <c r="A157">
        <v>36</v>
      </c>
      <c r="B157">
        <v>2020</v>
      </c>
      <c r="C157">
        <v>4</v>
      </c>
      <c r="D157" t="s">
        <v>8</v>
      </c>
      <c r="E157" t="s">
        <v>9</v>
      </c>
      <c r="F157" t="s">
        <v>13</v>
      </c>
      <c r="G157" t="s">
        <v>27</v>
      </c>
      <c r="H157" s="2">
        <v>93.478260869565219</v>
      </c>
    </row>
    <row r="158" spans="1:8" x14ac:dyDescent="0.35">
      <c r="A158">
        <v>37</v>
      </c>
      <c r="B158">
        <v>2021</v>
      </c>
      <c r="C158">
        <v>1</v>
      </c>
      <c r="D158" t="s">
        <v>8</v>
      </c>
      <c r="E158" t="s">
        <v>9</v>
      </c>
      <c r="F158" t="s">
        <v>13</v>
      </c>
      <c r="G158" t="s">
        <v>27</v>
      </c>
      <c r="H158" s="2">
        <v>88.888888888888886</v>
      </c>
    </row>
    <row r="159" spans="1:8" x14ac:dyDescent="0.35">
      <c r="A159">
        <v>38</v>
      </c>
      <c r="B159">
        <v>2021</v>
      </c>
      <c r="C159">
        <v>2</v>
      </c>
      <c r="D159" t="s">
        <v>8</v>
      </c>
      <c r="E159" t="s">
        <v>9</v>
      </c>
      <c r="F159" t="s">
        <v>13</v>
      </c>
      <c r="G159" t="s">
        <v>27</v>
      </c>
      <c r="H159" s="2">
        <v>92.344497607655512</v>
      </c>
    </row>
    <row r="160" spans="1:8" x14ac:dyDescent="0.35">
      <c r="A160">
        <v>39</v>
      </c>
      <c r="B160">
        <v>2021</v>
      </c>
      <c r="C160">
        <v>3</v>
      </c>
      <c r="D160" t="s">
        <v>8</v>
      </c>
      <c r="E160" t="s">
        <v>9</v>
      </c>
      <c r="F160" t="s">
        <v>13</v>
      </c>
      <c r="G160" t="s">
        <v>27</v>
      </c>
      <c r="H160" s="2">
        <v>86.224489795918373</v>
      </c>
    </row>
    <row r="161" spans="1:8" x14ac:dyDescent="0.35">
      <c r="A161">
        <v>40</v>
      </c>
      <c r="B161">
        <v>2021</v>
      </c>
      <c r="C161">
        <v>4</v>
      </c>
      <c r="D161" t="s">
        <v>8</v>
      </c>
      <c r="E161" t="s">
        <v>9</v>
      </c>
      <c r="F161" t="s">
        <v>13</v>
      </c>
      <c r="G161" t="s">
        <v>27</v>
      </c>
      <c r="H161" s="2">
        <v>84.08163265306122</v>
      </c>
    </row>
    <row r="162" spans="1:8" x14ac:dyDescent="0.35">
      <c r="A162">
        <v>1</v>
      </c>
      <c r="B162">
        <v>2012</v>
      </c>
      <c r="C162">
        <v>1</v>
      </c>
      <c r="D162" t="s">
        <v>8</v>
      </c>
      <c r="E162" t="s">
        <v>9</v>
      </c>
      <c r="F162" t="s">
        <v>14</v>
      </c>
      <c r="G162" t="s">
        <v>28</v>
      </c>
      <c r="H162" s="2">
        <v>90.102389078498291</v>
      </c>
    </row>
    <row r="163" spans="1:8" x14ac:dyDescent="0.35">
      <c r="A163">
        <v>2</v>
      </c>
      <c r="B163">
        <v>2012</v>
      </c>
      <c r="C163">
        <v>2</v>
      </c>
      <c r="D163" t="s">
        <v>8</v>
      </c>
      <c r="E163" t="s">
        <v>9</v>
      </c>
      <c r="F163" t="s">
        <v>14</v>
      </c>
      <c r="G163" t="s">
        <v>28</v>
      </c>
      <c r="H163" s="2">
        <v>95.136778115501514</v>
      </c>
    </row>
    <row r="164" spans="1:8" x14ac:dyDescent="0.35">
      <c r="A164">
        <v>3</v>
      </c>
      <c r="B164">
        <v>2012</v>
      </c>
      <c r="C164">
        <v>3</v>
      </c>
      <c r="D164" t="s">
        <v>8</v>
      </c>
      <c r="E164" t="s">
        <v>9</v>
      </c>
      <c r="F164" t="s">
        <v>14</v>
      </c>
      <c r="G164" t="s">
        <v>28</v>
      </c>
      <c r="H164" s="2">
        <v>88.679245283018872</v>
      </c>
    </row>
    <row r="165" spans="1:8" x14ac:dyDescent="0.35">
      <c r="A165">
        <v>4</v>
      </c>
      <c r="B165">
        <v>2012</v>
      </c>
      <c r="C165">
        <v>4</v>
      </c>
      <c r="D165" t="s">
        <v>8</v>
      </c>
      <c r="E165" t="s">
        <v>9</v>
      </c>
      <c r="F165" t="s">
        <v>14</v>
      </c>
      <c r="G165" t="s">
        <v>28</v>
      </c>
      <c r="H165" s="2">
        <v>95.59748427672956</v>
      </c>
    </row>
    <row r="166" spans="1:8" x14ac:dyDescent="0.35">
      <c r="A166">
        <v>5</v>
      </c>
      <c r="B166">
        <v>2013</v>
      </c>
      <c r="C166">
        <v>1</v>
      </c>
      <c r="D166" t="s">
        <v>8</v>
      </c>
      <c r="E166" t="s">
        <v>9</v>
      </c>
      <c r="F166" t="s">
        <v>14</v>
      </c>
      <c r="G166" t="s">
        <v>28</v>
      </c>
      <c r="H166" s="2">
        <v>90.202702702702695</v>
      </c>
    </row>
    <row r="167" spans="1:8" x14ac:dyDescent="0.35">
      <c r="A167">
        <v>6</v>
      </c>
      <c r="B167">
        <v>2013</v>
      </c>
      <c r="C167">
        <v>2</v>
      </c>
      <c r="D167" t="s">
        <v>8</v>
      </c>
      <c r="E167" t="s">
        <v>9</v>
      </c>
      <c r="F167" t="s">
        <v>14</v>
      </c>
      <c r="G167" t="s">
        <v>28</v>
      </c>
      <c r="H167" s="2">
        <v>88.698630136986296</v>
      </c>
    </row>
    <row r="168" spans="1:8" x14ac:dyDescent="0.35">
      <c r="A168">
        <v>7</v>
      </c>
      <c r="B168">
        <v>2013</v>
      </c>
      <c r="C168">
        <v>3</v>
      </c>
      <c r="D168" t="s">
        <v>8</v>
      </c>
      <c r="E168" t="s">
        <v>9</v>
      </c>
      <c r="F168" t="s">
        <v>14</v>
      </c>
      <c r="G168" t="s">
        <v>28</v>
      </c>
      <c r="H168" s="2">
        <v>89.368770764119603</v>
      </c>
    </row>
    <row r="169" spans="1:8" x14ac:dyDescent="0.35">
      <c r="A169">
        <v>8</v>
      </c>
      <c r="B169">
        <v>2013</v>
      </c>
      <c r="C169">
        <v>4</v>
      </c>
      <c r="D169" t="s">
        <v>8</v>
      </c>
      <c r="E169" t="s">
        <v>9</v>
      </c>
      <c r="F169" t="s">
        <v>14</v>
      </c>
      <c r="G169" t="s">
        <v>28</v>
      </c>
      <c r="H169" s="2">
        <v>92.145015105740185</v>
      </c>
    </row>
    <row r="170" spans="1:8" x14ac:dyDescent="0.35">
      <c r="A170">
        <v>9</v>
      </c>
      <c r="B170">
        <v>2014</v>
      </c>
      <c r="C170">
        <v>1</v>
      </c>
      <c r="D170" t="s">
        <v>8</v>
      </c>
      <c r="E170" t="s">
        <v>9</v>
      </c>
      <c r="F170" t="s">
        <v>14</v>
      </c>
      <c r="G170" t="s">
        <v>28</v>
      </c>
      <c r="H170" s="2">
        <v>85.483870967741936</v>
      </c>
    </row>
    <row r="171" spans="1:8" x14ac:dyDescent="0.35">
      <c r="A171">
        <v>10</v>
      </c>
      <c r="B171">
        <v>2014</v>
      </c>
      <c r="C171">
        <v>2</v>
      </c>
      <c r="D171" t="s">
        <v>8</v>
      </c>
      <c r="E171" t="s">
        <v>9</v>
      </c>
      <c r="F171" t="s">
        <v>14</v>
      </c>
      <c r="G171" t="s">
        <v>28</v>
      </c>
      <c r="H171" s="2">
        <v>90.282131661442008</v>
      </c>
    </row>
    <row r="172" spans="1:8" x14ac:dyDescent="0.35">
      <c r="A172">
        <v>11</v>
      </c>
      <c r="B172">
        <v>2014</v>
      </c>
      <c r="C172">
        <v>3</v>
      </c>
      <c r="D172" t="s">
        <v>8</v>
      </c>
      <c r="E172" t="s">
        <v>9</v>
      </c>
      <c r="F172" t="s">
        <v>14</v>
      </c>
      <c r="G172" t="s">
        <v>28</v>
      </c>
      <c r="H172" s="2">
        <v>86.82634730538922</v>
      </c>
    </row>
    <row r="173" spans="1:8" x14ac:dyDescent="0.35">
      <c r="A173">
        <v>12</v>
      </c>
      <c r="B173">
        <v>2014</v>
      </c>
      <c r="C173">
        <v>4</v>
      </c>
      <c r="D173" t="s">
        <v>8</v>
      </c>
      <c r="E173" t="s">
        <v>9</v>
      </c>
      <c r="F173" t="s">
        <v>14</v>
      </c>
      <c r="G173" t="s">
        <v>28</v>
      </c>
      <c r="H173" s="2">
        <v>89.130434782608688</v>
      </c>
    </row>
    <row r="174" spans="1:8" x14ac:dyDescent="0.35">
      <c r="A174">
        <v>13</v>
      </c>
      <c r="B174">
        <v>2015</v>
      </c>
      <c r="C174">
        <v>1</v>
      </c>
      <c r="D174" t="s">
        <v>8</v>
      </c>
      <c r="E174" t="s">
        <v>9</v>
      </c>
      <c r="F174" t="s">
        <v>14</v>
      </c>
      <c r="G174" t="s">
        <v>28</v>
      </c>
      <c r="H174" s="2">
        <v>85.534591194968556</v>
      </c>
    </row>
    <row r="175" spans="1:8" x14ac:dyDescent="0.35">
      <c r="A175">
        <v>14</v>
      </c>
      <c r="B175">
        <v>2015</v>
      </c>
      <c r="C175">
        <v>2</v>
      </c>
      <c r="D175" t="s">
        <v>8</v>
      </c>
      <c r="E175" t="s">
        <v>9</v>
      </c>
      <c r="F175" t="s">
        <v>14</v>
      </c>
      <c r="G175" t="s">
        <v>28</v>
      </c>
      <c r="H175" s="2">
        <v>84.482758620689651</v>
      </c>
    </row>
    <row r="176" spans="1:8" x14ac:dyDescent="0.35">
      <c r="A176">
        <v>15</v>
      </c>
      <c r="B176">
        <v>2015</v>
      </c>
      <c r="C176">
        <v>3</v>
      </c>
      <c r="D176" t="s">
        <v>8</v>
      </c>
      <c r="E176" t="s">
        <v>9</v>
      </c>
      <c r="F176" t="s">
        <v>14</v>
      </c>
      <c r="G176" t="s">
        <v>28</v>
      </c>
      <c r="H176" s="2">
        <v>85</v>
      </c>
    </row>
    <row r="177" spans="1:8" x14ac:dyDescent="0.35">
      <c r="A177">
        <v>16</v>
      </c>
      <c r="B177">
        <v>2015</v>
      </c>
      <c r="C177">
        <v>4</v>
      </c>
      <c r="D177" t="s">
        <v>8</v>
      </c>
      <c r="E177" t="s">
        <v>9</v>
      </c>
      <c r="F177" t="s">
        <v>14</v>
      </c>
      <c r="G177" t="s">
        <v>28</v>
      </c>
      <c r="H177" s="2">
        <v>86.549707602339183</v>
      </c>
    </row>
    <row r="178" spans="1:8" x14ac:dyDescent="0.35">
      <c r="A178">
        <v>17</v>
      </c>
      <c r="B178">
        <v>2016</v>
      </c>
      <c r="C178">
        <v>1</v>
      </c>
      <c r="D178" t="s">
        <v>8</v>
      </c>
      <c r="E178" t="s">
        <v>9</v>
      </c>
      <c r="F178" t="s">
        <v>14</v>
      </c>
      <c r="G178" t="s">
        <v>28</v>
      </c>
      <c r="H178" s="2">
        <v>86.834733893557427</v>
      </c>
    </row>
    <row r="179" spans="1:8" x14ac:dyDescent="0.35">
      <c r="A179">
        <v>18</v>
      </c>
      <c r="B179">
        <v>2016</v>
      </c>
      <c r="C179">
        <v>2</v>
      </c>
      <c r="D179" t="s">
        <v>8</v>
      </c>
      <c r="E179" t="s">
        <v>9</v>
      </c>
      <c r="F179" t="s">
        <v>14</v>
      </c>
      <c r="G179" t="s">
        <v>28</v>
      </c>
      <c r="H179" s="2">
        <v>85.13513513513513</v>
      </c>
    </row>
    <row r="180" spans="1:8" x14ac:dyDescent="0.35">
      <c r="A180">
        <v>19</v>
      </c>
      <c r="B180">
        <v>2016</v>
      </c>
      <c r="C180">
        <v>3</v>
      </c>
      <c r="D180" t="s">
        <v>8</v>
      </c>
      <c r="E180" t="s">
        <v>9</v>
      </c>
      <c r="F180" t="s">
        <v>14</v>
      </c>
      <c r="G180" t="s">
        <v>28</v>
      </c>
      <c r="H180" s="2">
        <v>81.723237597911222</v>
      </c>
    </row>
    <row r="181" spans="1:8" x14ac:dyDescent="0.35">
      <c r="A181">
        <v>20</v>
      </c>
      <c r="B181">
        <v>2016</v>
      </c>
      <c r="C181">
        <v>4</v>
      </c>
      <c r="D181" t="s">
        <v>8</v>
      </c>
      <c r="E181" t="s">
        <v>9</v>
      </c>
      <c r="F181" t="s">
        <v>14</v>
      </c>
      <c r="G181" t="s">
        <v>28</v>
      </c>
      <c r="H181" s="2">
        <v>84.382871536523936</v>
      </c>
    </row>
    <row r="182" spans="1:8" x14ac:dyDescent="0.35">
      <c r="A182">
        <v>21</v>
      </c>
      <c r="B182">
        <v>2017</v>
      </c>
      <c r="C182">
        <v>1</v>
      </c>
      <c r="D182" t="s">
        <v>8</v>
      </c>
      <c r="E182" t="s">
        <v>9</v>
      </c>
      <c r="F182" t="s">
        <v>14</v>
      </c>
      <c r="G182" t="s">
        <v>28</v>
      </c>
      <c r="H182" s="2">
        <v>85.359801488833739</v>
      </c>
    </row>
    <row r="183" spans="1:8" x14ac:dyDescent="0.35">
      <c r="A183">
        <v>22</v>
      </c>
      <c r="B183">
        <v>2017</v>
      </c>
      <c r="C183">
        <v>2</v>
      </c>
      <c r="D183" t="s">
        <v>8</v>
      </c>
      <c r="E183" t="s">
        <v>9</v>
      </c>
      <c r="F183" t="s">
        <v>14</v>
      </c>
      <c r="G183" t="s">
        <v>28</v>
      </c>
      <c r="H183" s="2">
        <v>81.84143222506394</v>
      </c>
    </row>
    <row r="184" spans="1:8" x14ac:dyDescent="0.35">
      <c r="A184">
        <v>23</v>
      </c>
      <c r="B184">
        <v>2017</v>
      </c>
      <c r="C184">
        <v>3</v>
      </c>
      <c r="D184" t="s">
        <v>8</v>
      </c>
      <c r="E184" t="s">
        <v>9</v>
      </c>
      <c r="F184" t="s">
        <v>14</v>
      </c>
      <c r="G184" t="s">
        <v>28</v>
      </c>
      <c r="H184" s="2">
        <v>82.608695652173907</v>
      </c>
    </row>
    <row r="185" spans="1:8" x14ac:dyDescent="0.35">
      <c r="A185">
        <v>24</v>
      </c>
      <c r="B185">
        <v>2017</v>
      </c>
      <c r="C185">
        <v>4</v>
      </c>
      <c r="D185" t="s">
        <v>8</v>
      </c>
      <c r="E185" t="s">
        <v>9</v>
      </c>
      <c r="F185" t="s">
        <v>14</v>
      </c>
      <c r="G185" t="s">
        <v>28</v>
      </c>
      <c r="H185" s="2">
        <v>79.606879606879616</v>
      </c>
    </row>
    <row r="186" spans="1:8" x14ac:dyDescent="0.35">
      <c r="A186">
        <v>25</v>
      </c>
      <c r="B186">
        <v>2018</v>
      </c>
      <c r="C186">
        <v>1</v>
      </c>
      <c r="D186" t="s">
        <v>8</v>
      </c>
      <c r="E186" t="s">
        <v>9</v>
      </c>
      <c r="F186" t="s">
        <v>14</v>
      </c>
      <c r="G186" t="s">
        <v>28</v>
      </c>
      <c r="H186" s="2">
        <v>75.797872340425528</v>
      </c>
    </row>
    <row r="187" spans="1:8" x14ac:dyDescent="0.35">
      <c r="A187">
        <v>26</v>
      </c>
      <c r="B187">
        <v>2018</v>
      </c>
      <c r="C187">
        <v>2</v>
      </c>
      <c r="D187" t="s">
        <v>8</v>
      </c>
      <c r="E187" t="s">
        <v>9</v>
      </c>
      <c r="F187" t="s">
        <v>14</v>
      </c>
      <c r="G187" t="s">
        <v>28</v>
      </c>
      <c r="H187" s="2">
        <v>79.820627802690581</v>
      </c>
    </row>
    <row r="188" spans="1:8" x14ac:dyDescent="0.35">
      <c r="A188">
        <v>27</v>
      </c>
      <c r="B188">
        <v>2018</v>
      </c>
      <c r="C188">
        <v>3</v>
      </c>
      <c r="D188" t="s">
        <v>8</v>
      </c>
      <c r="E188" t="s">
        <v>9</v>
      </c>
      <c r="F188" t="s">
        <v>14</v>
      </c>
      <c r="G188" t="s">
        <v>28</v>
      </c>
      <c r="H188" s="2">
        <v>76.712328767123282</v>
      </c>
    </row>
    <row r="189" spans="1:8" x14ac:dyDescent="0.35">
      <c r="A189">
        <v>28</v>
      </c>
      <c r="B189">
        <v>2018</v>
      </c>
      <c r="C189">
        <v>4</v>
      </c>
      <c r="D189" t="s">
        <v>8</v>
      </c>
      <c r="E189" t="s">
        <v>9</v>
      </c>
      <c r="F189" t="s">
        <v>14</v>
      </c>
      <c r="G189" t="s">
        <v>28</v>
      </c>
      <c r="H189" s="2">
        <v>79.136690647482013</v>
      </c>
    </row>
    <row r="190" spans="1:8" x14ac:dyDescent="0.35">
      <c r="A190">
        <v>29</v>
      </c>
      <c r="B190">
        <v>2019</v>
      </c>
      <c r="C190">
        <v>1</v>
      </c>
      <c r="D190" t="s">
        <v>8</v>
      </c>
      <c r="E190" t="s">
        <v>9</v>
      </c>
      <c r="F190" t="s">
        <v>14</v>
      </c>
      <c r="G190" t="s">
        <v>28</v>
      </c>
      <c r="H190" s="2">
        <v>76.737967914438499</v>
      </c>
    </row>
    <row r="191" spans="1:8" x14ac:dyDescent="0.35">
      <c r="A191">
        <v>30</v>
      </c>
      <c r="B191">
        <v>2019</v>
      </c>
      <c r="C191">
        <v>2</v>
      </c>
      <c r="D191" t="s">
        <v>8</v>
      </c>
      <c r="E191" t="s">
        <v>9</v>
      </c>
      <c r="F191" t="s">
        <v>14</v>
      </c>
      <c r="G191" t="s">
        <v>28</v>
      </c>
      <c r="H191" s="2">
        <v>86.634844868735087</v>
      </c>
    </row>
    <row r="192" spans="1:8" x14ac:dyDescent="0.35">
      <c r="A192">
        <v>31</v>
      </c>
      <c r="B192">
        <v>2019</v>
      </c>
      <c r="C192">
        <v>3</v>
      </c>
      <c r="D192" t="s">
        <v>8</v>
      </c>
      <c r="E192" t="s">
        <v>9</v>
      </c>
      <c r="F192" t="s">
        <v>14</v>
      </c>
      <c r="G192" t="s">
        <v>28</v>
      </c>
      <c r="H192" s="2">
        <v>79.126213592233015</v>
      </c>
    </row>
    <row r="193" spans="1:8" x14ac:dyDescent="0.35">
      <c r="A193">
        <v>32</v>
      </c>
      <c r="B193">
        <v>2019</v>
      </c>
      <c r="C193">
        <v>4</v>
      </c>
      <c r="D193" t="s">
        <v>8</v>
      </c>
      <c r="E193" t="s">
        <v>9</v>
      </c>
      <c r="F193" t="s">
        <v>14</v>
      </c>
      <c r="G193" t="s">
        <v>28</v>
      </c>
      <c r="H193" s="2">
        <v>79.255319148936167</v>
      </c>
    </row>
    <row r="194" spans="1:8" x14ac:dyDescent="0.35">
      <c r="A194">
        <v>33</v>
      </c>
      <c r="B194">
        <v>2020</v>
      </c>
      <c r="C194">
        <v>1</v>
      </c>
      <c r="D194" t="s">
        <v>8</v>
      </c>
      <c r="E194" t="s">
        <v>9</v>
      </c>
      <c r="F194" t="s">
        <v>14</v>
      </c>
      <c r="G194" t="s">
        <v>28</v>
      </c>
      <c r="H194" s="2">
        <v>83.78378378378379</v>
      </c>
    </row>
    <row r="195" spans="1:8" x14ac:dyDescent="0.35">
      <c r="A195">
        <v>34</v>
      </c>
      <c r="B195">
        <v>2020</v>
      </c>
      <c r="C195">
        <v>2</v>
      </c>
      <c r="D195" t="s">
        <v>8</v>
      </c>
      <c r="E195" t="s">
        <v>9</v>
      </c>
      <c r="F195" t="s">
        <v>14</v>
      </c>
      <c r="G195" t="s">
        <v>28</v>
      </c>
      <c r="H195" s="2">
        <v>80.792682926829272</v>
      </c>
    </row>
    <row r="196" spans="1:8" x14ac:dyDescent="0.35">
      <c r="A196">
        <v>35</v>
      </c>
      <c r="B196">
        <v>2020</v>
      </c>
      <c r="C196">
        <v>3</v>
      </c>
      <c r="D196" t="s">
        <v>8</v>
      </c>
      <c r="E196" t="s">
        <v>9</v>
      </c>
      <c r="F196" t="s">
        <v>14</v>
      </c>
      <c r="G196" t="s">
        <v>28</v>
      </c>
      <c r="H196" s="2">
        <v>81.350482315112544</v>
      </c>
    </row>
    <row r="197" spans="1:8" x14ac:dyDescent="0.35">
      <c r="A197">
        <v>36</v>
      </c>
      <c r="B197">
        <v>2020</v>
      </c>
      <c r="C197">
        <v>4</v>
      </c>
      <c r="D197" t="s">
        <v>8</v>
      </c>
      <c r="E197" t="s">
        <v>9</v>
      </c>
      <c r="F197" t="s">
        <v>14</v>
      </c>
      <c r="G197" t="s">
        <v>28</v>
      </c>
      <c r="H197" s="2">
        <v>86.206896551724128</v>
      </c>
    </row>
    <row r="198" spans="1:8" x14ac:dyDescent="0.35">
      <c r="A198">
        <v>37</v>
      </c>
      <c r="B198">
        <v>2021</v>
      </c>
      <c r="C198">
        <v>1</v>
      </c>
      <c r="D198" t="s">
        <v>8</v>
      </c>
      <c r="E198" t="s">
        <v>9</v>
      </c>
      <c r="F198" t="s">
        <v>14</v>
      </c>
      <c r="G198" t="s">
        <v>28</v>
      </c>
      <c r="H198" s="2">
        <v>75.454545454545453</v>
      </c>
    </row>
    <row r="199" spans="1:8" x14ac:dyDescent="0.35">
      <c r="A199">
        <v>38</v>
      </c>
      <c r="B199">
        <v>2021</v>
      </c>
      <c r="C199">
        <v>2</v>
      </c>
      <c r="D199" t="s">
        <v>8</v>
      </c>
      <c r="E199" t="s">
        <v>9</v>
      </c>
      <c r="F199" t="s">
        <v>14</v>
      </c>
      <c r="G199" t="s">
        <v>28</v>
      </c>
      <c r="H199" s="2">
        <v>80.361757105943155</v>
      </c>
    </row>
    <row r="200" spans="1:8" x14ac:dyDescent="0.35">
      <c r="A200">
        <v>39</v>
      </c>
      <c r="B200">
        <v>2021</v>
      </c>
      <c r="C200">
        <v>3</v>
      </c>
      <c r="D200" t="s">
        <v>8</v>
      </c>
      <c r="E200" t="s">
        <v>9</v>
      </c>
      <c r="F200" t="s">
        <v>14</v>
      </c>
      <c r="G200" t="s">
        <v>28</v>
      </c>
      <c r="H200" s="2">
        <v>75.335120643431637</v>
      </c>
    </row>
    <row r="201" spans="1:8" x14ac:dyDescent="0.35">
      <c r="A201">
        <v>40</v>
      </c>
      <c r="B201">
        <v>2021</v>
      </c>
      <c r="C201">
        <v>4</v>
      </c>
      <c r="D201" t="s">
        <v>8</v>
      </c>
      <c r="E201" t="s">
        <v>9</v>
      </c>
      <c r="F201" t="s">
        <v>14</v>
      </c>
      <c r="G201" t="s">
        <v>28</v>
      </c>
      <c r="H201" s="2">
        <v>72.616136919315394</v>
      </c>
    </row>
    <row r="202" spans="1:8" x14ac:dyDescent="0.35">
      <c r="A202">
        <v>1</v>
      </c>
      <c r="B202">
        <v>2012</v>
      </c>
      <c r="C202">
        <v>1</v>
      </c>
      <c r="D202" t="s">
        <v>8</v>
      </c>
      <c r="E202" t="s">
        <v>9</v>
      </c>
      <c r="F202" t="s">
        <v>15</v>
      </c>
      <c r="G202" t="s">
        <v>29</v>
      </c>
      <c r="H202" s="2">
        <v>95.512820512820511</v>
      </c>
    </row>
    <row r="203" spans="1:8" x14ac:dyDescent="0.35">
      <c r="A203">
        <v>2</v>
      </c>
      <c r="B203">
        <v>2012</v>
      </c>
      <c r="C203">
        <v>2</v>
      </c>
      <c r="D203" t="s">
        <v>8</v>
      </c>
      <c r="E203" t="s">
        <v>9</v>
      </c>
      <c r="F203" t="s">
        <v>15</v>
      </c>
      <c r="G203" t="s">
        <v>29</v>
      </c>
      <c r="H203" s="2">
        <v>97.560975609756099</v>
      </c>
    </row>
    <row r="204" spans="1:8" x14ac:dyDescent="0.35">
      <c r="A204">
        <v>3</v>
      </c>
      <c r="B204">
        <v>2012</v>
      </c>
      <c r="C204">
        <v>3</v>
      </c>
      <c r="D204" t="s">
        <v>8</v>
      </c>
      <c r="E204" t="s">
        <v>9</v>
      </c>
      <c r="F204" t="s">
        <v>15</v>
      </c>
      <c r="G204" t="s">
        <v>29</v>
      </c>
      <c r="H204" s="2">
        <v>96.875</v>
      </c>
    </row>
    <row r="205" spans="1:8" x14ac:dyDescent="0.35">
      <c r="A205">
        <v>4</v>
      </c>
      <c r="B205">
        <v>2012</v>
      </c>
      <c r="C205">
        <v>4</v>
      </c>
      <c r="D205" t="s">
        <v>8</v>
      </c>
      <c r="E205" t="s">
        <v>9</v>
      </c>
      <c r="F205" t="s">
        <v>15</v>
      </c>
      <c r="G205" t="s">
        <v>29</v>
      </c>
      <c r="H205" s="2">
        <v>93.442622950819683</v>
      </c>
    </row>
    <row r="206" spans="1:8" x14ac:dyDescent="0.35">
      <c r="A206">
        <v>5</v>
      </c>
      <c r="B206">
        <v>2013</v>
      </c>
      <c r="C206">
        <v>1</v>
      </c>
      <c r="D206" t="s">
        <v>8</v>
      </c>
      <c r="E206" t="s">
        <v>9</v>
      </c>
      <c r="F206" t="s">
        <v>15</v>
      </c>
      <c r="G206" t="s">
        <v>29</v>
      </c>
      <c r="H206" s="2">
        <v>90</v>
      </c>
    </row>
    <row r="207" spans="1:8" x14ac:dyDescent="0.35">
      <c r="A207">
        <v>6</v>
      </c>
      <c r="B207">
        <v>2013</v>
      </c>
      <c r="C207">
        <v>2</v>
      </c>
      <c r="D207" t="s">
        <v>8</v>
      </c>
      <c r="E207" t="s">
        <v>9</v>
      </c>
      <c r="F207" t="s">
        <v>15</v>
      </c>
      <c r="G207" t="s">
        <v>29</v>
      </c>
      <c r="H207" s="2">
        <v>92.972972972972983</v>
      </c>
    </row>
    <row r="208" spans="1:8" x14ac:dyDescent="0.35">
      <c r="A208">
        <v>7</v>
      </c>
      <c r="B208">
        <v>2013</v>
      </c>
      <c r="C208">
        <v>3</v>
      </c>
      <c r="D208" t="s">
        <v>8</v>
      </c>
      <c r="E208" t="s">
        <v>9</v>
      </c>
      <c r="F208" t="s">
        <v>15</v>
      </c>
      <c r="G208" t="s">
        <v>29</v>
      </c>
      <c r="H208" s="2">
        <v>93.264248704663217</v>
      </c>
    </row>
    <row r="209" spans="1:8" x14ac:dyDescent="0.35">
      <c r="A209">
        <v>8</v>
      </c>
      <c r="B209">
        <v>2013</v>
      </c>
      <c r="C209">
        <v>4</v>
      </c>
      <c r="D209" t="s">
        <v>8</v>
      </c>
      <c r="E209" t="s">
        <v>9</v>
      </c>
      <c r="F209" t="s">
        <v>15</v>
      </c>
      <c r="G209" t="s">
        <v>29</v>
      </c>
      <c r="H209" s="2">
        <v>95.26627218934911</v>
      </c>
    </row>
    <row r="210" spans="1:8" x14ac:dyDescent="0.35">
      <c r="A210">
        <v>9</v>
      </c>
      <c r="B210">
        <v>2014</v>
      </c>
      <c r="C210">
        <v>1</v>
      </c>
      <c r="D210" t="s">
        <v>8</v>
      </c>
      <c r="E210" t="s">
        <v>9</v>
      </c>
      <c r="F210" t="s">
        <v>15</v>
      </c>
      <c r="G210" t="s">
        <v>29</v>
      </c>
      <c r="H210" s="2">
        <v>89.444444444444443</v>
      </c>
    </row>
    <row r="211" spans="1:8" x14ac:dyDescent="0.35">
      <c r="A211">
        <v>10</v>
      </c>
      <c r="B211">
        <v>2014</v>
      </c>
      <c r="C211">
        <v>2</v>
      </c>
      <c r="D211" t="s">
        <v>8</v>
      </c>
      <c r="E211" t="s">
        <v>9</v>
      </c>
      <c r="F211" t="s">
        <v>15</v>
      </c>
      <c r="G211" t="s">
        <v>29</v>
      </c>
      <c r="H211" s="2">
        <v>91.397849462365585</v>
      </c>
    </row>
    <row r="212" spans="1:8" x14ac:dyDescent="0.35">
      <c r="A212">
        <v>11</v>
      </c>
      <c r="B212">
        <v>2014</v>
      </c>
      <c r="C212">
        <v>3</v>
      </c>
      <c r="D212" t="s">
        <v>8</v>
      </c>
      <c r="E212" t="s">
        <v>9</v>
      </c>
      <c r="F212" t="s">
        <v>15</v>
      </c>
      <c r="G212" t="s">
        <v>29</v>
      </c>
      <c r="H212" s="2">
        <v>94.674556213017752</v>
      </c>
    </row>
    <row r="213" spans="1:8" x14ac:dyDescent="0.35">
      <c r="A213">
        <v>12</v>
      </c>
      <c r="B213">
        <v>2014</v>
      </c>
      <c r="C213">
        <v>4</v>
      </c>
      <c r="D213" t="s">
        <v>8</v>
      </c>
      <c r="E213" t="s">
        <v>9</v>
      </c>
      <c r="F213" t="s">
        <v>15</v>
      </c>
      <c r="G213" t="s">
        <v>29</v>
      </c>
      <c r="H213" s="2">
        <v>94.318181818181827</v>
      </c>
    </row>
    <row r="214" spans="1:8" x14ac:dyDescent="0.35">
      <c r="A214">
        <v>13</v>
      </c>
      <c r="B214">
        <v>2015</v>
      </c>
      <c r="C214">
        <v>1</v>
      </c>
      <c r="D214" t="s">
        <v>8</v>
      </c>
      <c r="E214" t="s">
        <v>9</v>
      </c>
      <c r="F214" t="s">
        <v>15</v>
      </c>
      <c r="G214" t="s">
        <v>29</v>
      </c>
      <c r="H214" s="2">
        <v>94.413407821229043</v>
      </c>
    </row>
    <row r="215" spans="1:8" x14ac:dyDescent="0.35">
      <c r="A215">
        <v>14</v>
      </c>
      <c r="B215">
        <v>2015</v>
      </c>
      <c r="C215">
        <v>2</v>
      </c>
      <c r="D215" t="s">
        <v>8</v>
      </c>
      <c r="E215" t="s">
        <v>9</v>
      </c>
      <c r="F215" t="s">
        <v>15</v>
      </c>
      <c r="G215" t="s">
        <v>29</v>
      </c>
      <c r="H215" s="2">
        <v>88.64864864864866</v>
      </c>
    </row>
    <row r="216" spans="1:8" x14ac:dyDescent="0.35">
      <c r="A216">
        <v>15</v>
      </c>
      <c r="B216">
        <v>2015</v>
      </c>
      <c r="C216">
        <v>3</v>
      </c>
      <c r="D216" t="s">
        <v>8</v>
      </c>
      <c r="E216" t="s">
        <v>9</v>
      </c>
      <c r="F216" t="s">
        <v>15</v>
      </c>
      <c r="G216" t="s">
        <v>29</v>
      </c>
      <c r="H216" s="2">
        <v>87.939698492462313</v>
      </c>
    </row>
    <row r="217" spans="1:8" x14ac:dyDescent="0.35">
      <c r="A217">
        <v>16</v>
      </c>
      <c r="B217">
        <v>2015</v>
      </c>
      <c r="C217">
        <v>4</v>
      </c>
      <c r="D217" t="s">
        <v>8</v>
      </c>
      <c r="E217" t="s">
        <v>9</v>
      </c>
      <c r="F217" t="s">
        <v>15</v>
      </c>
      <c r="G217" t="s">
        <v>29</v>
      </c>
      <c r="H217" s="2">
        <v>90.957446808510639</v>
      </c>
    </row>
    <row r="218" spans="1:8" x14ac:dyDescent="0.35">
      <c r="A218">
        <v>17</v>
      </c>
      <c r="B218">
        <v>2016</v>
      </c>
      <c r="C218">
        <v>1</v>
      </c>
      <c r="D218" t="s">
        <v>8</v>
      </c>
      <c r="E218" t="s">
        <v>9</v>
      </c>
      <c r="F218" t="s">
        <v>15</v>
      </c>
      <c r="G218" t="s">
        <v>29</v>
      </c>
      <c r="H218" s="2">
        <v>93.670886075949369</v>
      </c>
    </row>
    <row r="219" spans="1:8" x14ac:dyDescent="0.35">
      <c r="A219">
        <v>18</v>
      </c>
      <c r="B219">
        <v>2016</v>
      </c>
      <c r="C219">
        <v>2</v>
      </c>
      <c r="D219" t="s">
        <v>8</v>
      </c>
      <c r="E219" t="s">
        <v>9</v>
      </c>
      <c r="F219" t="s">
        <v>15</v>
      </c>
      <c r="G219" t="s">
        <v>29</v>
      </c>
      <c r="H219" s="2">
        <v>84.472049689440993</v>
      </c>
    </row>
    <row r="220" spans="1:8" x14ac:dyDescent="0.35">
      <c r="A220">
        <v>19</v>
      </c>
      <c r="B220">
        <v>2016</v>
      </c>
      <c r="C220">
        <v>3</v>
      </c>
      <c r="D220" t="s">
        <v>8</v>
      </c>
      <c r="E220" t="s">
        <v>9</v>
      </c>
      <c r="F220" t="s">
        <v>15</v>
      </c>
      <c r="G220" t="s">
        <v>29</v>
      </c>
      <c r="H220" s="2">
        <v>88.829787234042556</v>
      </c>
    </row>
    <row r="221" spans="1:8" x14ac:dyDescent="0.35">
      <c r="A221">
        <v>20</v>
      </c>
      <c r="B221">
        <v>2016</v>
      </c>
      <c r="C221">
        <v>4</v>
      </c>
      <c r="D221" t="s">
        <v>8</v>
      </c>
      <c r="E221" t="s">
        <v>9</v>
      </c>
      <c r="F221" t="s">
        <v>15</v>
      </c>
      <c r="G221" t="s">
        <v>29</v>
      </c>
      <c r="H221" s="2">
        <v>84.768211920529808</v>
      </c>
    </row>
    <row r="222" spans="1:8" x14ac:dyDescent="0.35">
      <c r="A222">
        <v>21</v>
      </c>
      <c r="B222">
        <v>2017</v>
      </c>
      <c r="C222">
        <v>1</v>
      </c>
      <c r="D222" t="s">
        <v>8</v>
      </c>
      <c r="E222" t="s">
        <v>9</v>
      </c>
      <c r="F222" t="s">
        <v>15</v>
      </c>
      <c r="G222" t="s">
        <v>29</v>
      </c>
      <c r="H222" s="2">
        <v>88.41463414634147</v>
      </c>
    </row>
    <row r="223" spans="1:8" x14ac:dyDescent="0.35">
      <c r="A223">
        <v>22</v>
      </c>
      <c r="B223">
        <v>2017</v>
      </c>
      <c r="C223">
        <v>2</v>
      </c>
      <c r="D223" t="s">
        <v>8</v>
      </c>
      <c r="E223" t="s">
        <v>9</v>
      </c>
      <c r="F223" t="s">
        <v>15</v>
      </c>
      <c r="G223" t="s">
        <v>29</v>
      </c>
      <c r="H223" s="2">
        <v>82.8125</v>
      </c>
    </row>
    <row r="224" spans="1:8" x14ac:dyDescent="0.35">
      <c r="A224">
        <v>23</v>
      </c>
      <c r="B224">
        <v>2017</v>
      </c>
      <c r="C224">
        <v>3</v>
      </c>
      <c r="D224" t="s">
        <v>8</v>
      </c>
      <c r="E224" t="s">
        <v>9</v>
      </c>
      <c r="F224" t="s">
        <v>15</v>
      </c>
      <c r="G224" t="s">
        <v>29</v>
      </c>
      <c r="H224" s="2">
        <v>86.631016042780757</v>
      </c>
    </row>
    <row r="225" spans="1:8" x14ac:dyDescent="0.35">
      <c r="A225">
        <v>24</v>
      </c>
      <c r="B225">
        <v>2017</v>
      </c>
      <c r="C225">
        <v>4</v>
      </c>
      <c r="D225" t="s">
        <v>8</v>
      </c>
      <c r="E225" t="s">
        <v>9</v>
      </c>
      <c r="F225" t="s">
        <v>15</v>
      </c>
      <c r="G225" t="s">
        <v>29</v>
      </c>
      <c r="H225" s="2">
        <v>85.082872928176798</v>
      </c>
    </row>
    <row r="226" spans="1:8" x14ac:dyDescent="0.35">
      <c r="A226">
        <v>25</v>
      </c>
      <c r="B226">
        <v>2018</v>
      </c>
      <c r="C226">
        <v>1</v>
      </c>
      <c r="D226" t="s">
        <v>8</v>
      </c>
      <c r="E226" t="s">
        <v>9</v>
      </c>
      <c r="F226" t="s">
        <v>15</v>
      </c>
      <c r="G226" t="s">
        <v>29</v>
      </c>
      <c r="H226" s="2">
        <v>82.775119617224874</v>
      </c>
    </row>
    <row r="227" spans="1:8" x14ac:dyDescent="0.35">
      <c r="A227">
        <v>26</v>
      </c>
      <c r="B227">
        <v>2018</v>
      </c>
      <c r="C227">
        <v>2</v>
      </c>
      <c r="D227" t="s">
        <v>8</v>
      </c>
      <c r="E227" t="s">
        <v>9</v>
      </c>
      <c r="F227" t="s">
        <v>15</v>
      </c>
      <c r="G227" t="s">
        <v>29</v>
      </c>
      <c r="H227" s="2">
        <v>86.206896551724128</v>
      </c>
    </row>
    <row r="228" spans="1:8" x14ac:dyDescent="0.35">
      <c r="A228">
        <v>27</v>
      </c>
      <c r="B228">
        <v>2018</v>
      </c>
      <c r="C228">
        <v>3</v>
      </c>
      <c r="D228" t="s">
        <v>8</v>
      </c>
      <c r="E228" t="s">
        <v>9</v>
      </c>
      <c r="F228" t="s">
        <v>15</v>
      </c>
      <c r="G228" t="s">
        <v>29</v>
      </c>
      <c r="H228" s="2">
        <v>79.326923076923066</v>
      </c>
    </row>
    <row r="229" spans="1:8" x14ac:dyDescent="0.35">
      <c r="A229">
        <v>28</v>
      </c>
      <c r="B229">
        <v>2018</v>
      </c>
      <c r="C229">
        <v>4</v>
      </c>
      <c r="D229" t="s">
        <v>8</v>
      </c>
      <c r="E229" t="s">
        <v>9</v>
      </c>
      <c r="F229" t="s">
        <v>15</v>
      </c>
      <c r="G229" t="s">
        <v>29</v>
      </c>
      <c r="H229" s="2">
        <v>83.65384615384616</v>
      </c>
    </row>
    <row r="230" spans="1:8" x14ac:dyDescent="0.35">
      <c r="A230">
        <v>29</v>
      </c>
      <c r="B230">
        <v>2019</v>
      </c>
      <c r="C230">
        <v>1</v>
      </c>
      <c r="D230" t="s">
        <v>8</v>
      </c>
      <c r="E230" t="s">
        <v>9</v>
      </c>
      <c r="F230" t="s">
        <v>15</v>
      </c>
      <c r="G230" t="s">
        <v>29</v>
      </c>
      <c r="H230" s="2">
        <v>74.090909090909093</v>
      </c>
    </row>
    <row r="231" spans="1:8" x14ac:dyDescent="0.35">
      <c r="A231">
        <v>30</v>
      </c>
      <c r="B231">
        <v>2019</v>
      </c>
      <c r="C231">
        <v>2</v>
      </c>
      <c r="D231" t="s">
        <v>8</v>
      </c>
      <c r="E231" t="s">
        <v>9</v>
      </c>
      <c r="F231" t="s">
        <v>15</v>
      </c>
      <c r="G231" t="s">
        <v>29</v>
      </c>
      <c r="H231" s="2">
        <v>83.944954128440358</v>
      </c>
    </row>
    <row r="232" spans="1:8" x14ac:dyDescent="0.35">
      <c r="A232">
        <v>31</v>
      </c>
      <c r="B232">
        <v>2019</v>
      </c>
      <c r="C232">
        <v>3</v>
      </c>
      <c r="D232" t="s">
        <v>8</v>
      </c>
      <c r="E232" t="s">
        <v>9</v>
      </c>
      <c r="F232" t="s">
        <v>15</v>
      </c>
      <c r="G232" t="s">
        <v>29</v>
      </c>
      <c r="H232" s="2">
        <v>77.253218884120173</v>
      </c>
    </row>
    <row r="233" spans="1:8" x14ac:dyDescent="0.35">
      <c r="A233">
        <v>32</v>
      </c>
      <c r="B233">
        <v>2019</v>
      </c>
      <c r="C233">
        <v>4</v>
      </c>
      <c r="D233" t="s">
        <v>8</v>
      </c>
      <c r="E233" t="s">
        <v>9</v>
      </c>
      <c r="F233" t="s">
        <v>15</v>
      </c>
      <c r="G233" t="s">
        <v>29</v>
      </c>
      <c r="H233" s="2">
        <v>73.267326732673268</v>
      </c>
    </row>
    <row r="234" spans="1:8" x14ac:dyDescent="0.35">
      <c r="A234">
        <v>33</v>
      </c>
      <c r="B234">
        <v>2020</v>
      </c>
      <c r="C234">
        <v>1</v>
      </c>
      <c r="D234" t="s">
        <v>8</v>
      </c>
      <c r="E234" t="s">
        <v>9</v>
      </c>
      <c r="F234" t="s">
        <v>15</v>
      </c>
      <c r="G234" t="s">
        <v>29</v>
      </c>
      <c r="H234" s="2">
        <v>74.528301886792448</v>
      </c>
    </row>
    <row r="235" spans="1:8" x14ac:dyDescent="0.35">
      <c r="A235">
        <v>34</v>
      </c>
      <c r="B235">
        <v>2020</v>
      </c>
      <c r="C235">
        <v>2</v>
      </c>
      <c r="D235" t="s">
        <v>8</v>
      </c>
      <c r="E235" t="s">
        <v>9</v>
      </c>
      <c r="F235" t="s">
        <v>15</v>
      </c>
      <c r="G235" t="s">
        <v>29</v>
      </c>
      <c r="H235" s="2">
        <v>73.5</v>
      </c>
    </row>
    <row r="236" spans="1:8" x14ac:dyDescent="0.35">
      <c r="A236">
        <v>35</v>
      </c>
      <c r="B236">
        <v>2020</v>
      </c>
      <c r="C236">
        <v>3</v>
      </c>
      <c r="D236" t="s">
        <v>8</v>
      </c>
      <c r="E236" t="s">
        <v>9</v>
      </c>
      <c r="F236" t="s">
        <v>15</v>
      </c>
      <c r="G236" t="s">
        <v>29</v>
      </c>
      <c r="H236" s="2">
        <v>74.585635359116026</v>
      </c>
    </row>
    <row r="237" spans="1:8" x14ac:dyDescent="0.35">
      <c r="A237">
        <v>36</v>
      </c>
      <c r="B237">
        <v>2020</v>
      </c>
      <c r="C237">
        <v>4</v>
      </c>
      <c r="D237" t="s">
        <v>8</v>
      </c>
      <c r="E237" t="s">
        <v>9</v>
      </c>
      <c r="F237" t="s">
        <v>15</v>
      </c>
      <c r="G237" t="s">
        <v>29</v>
      </c>
      <c r="H237" s="2">
        <v>70.56074766355141</v>
      </c>
    </row>
    <row r="238" spans="1:8" x14ac:dyDescent="0.35">
      <c r="A238">
        <v>37</v>
      </c>
      <c r="B238">
        <v>2021</v>
      </c>
      <c r="C238">
        <v>1</v>
      </c>
      <c r="D238" t="s">
        <v>8</v>
      </c>
      <c r="E238" t="s">
        <v>9</v>
      </c>
      <c r="F238" t="s">
        <v>15</v>
      </c>
      <c r="G238" t="s">
        <v>29</v>
      </c>
      <c r="H238" s="2">
        <v>72.56637168141593</v>
      </c>
    </row>
    <row r="239" spans="1:8" x14ac:dyDescent="0.35">
      <c r="A239">
        <v>38</v>
      </c>
      <c r="B239">
        <v>2021</v>
      </c>
      <c r="C239">
        <v>2</v>
      </c>
      <c r="D239" t="s">
        <v>8</v>
      </c>
      <c r="E239" t="s">
        <v>9</v>
      </c>
      <c r="F239" t="s">
        <v>15</v>
      </c>
      <c r="G239" t="s">
        <v>29</v>
      </c>
      <c r="H239" s="2">
        <v>67.158671586715869</v>
      </c>
    </row>
    <row r="240" spans="1:8" x14ac:dyDescent="0.35">
      <c r="A240">
        <v>39</v>
      </c>
      <c r="B240">
        <v>2021</v>
      </c>
      <c r="C240">
        <v>3</v>
      </c>
      <c r="D240" t="s">
        <v>8</v>
      </c>
      <c r="E240" t="s">
        <v>9</v>
      </c>
      <c r="F240" t="s">
        <v>15</v>
      </c>
      <c r="G240" t="s">
        <v>29</v>
      </c>
      <c r="H240" s="2">
        <v>80.882352941176478</v>
      </c>
    </row>
    <row r="241" spans="1:8" x14ac:dyDescent="0.35">
      <c r="A241">
        <v>40</v>
      </c>
      <c r="B241">
        <v>2021</v>
      </c>
      <c r="C241">
        <v>4</v>
      </c>
      <c r="D241" t="s">
        <v>8</v>
      </c>
      <c r="E241" t="s">
        <v>9</v>
      </c>
      <c r="F241" t="s">
        <v>15</v>
      </c>
      <c r="G241" t="s">
        <v>29</v>
      </c>
      <c r="H241" s="2">
        <v>86.715867158671585</v>
      </c>
    </row>
    <row r="242" spans="1:8" x14ac:dyDescent="0.35">
      <c r="A242">
        <v>1</v>
      </c>
      <c r="B242">
        <v>2012</v>
      </c>
      <c r="C242">
        <v>1</v>
      </c>
      <c r="D242" t="s">
        <v>8</v>
      </c>
      <c r="E242" t="s">
        <v>9</v>
      </c>
      <c r="F242" t="s">
        <v>16</v>
      </c>
      <c r="G242" t="s">
        <v>30</v>
      </c>
      <c r="H242" s="2">
        <v>94.642857142857139</v>
      </c>
    </row>
    <row r="243" spans="1:8" x14ac:dyDescent="0.35">
      <c r="A243">
        <v>2</v>
      </c>
      <c r="B243">
        <v>2012</v>
      </c>
      <c r="C243">
        <v>2</v>
      </c>
      <c r="D243" t="s">
        <v>8</v>
      </c>
      <c r="E243" t="s">
        <v>9</v>
      </c>
      <c r="F243" t="s">
        <v>16</v>
      </c>
      <c r="G243" t="s">
        <v>30</v>
      </c>
      <c r="H243" s="2">
        <v>92.025518341307816</v>
      </c>
    </row>
    <row r="244" spans="1:8" x14ac:dyDescent="0.35">
      <c r="A244">
        <v>3</v>
      </c>
      <c r="B244">
        <v>2012</v>
      </c>
      <c r="C244">
        <v>3</v>
      </c>
      <c r="D244" t="s">
        <v>8</v>
      </c>
      <c r="E244" t="s">
        <v>9</v>
      </c>
      <c r="F244" t="s">
        <v>16</v>
      </c>
      <c r="G244" t="s">
        <v>30</v>
      </c>
      <c r="H244" s="2">
        <v>90.085470085470092</v>
      </c>
    </row>
    <row r="245" spans="1:8" x14ac:dyDescent="0.35">
      <c r="A245">
        <v>4</v>
      </c>
      <c r="B245">
        <v>2012</v>
      </c>
      <c r="C245">
        <v>4</v>
      </c>
      <c r="D245" t="s">
        <v>8</v>
      </c>
      <c r="E245" t="s">
        <v>9</v>
      </c>
      <c r="F245" t="s">
        <v>16</v>
      </c>
      <c r="G245" t="s">
        <v>30</v>
      </c>
      <c r="H245" s="2">
        <v>95.595432300163125</v>
      </c>
    </row>
    <row r="246" spans="1:8" x14ac:dyDescent="0.35">
      <c r="A246">
        <v>5</v>
      </c>
      <c r="B246">
        <v>2013</v>
      </c>
      <c r="C246">
        <v>1</v>
      </c>
      <c r="D246" t="s">
        <v>8</v>
      </c>
      <c r="E246" t="s">
        <v>9</v>
      </c>
      <c r="F246" t="s">
        <v>16</v>
      </c>
      <c r="G246" t="s">
        <v>30</v>
      </c>
      <c r="H246" s="2">
        <v>94.708029197080293</v>
      </c>
    </row>
    <row r="247" spans="1:8" x14ac:dyDescent="0.35">
      <c r="A247">
        <v>6</v>
      </c>
      <c r="B247">
        <v>2013</v>
      </c>
      <c r="C247">
        <v>2</v>
      </c>
      <c r="D247" t="s">
        <v>8</v>
      </c>
      <c r="E247" t="s">
        <v>9</v>
      </c>
      <c r="F247" t="s">
        <v>16</v>
      </c>
      <c r="G247" t="s">
        <v>30</v>
      </c>
      <c r="H247" s="2">
        <v>94.21641791044776</v>
      </c>
    </row>
    <row r="248" spans="1:8" x14ac:dyDescent="0.35">
      <c r="A248">
        <v>7</v>
      </c>
      <c r="B248">
        <v>2013</v>
      </c>
      <c r="C248">
        <v>3</v>
      </c>
      <c r="D248" t="s">
        <v>8</v>
      </c>
      <c r="E248" t="s">
        <v>9</v>
      </c>
      <c r="F248" t="s">
        <v>16</v>
      </c>
      <c r="G248" t="s">
        <v>30</v>
      </c>
      <c r="H248" s="2">
        <v>95.585738539898131</v>
      </c>
    </row>
    <row r="249" spans="1:8" x14ac:dyDescent="0.35">
      <c r="A249">
        <v>8</v>
      </c>
      <c r="B249">
        <v>2013</v>
      </c>
      <c r="C249">
        <v>4</v>
      </c>
      <c r="D249" t="s">
        <v>8</v>
      </c>
      <c r="E249" t="s">
        <v>9</v>
      </c>
      <c r="F249" t="s">
        <v>16</v>
      </c>
      <c r="G249" t="s">
        <v>30</v>
      </c>
      <c r="H249" s="2">
        <v>94.38943894389439</v>
      </c>
    </row>
    <row r="250" spans="1:8" x14ac:dyDescent="0.35">
      <c r="A250">
        <v>9</v>
      </c>
      <c r="B250">
        <v>2014</v>
      </c>
      <c r="C250">
        <v>1</v>
      </c>
      <c r="D250" t="s">
        <v>8</v>
      </c>
      <c r="E250" t="s">
        <v>9</v>
      </c>
      <c r="F250" t="s">
        <v>16</v>
      </c>
      <c r="G250" t="s">
        <v>30</v>
      </c>
      <c r="H250" s="2">
        <v>90.733590733590731</v>
      </c>
    </row>
    <row r="251" spans="1:8" x14ac:dyDescent="0.35">
      <c r="A251">
        <v>10</v>
      </c>
      <c r="B251">
        <v>2014</v>
      </c>
      <c r="C251">
        <v>2</v>
      </c>
      <c r="D251" t="s">
        <v>8</v>
      </c>
      <c r="E251" t="s">
        <v>9</v>
      </c>
      <c r="F251" t="s">
        <v>16</v>
      </c>
      <c r="G251" t="s">
        <v>30</v>
      </c>
      <c r="H251" s="2">
        <v>92.266187050359719</v>
      </c>
    </row>
    <row r="252" spans="1:8" x14ac:dyDescent="0.35">
      <c r="A252">
        <v>11</v>
      </c>
      <c r="B252">
        <v>2014</v>
      </c>
      <c r="C252">
        <v>3</v>
      </c>
      <c r="D252" t="s">
        <v>8</v>
      </c>
      <c r="E252" t="s">
        <v>9</v>
      </c>
      <c r="F252" t="s">
        <v>16</v>
      </c>
      <c r="G252" t="s">
        <v>30</v>
      </c>
      <c r="H252" s="2">
        <v>94.026974951830439</v>
      </c>
    </row>
    <row r="253" spans="1:8" x14ac:dyDescent="0.35">
      <c r="A253">
        <v>12</v>
      </c>
      <c r="B253">
        <v>2014</v>
      </c>
      <c r="C253">
        <v>4</v>
      </c>
      <c r="D253" t="s">
        <v>8</v>
      </c>
      <c r="E253" t="s">
        <v>9</v>
      </c>
      <c r="F253" t="s">
        <v>16</v>
      </c>
      <c r="G253" t="s">
        <v>30</v>
      </c>
      <c r="H253" s="2">
        <v>93.849206349206355</v>
      </c>
    </row>
    <row r="254" spans="1:8" x14ac:dyDescent="0.35">
      <c r="A254">
        <v>13</v>
      </c>
      <c r="B254">
        <v>2015</v>
      </c>
      <c r="C254">
        <v>1</v>
      </c>
      <c r="D254" t="s">
        <v>8</v>
      </c>
      <c r="E254" t="s">
        <v>9</v>
      </c>
      <c r="F254" t="s">
        <v>16</v>
      </c>
      <c r="G254" t="s">
        <v>30</v>
      </c>
      <c r="H254" s="2">
        <v>92.427184466019412</v>
      </c>
    </row>
    <row r="255" spans="1:8" x14ac:dyDescent="0.35">
      <c r="A255">
        <v>14</v>
      </c>
      <c r="B255">
        <v>2015</v>
      </c>
      <c r="C255">
        <v>2</v>
      </c>
      <c r="D255" t="s">
        <v>8</v>
      </c>
      <c r="E255" t="s">
        <v>9</v>
      </c>
      <c r="F255" t="s">
        <v>16</v>
      </c>
      <c r="G255" t="s">
        <v>30</v>
      </c>
      <c r="H255" s="2">
        <v>92.222222222222229</v>
      </c>
    </row>
    <row r="256" spans="1:8" x14ac:dyDescent="0.35">
      <c r="A256">
        <v>15</v>
      </c>
      <c r="B256">
        <v>2015</v>
      </c>
      <c r="C256">
        <v>3</v>
      </c>
      <c r="D256" t="s">
        <v>8</v>
      </c>
      <c r="E256" t="s">
        <v>9</v>
      </c>
      <c r="F256" t="s">
        <v>16</v>
      </c>
      <c r="G256" t="s">
        <v>30</v>
      </c>
      <c r="H256" s="2">
        <v>92.723880597014926</v>
      </c>
    </row>
    <row r="257" spans="1:8" x14ac:dyDescent="0.35">
      <c r="A257">
        <v>16</v>
      </c>
      <c r="B257">
        <v>2015</v>
      </c>
      <c r="C257">
        <v>4</v>
      </c>
      <c r="D257" t="s">
        <v>8</v>
      </c>
      <c r="E257" t="s">
        <v>9</v>
      </c>
      <c r="F257" t="s">
        <v>16</v>
      </c>
      <c r="G257" t="s">
        <v>30</v>
      </c>
      <c r="H257" s="2">
        <v>91.064638783269956</v>
      </c>
    </row>
    <row r="258" spans="1:8" x14ac:dyDescent="0.35">
      <c r="A258">
        <v>17</v>
      </c>
      <c r="B258">
        <v>2016</v>
      </c>
      <c r="C258">
        <v>1</v>
      </c>
      <c r="D258" t="s">
        <v>8</v>
      </c>
      <c r="E258" t="s">
        <v>9</v>
      </c>
      <c r="F258" t="s">
        <v>16</v>
      </c>
      <c r="G258" t="s">
        <v>30</v>
      </c>
      <c r="H258" s="2">
        <v>90.427698574338095</v>
      </c>
    </row>
    <row r="259" spans="1:8" x14ac:dyDescent="0.35">
      <c r="A259">
        <v>18</v>
      </c>
      <c r="B259">
        <v>2016</v>
      </c>
      <c r="C259">
        <v>2</v>
      </c>
      <c r="D259" t="s">
        <v>8</v>
      </c>
      <c r="E259" t="s">
        <v>9</v>
      </c>
      <c r="F259" t="s">
        <v>16</v>
      </c>
      <c r="G259" t="s">
        <v>30</v>
      </c>
      <c r="H259" s="2">
        <v>91.452991452991455</v>
      </c>
    </row>
    <row r="260" spans="1:8" x14ac:dyDescent="0.35">
      <c r="A260">
        <v>19</v>
      </c>
      <c r="B260">
        <v>2016</v>
      </c>
      <c r="C260">
        <v>3</v>
      </c>
      <c r="D260" t="s">
        <v>8</v>
      </c>
      <c r="E260" t="s">
        <v>9</v>
      </c>
      <c r="F260" t="s">
        <v>16</v>
      </c>
      <c r="G260" t="s">
        <v>30</v>
      </c>
      <c r="H260" s="2">
        <v>87.449392712550605</v>
      </c>
    </row>
    <row r="261" spans="1:8" x14ac:dyDescent="0.35">
      <c r="A261">
        <v>20</v>
      </c>
      <c r="B261">
        <v>2016</v>
      </c>
      <c r="C261">
        <v>4</v>
      </c>
      <c r="D261" t="s">
        <v>8</v>
      </c>
      <c r="E261" t="s">
        <v>9</v>
      </c>
      <c r="F261" t="s">
        <v>16</v>
      </c>
      <c r="G261" t="s">
        <v>30</v>
      </c>
      <c r="H261" s="2">
        <v>82.592592592592595</v>
      </c>
    </row>
    <row r="262" spans="1:8" x14ac:dyDescent="0.35">
      <c r="A262">
        <v>21</v>
      </c>
      <c r="B262">
        <v>2017</v>
      </c>
      <c r="C262">
        <v>1</v>
      </c>
      <c r="D262" t="s">
        <v>8</v>
      </c>
      <c r="E262" t="s">
        <v>9</v>
      </c>
      <c r="F262" t="s">
        <v>16</v>
      </c>
      <c r="G262" t="s">
        <v>30</v>
      </c>
      <c r="H262" s="2">
        <v>87.620889748549331</v>
      </c>
    </row>
    <row r="263" spans="1:8" x14ac:dyDescent="0.35">
      <c r="A263">
        <v>22</v>
      </c>
      <c r="B263">
        <v>2017</v>
      </c>
      <c r="C263">
        <v>2</v>
      </c>
      <c r="D263" t="s">
        <v>8</v>
      </c>
      <c r="E263" t="s">
        <v>9</v>
      </c>
      <c r="F263" t="s">
        <v>16</v>
      </c>
      <c r="G263" t="s">
        <v>30</v>
      </c>
      <c r="H263" s="2">
        <v>85.621970920840056</v>
      </c>
    </row>
    <row r="264" spans="1:8" x14ac:dyDescent="0.35">
      <c r="A264">
        <v>23</v>
      </c>
      <c r="B264">
        <v>2017</v>
      </c>
      <c r="C264">
        <v>3</v>
      </c>
      <c r="D264" t="s">
        <v>8</v>
      </c>
      <c r="E264" t="s">
        <v>9</v>
      </c>
      <c r="F264" t="s">
        <v>16</v>
      </c>
      <c r="G264" t="s">
        <v>30</v>
      </c>
      <c r="H264" s="2">
        <v>86.542056074766364</v>
      </c>
    </row>
    <row r="265" spans="1:8" x14ac:dyDescent="0.35">
      <c r="A265">
        <v>24</v>
      </c>
      <c r="B265">
        <v>2017</v>
      </c>
      <c r="C265">
        <v>4</v>
      </c>
      <c r="D265" t="s">
        <v>8</v>
      </c>
      <c r="E265" t="s">
        <v>9</v>
      </c>
      <c r="F265" t="s">
        <v>16</v>
      </c>
      <c r="G265" t="s">
        <v>30</v>
      </c>
      <c r="H265" s="2">
        <v>89.303904923599319</v>
      </c>
    </row>
    <row r="266" spans="1:8" x14ac:dyDescent="0.35">
      <c r="A266">
        <v>25</v>
      </c>
      <c r="B266">
        <v>2018</v>
      </c>
      <c r="C266">
        <v>1</v>
      </c>
      <c r="D266" t="s">
        <v>8</v>
      </c>
      <c r="E266" t="s">
        <v>9</v>
      </c>
      <c r="F266" t="s">
        <v>16</v>
      </c>
      <c r="G266" t="s">
        <v>30</v>
      </c>
      <c r="H266" s="2">
        <v>85.027726432532347</v>
      </c>
    </row>
    <row r="267" spans="1:8" x14ac:dyDescent="0.35">
      <c r="A267">
        <v>26</v>
      </c>
      <c r="B267">
        <v>2018</v>
      </c>
      <c r="C267">
        <v>2</v>
      </c>
      <c r="D267" t="s">
        <v>8</v>
      </c>
      <c r="E267" t="s">
        <v>9</v>
      </c>
      <c r="F267" t="s">
        <v>16</v>
      </c>
      <c r="G267" t="s">
        <v>30</v>
      </c>
      <c r="H267" s="2">
        <v>80.769230769230774</v>
      </c>
    </row>
    <row r="268" spans="1:8" x14ac:dyDescent="0.35">
      <c r="A268">
        <v>27</v>
      </c>
      <c r="B268">
        <v>2018</v>
      </c>
      <c r="C268">
        <v>3</v>
      </c>
      <c r="D268" t="s">
        <v>8</v>
      </c>
      <c r="E268" t="s">
        <v>9</v>
      </c>
      <c r="F268" t="s">
        <v>16</v>
      </c>
      <c r="G268" t="s">
        <v>30</v>
      </c>
      <c r="H268" s="2">
        <v>78.703703703703709</v>
      </c>
    </row>
    <row r="269" spans="1:8" x14ac:dyDescent="0.35">
      <c r="A269">
        <v>28</v>
      </c>
      <c r="B269">
        <v>2018</v>
      </c>
      <c r="C269">
        <v>4</v>
      </c>
      <c r="D269" t="s">
        <v>8</v>
      </c>
      <c r="E269" t="s">
        <v>9</v>
      </c>
      <c r="F269" t="s">
        <v>16</v>
      </c>
      <c r="G269" t="s">
        <v>30</v>
      </c>
      <c r="H269" s="2">
        <v>80.060422960725077</v>
      </c>
    </row>
    <row r="270" spans="1:8" x14ac:dyDescent="0.35">
      <c r="A270">
        <v>29</v>
      </c>
      <c r="B270">
        <v>2019</v>
      </c>
      <c r="C270">
        <v>1</v>
      </c>
      <c r="D270" t="s">
        <v>8</v>
      </c>
      <c r="E270" t="s">
        <v>9</v>
      </c>
      <c r="F270" t="s">
        <v>16</v>
      </c>
      <c r="G270" t="s">
        <v>30</v>
      </c>
      <c r="H270" s="2">
        <v>78.13559322033899</v>
      </c>
    </row>
    <row r="271" spans="1:8" x14ac:dyDescent="0.35">
      <c r="A271">
        <v>30</v>
      </c>
      <c r="B271">
        <v>2019</v>
      </c>
      <c r="C271">
        <v>2</v>
      </c>
      <c r="D271" t="s">
        <v>8</v>
      </c>
      <c r="E271" t="s">
        <v>9</v>
      </c>
      <c r="F271" t="s">
        <v>16</v>
      </c>
      <c r="G271" t="s">
        <v>30</v>
      </c>
      <c r="H271" s="2">
        <v>73.668188736681884</v>
      </c>
    </row>
    <row r="272" spans="1:8" x14ac:dyDescent="0.35">
      <c r="A272">
        <v>31</v>
      </c>
      <c r="B272">
        <v>2019</v>
      </c>
      <c r="C272">
        <v>3</v>
      </c>
      <c r="D272" t="s">
        <v>8</v>
      </c>
      <c r="E272" t="s">
        <v>9</v>
      </c>
      <c r="F272" t="s">
        <v>16</v>
      </c>
      <c r="G272" t="s">
        <v>30</v>
      </c>
      <c r="H272" s="2">
        <v>78.236130867709818</v>
      </c>
    </row>
    <row r="273" spans="1:8" x14ac:dyDescent="0.35">
      <c r="A273">
        <v>32</v>
      </c>
      <c r="B273">
        <v>2019</v>
      </c>
      <c r="C273">
        <v>4</v>
      </c>
      <c r="D273" t="s">
        <v>8</v>
      </c>
      <c r="E273" t="s">
        <v>9</v>
      </c>
      <c r="F273" t="s">
        <v>16</v>
      </c>
      <c r="G273" t="s">
        <v>30</v>
      </c>
      <c r="H273" s="2">
        <v>80.277349768875197</v>
      </c>
    </row>
    <row r="274" spans="1:8" x14ac:dyDescent="0.35">
      <c r="A274">
        <v>33</v>
      </c>
      <c r="B274">
        <v>2020</v>
      </c>
      <c r="C274">
        <v>1</v>
      </c>
      <c r="D274" t="s">
        <v>8</v>
      </c>
      <c r="E274" t="s">
        <v>9</v>
      </c>
      <c r="F274" t="s">
        <v>16</v>
      </c>
      <c r="G274" t="s">
        <v>30</v>
      </c>
      <c r="H274" s="2">
        <v>81.748466257668724</v>
      </c>
    </row>
    <row r="275" spans="1:8" x14ac:dyDescent="0.35">
      <c r="A275">
        <v>34</v>
      </c>
      <c r="B275">
        <v>2020</v>
      </c>
      <c r="C275">
        <v>2</v>
      </c>
      <c r="D275" t="s">
        <v>8</v>
      </c>
      <c r="E275" t="s">
        <v>9</v>
      </c>
      <c r="F275" t="s">
        <v>16</v>
      </c>
      <c r="G275" t="s">
        <v>30</v>
      </c>
      <c r="H275" s="2">
        <v>82.417582417582409</v>
      </c>
    </row>
    <row r="276" spans="1:8" x14ac:dyDescent="0.35">
      <c r="A276">
        <v>35</v>
      </c>
      <c r="B276">
        <v>2020</v>
      </c>
      <c r="C276">
        <v>3</v>
      </c>
      <c r="D276" t="s">
        <v>8</v>
      </c>
      <c r="E276" t="s">
        <v>9</v>
      </c>
      <c r="F276" t="s">
        <v>16</v>
      </c>
      <c r="G276" t="s">
        <v>30</v>
      </c>
      <c r="H276" s="2">
        <v>83.712121212121218</v>
      </c>
    </row>
    <row r="277" spans="1:8" x14ac:dyDescent="0.35">
      <c r="A277">
        <v>36</v>
      </c>
      <c r="B277">
        <v>2020</v>
      </c>
      <c r="C277">
        <v>4</v>
      </c>
      <c r="D277" t="s">
        <v>8</v>
      </c>
      <c r="E277" t="s">
        <v>9</v>
      </c>
      <c r="F277" t="s">
        <v>16</v>
      </c>
      <c r="G277" t="s">
        <v>30</v>
      </c>
      <c r="H277" s="2">
        <v>86.486486486486484</v>
      </c>
    </row>
    <row r="278" spans="1:8" x14ac:dyDescent="0.35">
      <c r="A278">
        <v>37</v>
      </c>
      <c r="B278">
        <v>2021</v>
      </c>
      <c r="C278">
        <v>1</v>
      </c>
      <c r="D278" t="s">
        <v>8</v>
      </c>
      <c r="E278" t="s">
        <v>9</v>
      </c>
      <c r="F278" t="s">
        <v>16</v>
      </c>
      <c r="G278" t="s">
        <v>30</v>
      </c>
      <c r="H278" s="2">
        <v>82.736156351791536</v>
      </c>
    </row>
    <row r="279" spans="1:8" x14ac:dyDescent="0.35">
      <c r="A279">
        <v>38</v>
      </c>
      <c r="B279">
        <v>2021</v>
      </c>
      <c r="C279">
        <v>2</v>
      </c>
      <c r="D279" t="s">
        <v>8</v>
      </c>
      <c r="E279" t="s">
        <v>9</v>
      </c>
      <c r="F279" t="s">
        <v>16</v>
      </c>
      <c r="G279" t="s">
        <v>30</v>
      </c>
      <c r="H279" s="2">
        <v>85.348506401137982</v>
      </c>
    </row>
    <row r="280" spans="1:8" x14ac:dyDescent="0.35">
      <c r="A280">
        <v>39</v>
      </c>
      <c r="B280">
        <v>2021</v>
      </c>
      <c r="C280">
        <v>3</v>
      </c>
      <c r="D280" t="s">
        <v>8</v>
      </c>
      <c r="E280" t="s">
        <v>9</v>
      </c>
      <c r="F280" t="s">
        <v>16</v>
      </c>
      <c r="G280" t="s">
        <v>30</v>
      </c>
      <c r="H280" s="2">
        <v>85.126162018592296</v>
      </c>
    </row>
    <row r="281" spans="1:8" x14ac:dyDescent="0.35">
      <c r="A281">
        <v>40</v>
      </c>
      <c r="B281">
        <v>2021</v>
      </c>
      <c r="C281">
        <v>4</v>
      </c>
      <c r="D281" t="s">
        <v>8</v>
      </c>
      <c r="E281" t="s">
        <v>9</v>
      </c>
      <c r="F281" t="s">
        <v>16</v>
      </c>
      <c r="G281" t="s">
        <v>30</v>
      </c>
      <c r="H281" s="2">
        <v>82.871536523929464</v>
      </c>
    </row>
    <row r="282" spans="1:8" x14ac:dyDescent="0.35">
      <c r="A282">
        <v>1</v>
      </c>
      <c r="B282">
        <v>2012</v>
      </c>
      <c r="C282">
        <v>1</v>
      </c>
      <c r="D282" t="s">
        <v>8</v>
      </c>
      <c r="E282" t="s">
        <v>9</v>
      </c>
      <c r="F282" t="s">
        <v>17</v>
      </c>
      <c r="G282" t="s">
        <v>31</v>
      </c>
      <c r="H282" s="2">
        <v>100</v>
      </c>
    </row>
    <row r="283" spans="1:8" x14ac:dyDescent="0.35">
      <c r="A283">
        <v>2</v>
      </c>
      <c r="B283">
        <v>2012</v>
      </c>
      <c r="C283">
        <v>2</v>
      </c>
      <c r="D283" t="s">
        <v>8</v>
      </c>
      <c r="E283" t="s">
        <v>9</v>
      </c>
      <c r="F283" t="s">
        <v>17</v>
      </c>
      <c r="G283" t="s">
        <v>31</v>
      </c>
      <c r="H283" s="2">
        <v>100</v>
      </c>
    </row>
    <row r="284" spans="1:8" x14ac:dyDescent="0.35">
      <c r="A284">
        <v>3</v>
      </c>
      <c r="B284">
        <v>2012</v>
      </c>
      <c r="C284">
        <v>3</v>
      </c>
      <c r="D284" t="s">
        <v>8</v>
      </c>
      <c r="E284" t="s">
        <v>9</v>
      </c>
      <c r="F284" t="s">
        <v>17</v>
      </c>
      <c r="G284" t="s">
        <v>31</v>
      </c>
      <c r="H284" s="2">
        <v>100</v>
      </c>
    </row>
    <row r="285" spans="1:8" x14ac:dyDescent="0.35">
      <c r="A285">
        <v>4</v>
      </c>
      <c r="B285">
        <v>2012</v>
      </c>
      <c r="C285">
        <v>4</v>
      </c>
      <c r="D285" t="s">
        <v>8</v>
      </c>
      <c r="E285" t="s">
        <v>9</v>
      </c>
      <c r="F285" t="s">
        <v>17</v>
      </c>
      <c r="G285" t="s">
        <v>31</v>
      </c>
      <c r="H285" s="2">
        <v>100</v>
      </c>
    </row>
    <row r="286" spans="1:8" x14ac:dyDescent="0.35">
      <c r="A286">
        <v>5</v>
      </c>
      <c r="B286">
        <v>2013</v>
      </c>
      <c r="C286">
        <v>1</v>
      </c>
      <c r="D286" t="s">
        <v>8</v>
      </c>
      <c r="E286" t="s">
        <v>9</v>
      </c>
      <c r="F286" t="s">
        <v>17</v>
      </c>
      <c r="G286" t="s">
        <v>31</v>
      </c>
      <c r="H286" s="2">
        <v>100</v>
      </c>
    </row>
    <row r="287" spans="1:8" x14ac:dyDescent="0.35">
      <c r="A287">
        <v>6</v>
      </c>
      <c r="B287">
        <v>2013</v>
      </c>
      <c r="C287">
        <v>2</v>
      </c>
      <c r="D287" t="s">
        <v>8</v>
      </c>
      <c r="E287" t="s">
        <v>9</v>
      </c>
      <c r="F287" t="s">
        <v>17</v>
      </c>
      <c r="G287" t="s">
        <v>31</v>
      </c>
      <c r="H287" s="2">
        <v>100</v>
      </c>
    </row>
    <row r="288" spans="1:8" x14ac:dyDescent="0.35">
      <c r="A288">
        <v>7</v>
      </c>
      <c r="B288">
        <v>2013</v>
      </c>
      <c r="C288">
        <v>3</v>
      </c>
      <c r="D288" t="s">
        <v>8</v>
      </c>
      <c r="E288" t="s">
        <v>9</v>
      </c>
      <c r="F288" t="s">
        <v>17</v>
      </c>
      <c r="G288" t="s">
        <v>31</v>
      </c>
      <c r="H288" s="2">
        <v>100</v>
      </c>
    </row>
    <row r="289" spans="1:8" x14ac:dyDescent="0.35">
      <c r="A289">
        <v>8</v>
      </c>
      <c r="B289">
        <v>2013</v>
      </c>
      <c r="C289">
        <v>4</v>
      </c>
      <c r="D289" t="s">
        <v>8</v>
      </c>
      <c r="E289" t="s">
        <v>9</v>
      </c>
      <c r="F289" t="s">
        <v>17</v>
      </c>
      <c r="G289" t="s">
        <v>31</v>
      </c>
      <c r="H289" s="2">
        <v>100</v>
      </c>
    </row>
    <row r="290" spans="1:8" x14ac:dyDescent="0.35">
      <c r="A290">
        <v>9</v>
      </c>
      <c r="B290">
        <v>2014</v>
      </c>
      <c r="C290">
        <v>1</v>
      </c>
      <c r="D290" t="s">
        <v>8</v>
      </c>
      <c r="E290" t="s">
        <v>9</v>
      </c>
      <c r="F290" t="s">
        <v>17</v>
      </c>
      <c r="G290" t="s">
        <v>31</v>
      </c>
      <c r="H290" s="2">
        <v>100</v>
      </c>
    </row>
    <row r="291" spans="1:8" x14ac:dyDescent="0.35">
      <c r="A291">
        <v>10</v>
      </c>
      <c r="B291">
        <v>2014</v>
      </c>
      <c r="C291">
        <v>2</v>
      </c>
      <c r="D291" t="s">
        <v>8</v>
      </c>
      <c r="E291" t="s">
        <v>9</v>
      </c>
      <c r="F291" t="s">
        <v>17</v>
      </c>
      <c r="G291" t="s">
        <v>31</v>
      </c>
      <c r="H291" s="2">
        <v>87.5</v>
      </c>
    </row>
    <row r="292" spans="1:8" x14ac:dyDescent="0.35">
      <c r="A292">
        <v>11</v>
      </c>
      <c r="B292">
        <v>2014</v>
      </c>
      <c r="C292">
        <v>3</v>
      </c>
      <c r="D292" t="s">
        <v>8</v>
      </c>
      <c r="E292" t="s">
        <v>9</v>
      </c>
      <c r="F292" t="s">
        <v>17</v>
      </c>
      <c r="G292" t="s">
        <v>31</v>
      </c>
      <c r="H292" s="2">
        <v>100</v>
      </c>
    </row>
    <row r="293" spans="1:8" x14ac:dyDescent="0.35">
      <c r="A293">
        <v>12</v>
      </c>
      <c r="B293">
        <v>2014</v>
      </c>
      <c r="C293">
        <v>4</v>
      </c>
      <c r="D293" t="s">
        <v>8</v>
      </c>
      <c r="E293" t="s">
        <v>9</v>
      </c>
      <c r="F293" t="s">
        <v>17</v>
      </c>
      <c r="G293" t="s">
        <v>31</v>
      </c>
      <c r="H293" s="2">
        <v>100</v>
      </c>
    </row>
    <row r="294" spans="1:8" x14ac:dyDescent="0.35">
      <c r="A294">
        <v>13</v>
      </c>
      <c r="B294">
        <v>2015</v>
      </c>
      <c r="C294">
        <v>1</v>
      </c>
      <c r="D294" t="s">
        <v>8</v>
      </c>
      <c r="E294" t="s">
        <v>9</v>
      </c>
      <c r="F294" t="s">
        <v>17</v>
      </c>
      <c r="G294" t="s">
        <v>31</v>
      </c>
      <c r="H294" s="2">
        <v>88.888888888888886</v>
      </c>
    </row>
    <row r="295" spans="1:8" x14ac:dyDescent="0.35">
      <c r="A295">
        <v>14</v>
      </c>
      <c r="B295">
        <v>2015</v>
      </c>
      <c r="C295">
        <v>2</v>
      </c>
      <c r="D295" t="s">
        <v>8</v>
      </c>
      <c r="E295" t="s">
        <v>9</v>
      </c>
      <c r="F295" t="s">
        <v>17</v>
      </c>
      <c r="G295" t="s">
        <v>31</v>
      </c>
      <c r="H295" s="2">
        <v>100</v>
      </c>
    </row>
    <row r="296" spans="1:8" x14ac:dyDescent="0.35">
      <c r="A296">
        <v>15</v>
      </c>
      <c r="B296">
        <v>2015</v>
      </c>
      <c r="C296">
        <v>3</v>
      </c>
      <c r="D296" t="s">
        <v>8</v>
      </c>
      <c r="E296" t="s">
        <v>9</v>
      </c>
      <c r="F296" t="s">
        <v>17</v>
      </c>
      <c r="G296" t="s">
        <v>31</v>
      </c>
      <c r="H296" s="2">
        <v>100</v>
      </c>
    </row>
    <row r="297" spans="1:8" x14ac:dyDescent="0.35">
      <c r="A297">
        <v>16</v>
      </c>
      <c r="B297">
        <v>2015</v>
      </c>
      <c r="C297">
        <v>4</v>
      </c>
      <c r="D297" t="s">
        <v>8</v>
      </c>
      <c r="E297" t="s">
        <v>9</v>
      </c>
      <c r="F297" t="s">
        <v>17</v>
      </c>
      <c r="G297" t="s">
        <v>31</v>
      </c>
      <c r="H297" s="2">
        <v>100</v>
      </c>
    </row>
    <row r="298" spans="1:8" x14ac:dyDescent="0.35">
      <c r="A298">
        <v>17</v>
      </c>
      <c r="B298">
        <v>2016</v>
      </c>
      <c r="C298">
        <v>1</v>
      </c>
      <c r="D298" t="s">
        <v>8</v>
      </c>
      <c r="E298" t="s">
        <v>9</v>
      </c>
      <c r="F298" t="s">
        <v>17</v>
      </c>
      <c r="G298" t="s">
        <v>31</v>
      </c>
      <c r="H298" s="2">
        <v>88.888888888888886</v>
      </c>
    </row>
    <row r="299" spans="1:8" x14ac:dyDescent="0.35">
      <c r="A299">
        <v>18</v>
      </c>
      <c r="B299">
        <v>2016</v>
      </c>
      <c r="C299">
        <v>2</v>
      </c>
      <c r="D299" t="s">
        <v>8</v>
      </c>
      <c r="E299" t="s">
        <v>9</v>
      </c>
      <c r="F299" t="s">
        <v>17</v>
      </c>
      <c r="G299" t="s">
        <v>31</v>
      </c>
      <c r="H299" s="2">
        <v>100</v>
      </c>
    </row>
    <row r="300" spans="1:8" x14ac:dyDescent="0.35">
      <c r="A300">
        <v>19</v>
      </c>
      <c r="B300">
        <v>2016</v>
      </c>
      <c r="C300">
        <v>3</v>
      </c>
      <c r="D300" t="s">
        <v>8</v>
      </c>
      <c r="E300" t="s">
        <v>9</v>
      </c>
      <c r="F300" t="s">
        <v>17</v>
      </c>
      <c r="G300" t="s">
        <v>31</v>
      </c>
      <c r="H300" s="2">
        <v>100</v>
      </c>
    </row>
    <row r="301" spans="1:8" x14ac:dyDescent="0.35">
      <c r="A301">
        <v>20</v>
      </c>
      <c r="B301">
        <v>2016</v>
      </c>
      <c r="C301">
        <v>4</v>
      </c>
      <c r="D301" t="s">
        <v>8</v>
      </c>
      <c r="E301" t="s">
        <v>9</v>
      </c>
      <c r="F301" t="s">
        <v>17</v>
      </c>
      <c r="G301" t="s">
        <v>31</v>
      </c>
      <c r="H301" s="2">
        <v>100</v>
      </c>
    </row>
    <row r="302" spans="1:8" x14ac:dyDescent="0.35">
      <c r="A302">
        <v>21</v>
      </c>
      <c r="B302">
        <v>2017</v>
      </c>
      <c r="C302">
        <v>1</v>
      </c>
      <c r="D302" t="s">
        <v>8</v>
      </c>
      <c r="E302" t="s">
        <v>9</v>
      </c>
      <c r="F302" t="s">
        <v>17</v>
      </c>
      <c r="G302" t="s">
        <v>31</v>
      </c>
      <c r="H302" s="2">
        <v>91.666666666666657</v>
      </c>
    </row>
    <row r="303" spans="1:8" x14ac:dyDescent="0.35">
      <c r="A303">
        <v>22</v>
      </c>
      <c r="B303">
        <v>2017</v>
      </c>
      <c r="C303">
        <v>2</v>
      </c>
      <c r="D303" t="s">
        <v>8</v>
      </c>
      <c r="E303" t="s">
        <v>9</v>
      </c>
      <c r="F303" t="s">
        <v>17</v>
      </c>
      <c r="G303" t="s">
        <v>31</v>
      </c>
      <c r="H303" s="2">
        <v>100</v>
      </c>
    </row>
    <row r="304" spans="1:8" x14ac:dyDescent="0.35">
      <c r="A304">
        <v>23</v>
      </c>
      <c r="B304">
        <v>2017</v>
      </c>
      <c r="C304">
        <v>3</v>
      </c>
      <c r="D304" t="s">
        <v>8</v>
      </c>
      <c r="E304" t="s">
        <v>9</v>
      </c>
      <c r="F304" t="s">
        <v>17</v>
      </c>
      <c r="G304" t="s">
        <v>31</v>
      </c>
      <c r="H304" s="2">
        <v>100</v>
      </c>
    </row>
    <row r="305" spans="1:8" x14ac:dyDescent="0.35">
      <c r="A305">
        <v>24</v>
      </c>
      <c r="B305">
        <v>2017</v>
      </c>
      <c r="C305">
        <v>4</v>
      </c>
      <c r="D305" t="s">
        <v>8</v>
      </c>
      <c r="E305" t="s">
        <v>9</v>
      </c>
      <c r="F305" t="s">
        <v>17</v>
      </c>
      <c r="G305" t="s">
        <v>31</v>
      </c>
      <c r="H305" s="2">
        <v>90</v>
      </c>
    </row>
    <row r="306" spans="1:8" x14ac:dyDescent="0.35">
      <c r="A306">
        <v>25</v>
      </c>
      <c r="B306">
        <v>2018</v>
      </c>
      <c r="C306">
        <v>1</v>
      </c>
      <c r="D306" t="s">
        <v>8</v>
      </c>
      <c r="E306" t="s">
        <v>9</v>
      </c>
      <c r="F306" t="s">
        <v>17</v>
      </c>
      <c r="G306" t="s">
        <v>31</v>
      </c>
      <c r="H306" s="2">
        <v>100</v>
      </c>
    </row>
    <row r="307" spans="1:8" x14ac:dyDescent="0.35">
      <c r="A307">
        <v>26</v>
      </c>
      <c r="B307">
        <v>2018</v>
      </c>
      <c r="C307">
        <v>2</v>
      </c>
      <c r="D307" t="s">
        <v>8</v>
      </c>
      <c r="E307" t="s">
        <v>9</v>
      </c>
      <c r="F307" t="s">
        <v>17</v>
      </c>
      <c r="G307" t="s">
        <v>31</v>
      </c>
      <c r="H307" s="2">
        <v>85.714285714285708</v>
      </c>
    </row>
    <row r="308" spans="1:8" x14ac:dyDescent="0.35">
      <c r="A308">
        <v>27</v>
      </c>
      <c r="B308">
        <v>2018</v>
      </c>
      <c r="C308">
        <v>3</v>
      </c>
      <c r="D308" t="s">
        <v>8</v>
      </c>
      <c r="E308" t="s">
        <v>9</v>
      </c>
      <c r="F308" t="s">
        <v>17</v>
      </c>
      <c r="G308" t="s">
        <v>31</v>
      </c>
      <c r="H308" s="2">
        <v>71.428571428571431</v>
      </c>
    </row>
    <row r="309" spans="1:8" x14ac:dyDescent="0.35">
      <c r="A309">
        <v>28</v>
      </c>
      <c r="B309">
        <v>2018</v>
      </c>
      <c r="C309">
        <v>4</v>
      </c>
      <c r="D309" t="s">
        <v>8</v>
      </c>
      <c r="E309" t="s">
        <v>9</v>
      </c>
      <c r="F309" t="s">
        <v>17</v>
      </c>
      <c r="G309" t="s">
        <v>31</v>
      </c>
      <c r="H309" s="2">
        <v>92.857142857142861</v>
      </c>
    </row>
    <row r="310" spans="1:8" x14ac:dyDescent="0.35">
      <c r="A310">
        <v>29</v>
      </c>
      <c r="B310">
        <v>2019</v>
      </c>
      <c r="C310">
        <v>1</v>
      </c>
      <c r="D310" t="s">
        <v>8</v>
      </c>
      <c r="E310" t="s">
        <v>9</v>
      </c>
      <c r="F310" t="s">
        <v>17</v>
      </c>
      <c r="G310" t="s">
        <v>31</v>
      </c>
      <c r="H310" s="2">
        <v>100</v>
      </c>
    </row>
    <row r="311" spans="1:8" x14ac:dyDescent="0.35">
      <c r="A311">
        <v>30</v>
      </c>
      <c r="B311">
        <v>2019</v>
      </c>
      <c r="C311">
        <v>2</v>
      </c>
      <c r="D311" t="s">
        <v>8</v>
      </c>
      <c r="E311" t="s">
        <v>9</v>
      </c>
      <c r="F311" t="s">
        <v>17</v>
      </c>
      <c r="G311" t="s">
        <v>31</v>
      </c>
      <c r="H311" s="2">
        <v>91.666666666666657</v>
      </c>
    </row>
    <row r="312" spans="1:8" x14ac:dyDescent="0.35">
      <c r="A312">
        <v>31</v>
      </c>
      <c r="B312">
        <v>2019</v>
      </c>
      <c r="C312">
        <v>3</v>
      </c>
      <c r="D312" t="s">
        <v>8</v>
      </c>
      <c r="E312" t="s">
        <v>9</v>
      </c>
      <c r="F312" t="s">
        <v>17</v>
      </c>
      <c r="G312" t="s">
        <v>31</v>
      </c>
      <c r="H312" s="2">
        <v>100</v>
      </c>
    </row>
    <row r="313" spans="1:8" x14ac:dyDescent="0.35">
      <c r="A313">
        <v>32</v>
      </c>
      <c r="B313">
        <v>2019</v>
      </c>
      <c r="C313">
        <v>4</v>
      </c>
      <c r="D313" t="s">
        <v>8</v>
      </c>
      <c r="E313" t="s">
        <v>9</v>
      </c>
      <c r="F313" t="s">
        <v>17</v>
      </c>
      <c r="G313" t="s">
        <v>31</v>
      </c>
      <c r="H313" s="2">
        <v>100</v>
      </c>
    </row>
    <row r="314" spans="1:8" x14ac:dyDescent="0.35">
      <c r="A314">
        <v>33</v>
      </c>
      <c r="B314">
        <v>2020</v>
      </c>
      <c r="C314">
        <v>1</v>
      </c>
      <c r="D314" t="s">
        <v>8</v>
      </c>
      <c r="E314" t="s">
        <v>9</v>
      </c>
      <c r="F314" t="s">
        <v>17</v>
      </c>
      <c r="G314" t="s">
        <v>31</v>
      </c>
      <c r="H314" s="2">
        <v>75</v>
      </c>
    </row>
    <row r="315" spans="1:8" x14ac:dyDescent="0.35">
      <c r="A315">
        <v>34</v>
      </c>
      <c r="B315">
        <v>2020</v>
      </c>
      <c r="C315">
        <v>2</v>
      </c>
      <c r="D315" t="s">
        <v>8</v>
      </c>
      <c r="E315" t="s">
        <v>9</v>
      </c>
      <c r="F315" t="s">
        <v>17</v>
      </c>
      <c r="G315" t="s">
        <v>31</v>
      </c>
      <c r="H315" s="2">
        <v>87.5</v>
      </c>
    </row>
    <row r="316" spans="1:8" x14ac:dyDescent="0.35">
      <c r="A316">
        <v>35</v>
      </c>
      <c r="B316">
        <v>2020</v>
      </c>
      <c r="C316">
        <v>3</v>
      </c>
      <c r="D316" t="s">
        <v>8</v>
      </c>
      <c r="E316" t="s">
        <v>9</v>
      </c>
      <c r="F316" t="s">
        <v>17</v>
      </c>
      <c r="G316" t="s">
        <v>31</v>
      </c>
      <c r="H316" s="2">
        <v>100</v>
      </c>
    </row>
    <row r="317" spans="1:8" x14ac:dyDescent="0.35">
      <c r="A317">
        <v>36</v>
      </c>
      <c r="B317">
        <v>2020</v>
      </c>
      <c r="C317">
        <v>4</v>
      </c>
      <c r="D317" t="s">
        <v>8</v>
      </c>
      <c r="E317" t="s">
        <v>9</v>
      </c>
      <c r="F317" t="s">
        <v>17</v>
      </c>
      <c r="G317" t="s">
        <v>31</v>
      </c>
      <c r="H317" s="2">
        <v>100</v>
      </c>
    </row>
    <row r="318" spans="1:8" x14ac:dyDescent="0.35">
      <c r="A318">
        <v>37</v>
      </c>
      <c r="B318">
        <v>2021</v>
      </c>
      <c r="C318">
        <v>1</v>
      </c>
      <c r="D318" t="s">
        <v>8</v>
      </c>
      <c r="E318" t="s">
        <v>9</v>
      </c>
      <c r="F318" t="s">
        <v>17</v>
      </c>
      <c r="G318" t="s">
        <v>31</v>
      </c>
      <c r="H318" s="2">
        <v>100</v>
      </c>
    </row>
    <row r="319" spans="1:8" x14ac:dyDescent="0.35">
      <c r="A319">
        <v>38</v>
      </c>
      <c r="B319">
        <v>2021</v>
      </c>
      <c r="C319">
        <v>2</v>
      </c>
      <c r="D319" t="s">
        <v>8</v>
      </c>
      <c r="E319" t="s">
        <v>9</v>
      </c>
      <c r="F319" t="s">
        <v>17</v>
      </c>
      <c r="G319" t="s">
        <v>31</v>
      </c>
      <c r="H319" s="2">
        <v>88.888888888888886</v>
      </c>
    </row>
    <row r="320" spans="1:8" x14ac:dyDescent="0.35">
      <c r="A320">
        <v>39</v>
      </c>
      <c r="B320">
        <v>2021</v>
      </c>
      <c r="C320">
        <v>3</v>
      </c>
      <c r="D320" t="s">
        <v>8</v>
      </c>
      <c r="E320" t="s">
        <v>9</v>
      </c>
      <c r="F320" t="s">
        <v>17</v>
      </c>
      <c r="G320" t="s">
        <v>31</v>
      </c>
      <c r="H320" s="2">
        <v>100</v>
      </c>
    </row>
    <row r="321" spans="1:8" x14ac:dyDescent="0.35">
      <c r="A321">
        <v>40</v>
      </c>
      <c r="B321">
        <v>2021</v>
      </c>
      <c r="C321">
        <v>4</v>
      </c>
      <c r="D321" t="s">
        <v>8</v>
      </c>
      <c r="E321" t="s">
        <v>9</v>
      </c>
      <c r="F321" t="s">
        <v>17</v>
      </c>
      <c r="G321" t="s">
        <v>31</v>
      </c>
      <c r="H321" s="2">
        <v>92.857142857142861</v>
      </c>
    </row>
    <row r="322" spans="1:8" x14ac:dyDescent="0.35">
      <c r="A322">
        <v>1</v>
      </c>
      <c r="B322">
        <v>2012</v>
      </c>
      <c r="C322">
        <v>1</v>
      </c>
      <c r="D322" t="s">
        <v>8</v>
      </c>
      <c r="E322" t="s">
        <v>9</v>
      </c>
      <c r="F322" t="s">
        <v>18</v>
      </c>
      <c r="G322" t="s">
        <v>32</v>
      </c>
      <c r="H322" s="2">
        <v>100</v>
      </c>
    </row>
    <row r="323" spans="1:8" x14ac:dyDescent="0.35">
      <c r="A323">
        <v>2</v>
      </c>
      <c r="B323">
        <v>2012</v>
      </c>
      <c r="C323">
        <v>2</v>
      </c>
      <c r="D323" t="s">
        <v>8</v>
      </c>
      <c r="E323" t="s">
        <v>9</v>
      </c>
      <c r="F323" t="s">
        <v>18</v>
      </c>
      <c r="G323" t="s">
        <v>32</v>
      </c>
      <c r="H323" s="2">
        <v>100</v>
      </c>
    </row>
    <row r="324" spans="1:8" x14ac:dyDescent="0.35">
      <c r="A324">
        <v>3</v>
      </c>
      <c r="B324">
        <v>2012</v>
      </c>
      <c r="C324">
        <v>3</v>
      </c>
      <c r="D324" t="s">
        <v>8</v>
      </c>
      <c r="E324" t="s">
        <v>9</v>
      </c>
      <c r="F324" t="s">
        <v>18</v>
      </c>
      <c r="G324" t="s">
        <v>32</v>
      </c>
      <c r="H324" s="2">
        <v>100</v>
      </c>
    </row>
    <row r="325" spans="1:8" x14ac:dyDescent="0.35">
      <c r="A325">
        <v>4</v>
      </c>
      <c r="B325">
        <v>2012</v>
      </c>
      <c r="C325">
        <v>4</v>
      </c>
      <c r="D325" t="s">
        <v>8</v>
      </c>
      <c r="E325" t="s">
        <v>9</v>
      </c>
      <c r="F325" t="s">
        <v>18</v>
      </c>
      <c r="G325" t="s">
        <v>32</v>
      </c>
      <c r="H325" s="2">
        <v>100</v>
      </c>
    </row>
    <row r="326" spans="1:8" x14ac:dyDescent="0.35">
      <c r="A326">
        <v>5</v>
      </c>
      <c r="B326">
        <v>2013</v>
      </c>
      <c r="C326">
        <v>1</v>
      </c>
      <c r="D326" t="s">
        <v>8</v>
      </c>
      <c r="E326" t="s">
        <v>9</v>
      </c>
      <c r="F326" t="s">
        <v>18</v>
      </c>
      <c r="G326" t="s">
        <v>32</v>
      </c>
      <c r="H326" s="2">
        <v>100</v>
      </c>
    </row>
    <row r="327" spans="1:8" x14ac:dyDescent="0.35">
      <c r="A327">
        <v>6</v>
      </c>
      <c r="B327">
        <v>2013</v>
      </c>
      <c r="C327">
        <v>2</v>
      </c>
      <c r="D327" t="s">
        <v>8</v>
      </c>
      <c r="E327" t="s">
        <v>9</v>
      </c>
      <c r="F327" t="s">
        <v>18</v>
      </c>
      <c r="G327" t="s">
        <v>32</v>
      </c>
      <c r="H327" s="2">
        <v>100</v>
      </c>
    </row>
    <row r="328" spans="1:8" x14ac:dyDescent="0.35">
      <c r="A328">
        <v>7</v>
      </c>
      <c r="B328">
        <v>2013</v>
      </c>
      <c r="C328">
        <v>3</v>
      </c>
      <c r="D328" t="s">
        <v>8</v>
      </c>
      <c r="E328" t="s">
        <v>9</v>
      </c>
      <c r="F328" t="s">
        <v>18</v>
      </c>
      <c r="G328" t="s">
        <v>32</v>
      </c>
      <c r="H328" s="2">
        <v>100</v>
      </c>
    </row>
    <row r="329" spans="1:8" x14ac:dyDescent="0.35">
      <c r="A329">
        <v>8</v>
      </c>
      <c r="B329">
        <v>2013</v>
      </c>
      <c r="C329">
        <v>4</v>
      </c>
      <c r="D329" t="s">
        <v>8</v>
      </c>
      <c r="E329" t="s">
        <v>9</v>
      </c>
      <c r="F329" t="s">
        <v>18</v>
      </c>
      <c r="G329" t="s">
        <v>32</v>
      </c>
      <c r="H329" s="2">
        <v>100</v>
      </c>
    </row>
    <row r="330" spans="1:8" x14ac:dyDescent="0.35">
      <c r="A330">
        <v>9</v>
      </c>
      <c r="B330">
        <v>2014</v>
      </c>
      <c r="C330">
        <v>1</v>
      </c>
      <c r="D330" t="s">
        <v>8</v>
      </c>
      <c r="E330" t="s">
        <v>9</v>
      </c>
      <c r="F330" t="s">
        <v>18</v>
      </c>
      <c r="G330" t="s">
        <v>32</v>
      </c>
      <c r="H330" s="2">
        <v>100</v>
      </c>
    </row>
    <row r="331" spans="1:8" x14ac:dyDescent="0.35">
      <c r="A331">
        <v>10</v>
      </c>
      <c r="B331">
        <v>2014</v>
      </c>
      <c r="C331">
        <v>2</v>
      </c>
      <c r="D331" t="s">
        <v>8</v>
      </c>
      <c r="E331" t="s">
        <v>9</v>
      </c>
      <c r="F331" t="s">
        <v>18</v>
      </c>
      <c r="G331" t="s">
        <v>32</v>
      </c>
      <c r="H331" s="2">
        <v>66.666666666666657</v>
      </c>
    </row>
    <row r="332" spans="1:8" x14ac:dyDescent="0.35">
      <c r="A332">
        <v>11</v>
      </c>
      <c r="B332">
        <v>2014</v>
      </c>
      <c r="C332">
        <v>3</v>
      </c>
      <c r="D332" t="s">
        <v>8</v>
      </c>
      <c r="E332" t="s">
        <v>9</v>
      </c>
      <c r="F332" t="s">
        <v>18</v>
      </c>
      <c r="G332" t="s">
        <v>32</v>
      </c>
      <c r="H332" s="2">
        <v>100</v>
      </c>
    </row>
    <row r="333" spans="1:8" x14ac:dyDescent="0.35">
      <c r="A333">
        <v>12</v>
      </c>
      <c r="B333">
        <v>2014</v>
      </c>
      <c r="C333">
        <v>4</v>
      </c>
      <c r="D333" t="s">
        <v>8</v>
      </c>
      <c r="E333" t="s">
        <v>9</v>
      </c>
      <c r="F333" t="s">
        <v>18</v>
      </c>
      <c r="G333" t="s">
        <v>32</v>
      </c>
      <c r="H333" s="2">
        <v>100</v>
      </c>
    </row>
    <row r="334" spans="1:8" x14ac:dyDescent="0.35">
      <c r="A334">
        <v>13</v>
      </c>
      <c r="B334">
        <v>2015</v>
      </c>
      <c r="C334">
        <v>1</v>
      </c>
      <c r="D334" t="s">
        <v>8</v>
      </c>
      <c r="E334" t="s">
        <v>9</v>
      </c>
      <c r="F334" t="s">
        <v>18</v>
      </c>
      <c r="G334" t="s">
        <v>32</v>
      </c>
      <c r="H334" s="2">
        <v>100</v>
      </c>
    </row>
    <row r="335" spans="1:8" x14ac:dyDescent="0.35">
      <c r="A335">
        <v>14</v>
      </c>
      <c r="B335">
        <v>2015</v>
      </c>
      <c r="C335">
        <v>2</v>
      </c>
      <c r="D335" t="s">
        <v>8</v>
      </c>
      <c r="E335" t="s">
        <v>9</v>
      </c>
      <c r="F335" t="s">
        <v>18</v>
      </c>
      <c r="G335" t="s">
        <v>32</v>
      </c>
      <c r="H335" s="2">
        <v>92.307692307692307</v>
      </c>
    </row>
    <row r="336" spans="1:8" x14ac:dyDescent="0.35">
      <c r="A336">
        <v>15</v>
      </c>
      <c r="B336">
        <v>2015</v>
      </c>
      <c r="C336">
        <v>3</v>
      </c>
      <c r="D336" t="s">
        <v>8</v>
      </c>
      <c r="E336" t="s">
        <v>9</v>
      </c>
      <c r="F336" t="s">
        <v>18</v>
      </c>
      <c r="G336" t="s">
        <v>32</v>
      </c>
      <c r="H336" s="2">
        <v>80</v>
      </c>
    </row>
    <row r="337" spans="1:8" x14ac:dyDescent="0.35">
      <c r="A337">
        <v>16</v>
      </c>
      <c r="B337">
        <v>2015</v>
      </c>
      <c r="C337">
        <v>4</v>
      </c>
      <c r="D337" t="s">
        <v>8</v>
      </c>
      <c r="E337" t="s">
        <v>9</v>
      </c>
      <c r="F337" t="s">
        <v>18</v>
      </c>
      <c r="G337" t="s">
        <v>32</v>
      </c>
      <c r="H337" s="2">
        <v>100</v>
      </c>
    </row>
    <row r="338" spans="1:8" x14ac:dyDescent="0.35">
      <c r="A338">
        <v>17</v>
      </c>
      <c r="B338">
        <v>2016</v>
      </c>
      <c r="C338">
        <v>1</v>
      </c>
      <c r="D338" t="s">
        <v>8</v>
      </c>
      <c r="E338" t="s">
        <v>9</v>
      </c>
      <c r="F338" t="s">
        <v>18</v>
      </c>
      <c r="G338" t="s">
        <v>32</v>
      </c>
      <c r="H338" s="2">
        <v>80</v>
      </c>
    </row>
    <row r="339" spans="1:8" x14ac:dyDescent="0.35">
      <c r="A339">
        <v>18</v>
      </c>
      <c r="B339">
        <v>2016</v>
      </c>
      <c r="C339">
        <v>2</v>
      </c>
      <c r="D339" t="s">
        <v>8</v>
      </c>
      <c r="E339" t="s">
        <v>9</v>
      </c>
      <c r="F339" t="s">
        <v>18</v>
      </c>
      <c r="G339" t="s">
        <v>32</v>
      </c>
      <c r="H339" s="2">
        <v>100</v>
      </c>
    </row>
    <row r="340" spans="1:8" x14ac:dyDescent="0.35">
      <c r="A340">
        <v>19</v>
      </c>
      <c r="B340">
        <v>2016</v>
      </c>
      <c r="C340">
        <v>3</v>
      </c>
      <c r="D340" t="s">
        <v>8</v>
      </c>
      <c r="E340" t="s">
        <v>9</v>
      </c>
      <c r="F340" t="s">
        <v>18</v>
      </c>
      <c r="G340" t="s">
        <v>32</v>
      </c>
      <c r="H340" s="2">
        <v>100</v>
      </c>
    </row>
    <row r="341" spans="1:8" x14ac:dyDescent="0.35">
      <c r="A341">
        <v>20</v>
      </c>
      <c r="B341">
        <v>2016</v>
      </c>
      <c r="C341">
        <v>4</v>
      </c>
      <c r="D341" t="s">
        <v>8</v>
      </c>
      <c r="E341" t="s">
        <v>9</v>
      </c>
      <c r="F341" t="s">
        <v>18</v>
      </c>
      <c r="G341" t="s">
        <v>32</v>
      </c>
      <c r="H341" s="2">
        <v>100</v>
      </c>
    </row>
    <row r="342" spans="1:8" x14ac:dyDescent="0.35">
      <c r="A342">
        <v>21</v>
      </c>
      <c r="B342">
        <v>2017</v>
      </c>
      <c r="C342">
        <v>1</v>
      </c>
      <c r="D342" t="s">
        <v>8</v>
      </c>
      <c r="E342" t="s">
        <v>9</v>
      </c>
      <c r="F342" t="s">
        <v>18</v>
      </c>
      <c r="G342" t="s">
        <v>32</v>
      </c>
      <c r="H342" s="2">
        <v>90.909090909090907</v>
      </c>
    </row>
    <row r="343" spans="1:8" x14ac:dyDescent="0.35">
      <c r="A343">
        <v>22</v>
      </c>
      <c r="B343">
        <v>2017</v>
      </c>
      <c r="C343">
        <v>2</v>
      </c>
      <c r="D343" t="s">
        <v>8</v>
      </c>
      <c r="E343" t="s">
        <v>9</v>
      </c>
      <c r="F343" t="s">
        <v>18</v>
      </c>
      <c r="G343" t="s">
        <v>32</v>
      </c>
      <c r="H343" s="2">
        <v>80</v>
      </c>
    </row>
    <row r="344" spans="1:8" x14ac:dyDescent="0.35">
      <c r="A344">
        <v>23</v>
      </c>
      <c r="B344">
        <v>2017</v>
      </c>
      <c r="C344">
        <v>3</v>
      </c>
      <c r="D344" t="s">
        <v>8</v>
      </c>
      <c r="E344" t="s">
        <v>9</v>
      </c>
      <c r="F344" t="s">
        <v>18</v>
      </c>
      <c r="G344" t="s">
        <v>32</v>
      </c>
      <c r="H344" s="2">
        <v>88.888888888888886</v>
      </c>
    </row>
    <row r="345" spans="1:8" x14ac:dyDescent="0.35">
      <c r="A345">
        <v>24</v>
      </c>
      <c r="B345">
        <v>2017</v>
      </c>
      <c r="C345">
        <v>4</v>
      </c>
      <c r="D345" t="s">
        <v>8</v>
      </c>
      <c r="E345" t="s">
        <v>9</v>
      </c>
      <c r="F345" t="s">
        <v>18</v>
      </c>
      <c r="G345" t="s">
        <v>32</v>
      </c>
      <c r="H345" s="2">
        <v>85.714285714285708</v>
      </c>
    </row>
    <row r="346" spans="1:8" x14ac:dyDescent="0.35">
      <c r="A346">
        <v>25</v>
      </c>
      <c r="B346">
        <v>2018</v>
      </c>
      <c r="C346">
        <v>1</v>
      </c>
      <c r="D346" t="s">
        <v>8</v>
      </c>
      <c r="E346" t="s">
        <v>9</v>
      </c>
      <c r="F346" t="s">
        <v>18</v>
      </c>
      <c r="G346" t="s">
        <v>32</v>
      </c>
      <c r="H346" s="2">
        <v>90.909090909090907</v>
      </c>
    </row>
    <row r="347" spans="1:8" x14ac:dyDescent="0.35">
      <c r="A347">
        <v>26</v>
      </c>
      <c r="B347">
        <v>2018</v>
      </c>
      <c r="C347">
        <v>2</v>
      </c>
      <c r="D347" t="s">
        <v>8</v>
      </c>
      <c r="E347" t="s">
        <v>9</v>
      </c>
      <c r="F347" t="s">
        <v>18</v>
      </c>
      <c r="G347" t="s">
        <v>32</v>
      </c>
      <c r="H347" s="2">
        <v>100</v>
      </c>
    </row>
    <row r="348" spans="1:8" x14ac:dyDescent="0.35">
      <c r="A348">
        <v>27</v>
      </c>
      <c r="B348">
        <v>2018</v>
      </c>
      <c r="C348">
        <v>3</v>
      </c>
      <c r="D348" t="s">
        <v>8</v>
      </c>
      <c r="E348" t="s">
        <v>9</v>
      </c>
      <c r="F348" t="s">
        <v>18</v>
      </c>
      <c r="G348" t="s">
        <v>32</v>
      </c>
      <c r="H348" s="2">
        <v>90</v>
      </c>
    </row>
    <row r="349" spans="1:8" x14ac:dyDescent="0.35">
      <c r="A349">
        <v>28</v>
      </c>
      <c r="B349">
        <v>2018</v>
      </c>
      <c r="C349">
        <v>4</v>
      </c>
      <c r="D349" t="s">
        <v>8</v>
      </c>
      <c r="E349" t="s">
        <v>9</v>
      </c>
      <c r="F349" t="s">
        <v>18</v>
      </c>
      <c r="G349" t="s">
        <v>32</v>
      </c>
      <c r="H349" s="2">
        <v>66.666666666666657</v>
      </c>
    </row>
    <row r="350" spans="1:8" x14ac:dyDescent="0.35">
      <c r="A350">
        <v>29</v>
      </c>
      <c r="B350">
        <v>2019</v>
      </c>
      <c r="C350">
        <v>1</v>
      </c>
      <c r="D350" t="s">
        <v>8</v>
      </c>
      <c r="E350" t="s">
        <v>9</v>
      </c>
      <c r="F350" t="s">
        <v>18</v>
      </c>
      <c r="G350" t="s">
        <v>32</v>
      </c>
      <c r="H350" s="2">
        <v>81.818181818181827</v>
      </c>
    </row>
    <row r="351" spans="1:8" x14ac:dyDescent="0.35">
      <c r="A351">
        <v>30</v>
      </c>
      <c r="B351">
        <v>2019</v>
      </c>
      <c r="C351">
        <v>2</v>
      </c>
      <c r="D351" t="s">
        <v>8</v>
      </c>
      <c r="E351" t="s">
        <v>9</v>
      </c>
      <c r="F351" t="s">
        <v>18</v>
      </c>
      <c r="G351" t="s">
        <v>32</v>
      </c>
      <c r="H351" s="2">
        <v>83.333333333333343</v>
      </c>
    </row>
    <row r="352" spans="1:8" x14ac:dyDescent="0.35">
      <c r="A352">
        <v>31</v>
      </c>
      <c r="B352">
        <v>2019</v>
      </c>
      <c r="C352">
        <v>3</v>
      </c>
      <c r="D352" t="s">
        <v>8</v>
      </c>
      <c r="E352" t="s">
        <v>9</v>
      </c>
      <c r="F352" t="s">
        <v>18</v>
      </c>
      <c r="G352" t="s">
        <v>32</v>
      </c>
      <c r="H352" s="2">
        <v>82.35294117647058</v>
      </c>
    </row>
    <row r="353" spans="1:8" x14ac:dyDescent="0.35">
      <c r="A353">
        <v>32</v>
      </c>
      <c r="B353">
        <v>2019</v>
      </c>
      <c r="C353">
        <v>4</v>
      </c>
      <c r="D353" t="s">
        <v>8</v>
      </c>
      <c r="E353" t="s">
        <v>9</v>
      </c>
      <c r="F353" t="s">
        <v>18</v>
      </c>
      <c r="G353" t="s">
        <v>32</v>
      </c>
      <c r="H353" s="2">
        <v>85.714285714285708</v>
      </c>
    </row>
    <row r="354" spans="1:8" x14ac:dyDescent="0.35">
      <c r="A354">
        <v>33</v>
      </c>
      <c r="B354">
        <v>2020</v>
      </c>
      <c r="C354">
        <v>1</v>
      </c>
      <c r="D354" t="s">
        <v>8</v>
      </c>
      <c r="E354" t="s">
        <v>9</v>
      </c>
      <c r="F354" t="s">
        <v>18</v>
      </c>
      <c r="G354" t="s">
        <v>32</v>
      </c>
      <c r="H354" s="2">
        <v>92.857142857142861</v>
      </c>
    </row>
    <row r="355" spans="1:8" x14ac:dyDescent="0.35">
      <c r="A355">
        <v>34</v>
      </c>
      <c r="B355">
        <v>2020</v>
      </c>
      <c r="C355">
        <v>2</v>
      </c>
      <c r="D355" t="s">
        <v>8</v>
      </c>
      <c r="E355" t="s">
        <v>9</v>
      </c>
      <c r="F355" t="s">
        <v>18</v>
      </c>
      <c r="G355" t="s">
        <v>32</v>
      </c>
      <c r="H355" s="2">
        <v>100</v>
      </c>
    </row>
    <row r="356" spans="1:8" x14ac:dyDescent="0.35">
      <c r="A356">
        <v>35</v>
      </c>
      <c r="B356">
        <v>2020</v>
      </c>
      <c r="C356">
        <v>3</v>
      </c>
      <c r="D356" t="s">
        <v>8</v>
      </c>
      <c r="E356" t="s">
        <v>9</v>
      </c>
      <c r="F356" t="s">
        <v>18</v>
      </c>
      <c r="G356" t="s">
        <v>32</v>
      </c>
      <c r="H356" s="2">
        <v>100</v>
      </c>
    </row>
    <row r="357" spans="1:8" x14ac:dyDescent="0.35">
      <c r="A357">
        <v>36</v>
      </c>
      <c r="B357">
        <v>2020</v>
      </c>
      <c r="C357">
        <v>4</v>
      </c>
      <c r="D357" t="s">
        <v>8</v>
      </c>
      <c r="E357" t="s">
        <v>9</v>
      </c>
      <c r="F357" t="s">
        <v>18</v>
      </c>
      <c r="G357" t="s">
        <v>32</v>
      </c>
      <c r="H357" s="2">
        <v>87.5</v>
      </c>
    </row>
    <row r="358" spans="1:8" x14ac:dyDescent="0.35">
      <c r="A358">
        <v>37</v>
      </c>
      <c r="B358">
        <v>2021</v>
      </c>
      <c r="C358">
        <v>1</v>
      </c>
      <c r="D358" t="s">
        <v>8</v>
      </c>
      <c r="E358" t="s">
        <v>9</v>
      </c>
      <c r="F358" t="s">
        <v>18</v>
      </c>
      <c r="G358" t="s">
        <v>32</v>
      </c>
      <c r="H358" s="2">
        <v>80</v>
      </c>
    </row>
    <row r="359" spans="1:8" x14ac:dyDescent="0.35">
      <c r="A359">
        <v>38</v>
      </c>
      <c r="B359">
        <v>2021</v>
      </c>
      <c r="C359">
        <v>2</v>
      </c>
      <c r="D359" t="s">
        <v>8</v>
      </c>
      <c r="E359" t="s">
        <v>9</v>
      </c>
      <c r="F359" t="s">
        <v>18</v>
      </c>
      <c r="G359" t="s">
        <v>32</v>
      </c>
      <c r="H359" s="2">
        <v>80</v>
      </c>
    </row>
    <row r="360" spans="1:8" x14ac:dyDescent="0.35">
      <c r="A360">
        <v>39</v>
      </c>
      <c r="B360">
        <v>2021</v>
      </c>
      <c r="C360">
        <v>3</v>
      </c>
      <c r="D360" t="s">
        <v>8</v>
      </c>
      <c r="E360" t="s">
        <v>9</v>
      </c>
      <c r="F360" t="s">
        <v>18</v>
      </c>
      <c r="G360" t="s">
        <v>32</v>
      </c>
      <c r="H360" s="2">
        <v>77.272727272727266</v>
      </c>
    </row>
    <row r="361" spans="1:8" x14ac:dyDescent="0.35">
      <c r="A361">
        <v>40</v>
      </c>
      <c r="B361">
        <v>2021</v>
      </c>
      <c r="C361">
        <v>4</v>
      </c>
      <c r="D361" t="s">
        <v>8</v>
      </c>
      <c r="E361" t="s">
        <v>9</v>
      </c>
      <c r="F361" t="s">
        <v>18</v>
      </c>
      <c r="G361" t="s">
        <v>32</v>
      </c>
      <c r="H361" s="2">
        <v>78.571428571428569</v>
      </c>
    </row>
    <row r="362" spans="1:8" x14ac:dyDescent="0.35">
      <c r="A362">
        <v>1</v>
      </c>
      <c r="B362">
        <v>2012</v>
      </c>
      <c r="C362">
        <v>1</v>
      </c>
      <c r="D362" t="s">
        <v>8</v>
      </c>
      <c r="E362" t="s">
        <v>9</v>
      </c>
      <c r="F362" t="s">
        <v>19</v>
      </c>
      <c r="G362" t="s">
        <v>33</v>
      </c>
      <c r="H362" s="2">
        <v>93.865030674846622</v>
      </c>
    </row>
    <row r="363" spans="1:8" x14ac:dyDescent="0.35">
      <c r="A363">
        <v>2</v>
      </c>
      <c r="B363">
        <v>2012</v>
      </c>
      <c r="C363">
        <v>2</v>
      </c>
      <c r="D363" t="s">
        <v>8</v>
      </c>
      <c r="E363" t="s">
        <v>9</v>
      </c>
      <c r="F363" t="s">
        <v>19</v>
      </c>
      <c r="G363" t="s">
        <v>33</v>
      </c>
      <c r="H363" s="2">
        <v>93.650793650793645</v>
      </c>
    </row>
    <row r="364" spans="1:8" x14ac:dyDescent="0.35">
      <c r="A364">
        <v>3</v>
      </c>
      <c r="B364">
        <v>2012</v>
      </c>
      <c r="C364">
        <v>3</v>
      </c>
      <c r="D364" t="s">
        <v>8</v>
      </c>
      <c r="E364" t="s">
        <v>9</v>
      </c>
      <c r="F364" t="s">
        <v>19</v>
      </c>
      <c r="G364" t="s">
        <v>33</v>
      </c>
      <c r="H364" s="2">
        <v>97.159090909090907</v>
      </c>
    </row>
    <row r="365" spans="1:8" x14ac:dyDescent="0.35">
      <c r="A365">
        <v>4</v>
      </c>
      <c r="B365">
        <v>2012</v>
      </c>
      <c r="C365">
        <v>4</v>
      </c>
      <c r="D365" t="s">
        <v>8</v>
      </c>
      <c r="E365" t="s">
        <v>9</v>
      </c>
      <c r="F365" t="s">
        <v>19</v>
      </c>
      <c r="G365" t="s">
        <v>33</v>
      </c>
      <c r="H365" s="2">
        <v>98.630136986301366</v>
      </c>
    </row>
    <row r="366" spans="1:8" x14ac:dyDescent="0.35">
      <c r="A366">
        <v>5</v>
      </c>
      <c r="B366">
        <v>2013</v>
      </c>
      <c r="C366">
        <v>1</v>
      </c>
      <c r="D366" t="s">
        <v>8</v>
      </c>
      <c r="E366" t="s">
        <v>9</v>
      </c>
      <c r="F366" t="s">
        <v>19</v>
      </c>
      <c r="G366" t="s">
        <v>33</v>
      </c>
      <c r="H366" s="2">
        <v>99.290780141843967</v>
      </c>
    </row>
    <row r="367" spans="1:8" x14ac:dyDescent="0.35">
      <c r="A367">
        <v>6</v>
      </c>
      <c r="B367">
        <v>2013</v>
      </c>
      <c r="C367">
        <v>2</v>
      </c>
      <c r="D367" t="s">
        <v>8</v>
      </c>
      <c r="E367" t="s">
        <v>9</v>
      </c>
      <c r="F367" t="s">
        <v>19</v>
      </c>
      <c r="G367" t="s">
        <v>33</v>
      </c>
      <c r="H367" s="2">
        <v>96.666666666666671</v>
      </c>
    </row>
    <row r="368" spans="1:8" x14ac:dyDescent="0.35">
      <c r="A368">
        <v>7</v>
      </c>
      <c r="B368">
        <v>2013</v>
      </c>
      <c r="C368">
        <v>3</v>
      </c>
      <c r="D368" t="s">
        <v>8</v>
      </c>
      <c r="E368" t="s">
        <v>9</v>
      </c>
      <c r="F368" t="s">
        <v>19</v>
      </c>
      <c r="G368" t="s">
        <v>33</v>
      </c>
      <c r="H368" s="2">
        <v>94.117647058823522</v>
      </c>
    </row>
    <row r="369" spans="1:8" x14ac:dyDescent="0.35">
      <c r="A369">
        <v>8</v>
      </c>
      <c r="B369">
        <v>2013</v>
      </c>
      <c r="C369">
        <v>4</v>
      </c>
      <c r="D369" t="s">
        <v>8</v>
      </c>
      <c r="E369" t="s">
        <v>9</v>
      </c>
      <c r="F369" t="s">
        <v>19</v>
      </c>
      <c r="G369" t="s">
        <v>33</v>
      </c>
      <c r="H369" s="2">
        <v>96.581196581196579</v>
      </c>
    </row>
    <row r="370" spans="1:8" x14ac:dyDescent="0.35">
      <c r="A370">
        <v>9</v>
      </c>
      <c r="B370">
        <v>2014</v>
      </c>
      <c r="C370">
        <v>1</v>
      </c>
      <c r="D370" t="s">
        <v>8</v>
      </c>
      <c r="E370" t="s">
        <v>9</v>
      </c>
      <c r="F370" t="s">
        <v>19</v>
      </c>
      <c r="G370" t="s">
        <v>33</v>
      </c>
      <c r="H370" s="2">
        <v>95.36423841059603</v>
      </c>
    </row>
    <row r="371" spans="1:8" x14ac:dyDescent="0.35">
      <c r="A371">
        <v>10</v>
      </c>
      <c r="B371">
        <v>2014</v>
      </c>
      <c r="C371">
        <v>2</v>
      </c>
      <c r="D371" t="s">
        <v>8</v>
      </c>
      <c r="E371" t="s">
        <v>9</v>
      </c>
      <c r="F371" t="s">
        <v>19</v>
      </c>
      <c r="G371" t="s">
        <v>33</v>
      </c>
      <c r="H371" s="2">
        <v>95.172413793103445</v>
      </c>
    </row>
    <row r="372" spans="1:8" x14ac:dyDescent="0.35">
      <c r="A372">
        <v>11</v>
      </c>
      <c r="B372">
        <v>2014</v>
      </c>
      <c r="C372">
        <v>3</v>
      </c>
      <c r="D372" t="s">
        <v>8</v>
      </c>
      <c r="E372" t="s">
        <v>9</v>
      </c>
      <c r="F372" t="s">
        <v>19</v>
      </c>
      <c r="G372" t="s">
        <v>33</v>
      </c>
      <c r="H372" s="2">
        <v>93.788819875776397</v>
      </c>
    </row>
    <row r="373" spans="1:8" x14ac:dyDescent="0.35">
      <c r="A373">
        <v>12</v>
      </c>
      <c r="B373">
        <v>2014</v>
      </c>
      <c r="C373">
        <v>4</v>
      </c>
      <c r="D373" t="s">
        <v>8</v>
      </c>
      <c r="E373" t="s">
        <v>9</v>
      </c>
      <c r="F373" t="s">
        <v>19</v>
      </c>
      <c r="G373" t="s">
        <v>33</v>
      </c>
      <c r="H373" s="2">
        <v>94.615384615384613</v>
      </c>
    </row>
    <row r="374" spans="1:8" x14ac:dyDescent="0.35">
      <c r="A374">
        <v>13</v>
      </c>
      <c r="B374">
        <v>2015</v>
      </c>
      <c r="C374">
        <v>1</v>
      </c>
      <c r="D374" t="s">
        <v>8</v>
      </c>
      <c r="E374" t="s">
        <v>9</v>
      </c>
      <c r="F374" t="s">
        <v>19</v>
      </c>
      <c r="G374" t="s">
        <v>33</v>
      </c>
      <c r="H374" s="2">
        <v>92.356687898089177</v>
      </c>
    </row>
    <row r="375" spans="1:8" x14ac:dyDescent="0.35">
      <c r="A375">
        <v>14</v>
      </c>
      <c r="B375">
        <v>2015</v>
      </c>
      <c r="C375">
        <v>2</v>
      </c>
      <c r="D375" t="s">
        <v>8</v>
      </c>
      <c r="E375" t="s">
        <v>9</v>
      </c>
      <c r="F375" t="s">
        <v>19</v>
      </c>
      <c r="G375" t="s">
        <v>33</v>
      </c>
      <c r="H375" s="2">
        <v>96.527777777777786</v>
      </c>
    </row>
    <row r="376" spans="1:8" x14ac:dyDescent="0.35">
      <c r="A376">
        <v>15</v>
      </c>
      <c r="B376">
        <v>2015</v>
      </c>
      <c r="C376">
        <v>3</v>
      </c>
      <c r="D376" t="s">
        <v>8</v>
      </c>
      <c r="E376" t="s">
        <v>9</v>
      </c>
      <c r="F376" t="s">
        <v>19</v>
      </c>
      <c r="G376" t="s">
        <v>33</v>
      </c>
      <c r="H376" s="2">
        <v>94.936708860759495</v>
      </c>
    </row>
    <row r="377" spans="1:8" x14ac:dyDescent="0.35">
      <c r="A377">
        <v>16</v>
      </c>
      <c r="B377">
        <v>2015</v>
      </c>
      <c r="C377">
        <v>4</v>
      </c>
      <c r="D377" t="s">
        <v>8</v>
      </c>
      <c r="E377" t="s">
        <v>9</v>
      </c>
      <c r="F377" t="s">
        <v>19</v>
      </c>
      <c r="G377" t="s">
        <v>33</v>
      </c>
      <c r="H377" s="2">
        <v>94.475138121546962</v>
      </c>
    </row>
    <row r="378" spans="1:8" x14ac:dyDescent="0.35">
      <c r="A378">
        <v>17</v>
      </c>
      <c r="B378">
        <v>2016</v>
      </c>
      <c r="C378">
        <v>1</v>
      </c>
      <c r="D378" t="s">
        <v>8</v>
      </c>
      <c r="E378" t="s">
        <v>9</v>
      </c>
      <c r="F378" t="s">
        <v>19</v>
      </c>
      <c r="G378" t="s">
        <v>33</v>
      </c>
      <c r="H378" s="2">
        <v>93.661971830985919</v>
      </c>
    </row>
    <row r="379" spans="1:8" x14ac:dyDescent="0.35">
      <c r="A379">
        <v>18</v>
      </c>
      <c r="B379">
        <v>2016</v>
      </c>
      <c r="C379">
        <v>2</v>
      </c>
      <c r="D379" t="s">
        <v>8</v>
      </c>
      <c r="E379" t="s">
        <v>9</v>
      </c>
      <c r="F379" t="s">
        <v>19</v>
      </c>
      <c r="G379" t="s">
        <v>33</v>
      </c>
      <c r="H379" s="2">
        <v>91.279069767441854</v>
      </c>
    </row>
    <row r="380" spans="1:8" x14ac:dyDescent="0.35">
      <c r="A380">
        <v>19</v>
      </c>
      <c r="B380">
        <v>2016</v>
      </c>
      <c r="C380">
        <v>3</v>
      </c>
      <c r="D380" t="s">
        <v>8</v>
      </c>
      <c r="E380" t="s">
        <v>9</v>
      </c>
      <c r="F380" t="s">
        <v>19</v>
      </c>
      <c r="G380" t="s">
        <v>33</v>
      </c>
      <c r="H380" s="2">
        <v>89.743589743589752</v>
      </c>
    </row>
    <row r="381" spans="1:8" x14ac:dyDescent="0.35">
      <c r="A381">
        <v>20</v>
      </c>
      <c r="B381">
        <v>2016</v>
      </c>
      <c r="C381">
        <v>4</v>
      </c>
      <c r="D381" t="s">
        <v>8</v>
      </c>
      <c r="E381" t="s">
        <v>9</v>
      </c>
      <c r="F381" t="s">
        <v>19</v>
      </c>
      <c r="G381" t="s">
        <v>33</v>
      </c>
      <c r="H381" s="2">
        <v>91.19496855345912</v>
      </c>
    </row>
    <row r="382" spans="1:8" x14ac:dyDescent="0.35">
      <c r="A382">
        <v>21</v>
      </c>
      <c r="B382">
        <v>2017</v>
      </c>
      <c r="C382">
        <v>1</v>
      </c>
      <c r="D382" t="s">
        <v>8</v>
      </c>
      <c r="E382" t="s">
        <v>9</v>
      </c>
      <c r="F382" t="s">
        <v>19</v>
      </c>
      <c r="G382" t="s">
        <v>33</v>
      </c>
      <c r="H382" s="2">
        <v>84.93150684931507</v>
      </c>
    </row>
    <row r="383" spans="1:8" x14ac:dyDescent="0.35">
      <c r="A383">
        <v>22</v>
      </c>
      <c r="B383">
        <v>2017</v>
      </c>
      <c r="C383">
        <v>2</v>
      </c>
      <c r="D383" t="s">
        <v>8</v>
      </c>
      <c r="E383" t="s">
        <v>9</v>
      </c>
      <c r="F383" t="s">
        <v>19</v>
      </c>
      <c r="G383" t="s">
        <v>33</v>
      </c>
      <c r="H383" s="2">
        <v>96.590909090909093</v>
      </c>
    </row>
    <row r="384" spans="1:8" x14ac:dyDescent="0.35">
      <c r="A384">
        <v>23</v>
      </c>
      <c r="B384">
        <v>2017</v>
      </c>
      <c r="C384">
        <v>3</v>
      </c>
      <c r="D384" t="s">
        <v>8</v>
      </c>
      <c r="E384" t="s">
        <v>9</v>
      </c>
      <c r="F384" t="s">
        <v>19</v>
      </c>
      <c r="G384" t="s">
        <v>33</v>
      </c>
      <c r="H384" s="2">
        <v>96.341463414634148</v>
      </c>
    </row>
    <row r="385" spans="1:8" x14ac:dyDescent="0.35">
      <c r="A385">
        <v>24</v>
      </c>
      <c r="B385">
        <v>2017</v>
      </c>
      <c r="C385">
        <v>4</v>
      </c>
      <c r="D385" t="s">
        <v>8</v>
      </c>
      <c r="E385" t="s">
        <v>9</v>
      </c>
      <c r="F385" t="s">
        <v>19</v>
      </c>
      <c r="G385" t="s">
        <v>33</v>
      </c>
      <c r="H385" s="2">
        <v>93.85474860335195</v>
      </c>
    </row>
    <row r="386" spans="1:8" x14ac:dyDescent="0.35">
      <c r="A386">
        <v>25</v>
      </c>
      <c r="B386">
        <v>2018</v>
      </c>
      <c r="C386">
        <v>1</v>
      </c>
      <c r="D386" t="s">
        <v>8</v>
      </c>
      <c r="E386" t="s">
        <v>9</v>
      </c>
      <c r="F386" t="s">
        <v>19</v>
      </c>
      <c r="G386" t="s">
        <v>33</v>
      </c>
      <c r="H386" s="2">
        <v>91.124260355029591</v>
      </c>
    </row>
    <row r="387" spans="1:8" x14ac:dyDescent="0.35">
      <c r="A387">
        <v>26</v>
      </c>
      <c r="B387">
        <v>2018</v>
      </c>
      <c r="C387">
        <v>2</v>
      </c>
      <c r="D387" t="s">
        <v>8</v>
      </c>
      <c r="E387" t="s">
        <v>9</v>
      </c>
      <c r="F387" t="s">
        <v>19</v>
      </c>
      <c r="G387" t="s">
        <v>33</v>
      </c>
      <c r="H387" s="2">
        <v>94.117647058823522</v>
      </c>
    </row>
    <row r="388" spans="1:8" x14ac:dyDescent="0.35">
      <c r="A388">
        <v>27</v>
      </c>
      <c r="B388">
        <v>2018</v>
      </c>
      <c r="C388">
        <v>3</v>
      </c>
      <c r="D388" t="s">
        <v>8</v>
      </c>
      <c r="E388" t="s">
        <v>9</v>
      </c>
      <c r="F388" t="s">
        <v>19</v>
      </c>
      <c r="G388" t="s">
        <v>33</v>
      </c>
      <c r="H388" s="2">
        <v>86.19047619047619</v>
      </c>
    </row>
    <row r="389" spans="1:8" x14ac:dyDescent="0.35">
      <c r="A389">
        <v>28</v>
      </c>
      <c r="B389">
        <v>2018</v>
      </c>
      <c r="C389">
        <v>4</v>
      </c>
      <c r="D389" t="s">
        <v>8</v>
      </c>
      <c r="E389" t="s">
        <v>9</v>
      </c>
      <c r="F389" t="s">
        <v>19</v>
      </c>
      <c r="G389" t="s">
        <v>33</v>
      </c>
      <c r="H389" s="2">
        <v>90.957446808510639</v>
      </c>
    </row>
    <row r="390" spans="1:8" x14ac:dyDescent="0.35">
      <c r="A390">
        <v>29</v>
      </c>
      <c r="B390">
        <v>2019</v>
      </c>
      <c r="C390">
        <v>1</v>
      </c>
      <c r="D390" t="s">
        <v>8</v>
      </c>
      <c r="E390" t="s">
        <v>9</v>
      </c>
      <c r="F390" t="s">
        <v>19</v>
      </c>
      <c r="G390" t="s">
        <v>33</v>
      </c>
      <c r="H390" s="2">
        <v>88.613861386138609</v>
      </c>
    </row>
    <row r="391" spans="1:8" x14ac:dyDescent="0.35">
      <c r="A391">
        <v>30</v>
      </c>
      <c r="B391">
        <v>2019</v>
      </c>
      <c r="C391">
        <v>2</v>
      </c>
      <c r="D391" t="s">
        <v>8</v>
      </c>
      <c r="E391" t="s">
        <v>9</v>
      </c>
      <c r="F391" t="s">
        <v>19</v>
      </c>
      <c r="G391" t="s">
        <v>33</v>
      </c>
      <c r="H391" s="2">
        <v>89.333333333333329</v>
      </c>
    </row>
    <row r="392" spans="1:8" x14ac:dyDescent="0.35">
      <c r="A392">
        <v>31</v>
      </c>
      <c r="B392">
        <v>2019</v>
      </c>
      <c r="C392">
        <v>3</v>
      </c>
      <c r="D392" t="s">
        <v>8</v>
      </c>
      <c r="E392" t="s">
        <v>9</v>
      </c>
      <c r="F392" t="s">
        <v>19</v>
      </c>
      <c r="G392" t="s">
        <v>33</v>
      </c>
      <c r="H392" s="2">
        <v>86.893203883495147</v>
      </c>
    </row>
    <row r="393" spans="1:8" x14ac:dyDescent="0.35">
      <c r="A393">
        <v>32</v>
      </c>
      <c r="B393">
        <v>2019</v>
      </c>
      <c r="C393">
        <v>4</v>
      </c>
      <c r="D393" t="s">
        <v>8</v>
      </c>
      <c r="E393" t="s">
        <v>9</v>
      </c>
      <c r="F393" t="s">
        <v>19</v>
      </c>
      <c r="G393" t="s">
        <v>33</v>
      </c>
      <c r="H393" s="2">
        <v>92.156862745098039</v>
      </c>
    </row>
    <row r="394" spans="1:8" x14ac:dyDescent="0.35">
      <c r="A394">
        <v>33</v>
      </c>
      <c r="B394">
        <v>2020</v>
      </c>
      <c r="C394">
        <v>1</v>
      </c>
      <c r="D394" t="s">
        <v>8</v>
      </c>
      <c r="E394" t="s">
        <v>9</v>
      </c>
      <c r="F394" t="s">
        <v>19</v>
      </c>
      <c r="G394" t="s">
        <v>33</v>
      </c>
      <c r="H394" s="2">
        <v>88.177339901477836</v>
      </c>
    </row>
    <row r="395" spans="1:8" x14ac:dyDescent="0.35">
      <c r="A395">
        <v>34</v>
      </c>
      <c r="B395">
        <v>2020</v>
      </c>
      <c r="C395">
        <v>2</v>
      </c>
      <c r="D395" t="s">
        <v>8</v>
      </c>
      <c r="E395" t="s">
        <v>9</v>
      </c>
      <c r="F395" t="s">
        <v>19</v>
      </c>
      <c r="G395" t="s">
        <v>33</v>
      </c>
      <c r="H395" s="2">
        <v>85</v>
      </c>
    </row>
    <row r="396" spans="1:8" x14ac:dyDescent="0.35">
      <c r="A396">
        <v>35</v>
      </c>
      <c r="B396">
        <v>2020</v>
      </c>
      <c r="C396">
        <v>3</v>
      </c>
      <c r="D396" t="s">
        <v>8</v>
      </c>
      <c r="E396" t="s">
        <v>9</v>
      </c>
      <c r="F396" t="s">
        <v>19</v>
      </c>
      <c r="G396" t="s">
        <v>33</v>
      </c>
      <c r="H396" s="2">
        <v>89.714285714285708</v>
      </c>
    </row>
    <row r="397" spans="1:8" x14ac:dyDescent="0.35">
      <c r="A397">
        <v>36</v>
      </c>
      <c r="B397">
        <v>2020</v>
      </c>
      <c r="C397">
        <v>4</v>
      </c>
      <c r="D397" t="s">
        <v>8</v>
      </c>
      <c r="E397" t="s">
        <v>9</v>
      </c>
      <c r="F397" t="s">
        <v>19</v>
      </c>
      <c r="G397" t="s">
        <v>33</v>
      </c>
      <c r="H397" s="2">
        <v>86.390532544378701</v>
      </c>
    </row>
    <row r="398" spans="1:8" x14ac:dyDescent="0.35">
      <c r="A398">
        <v>37</v>
      </c>
      <c r="B398">
        <v>2021</v>
      </c>
      <c r="C398">
        <v>1</v>
      </c>
      <c r="D398" t="s">
        <v>8</v>
      </c>
      <c r="E398" t="s">
        <v>9</v>
      </c>
      <c r="F398" t="s">
        <v>19</v>
      </c>
      <c r="G398" t="s">
        <v>33</v>
      </c>
      <c r="H398" s="2">
        <v>87.195121951219505</v>
      </c>
    </row>
    <row r="399" spans="1:8" x14ac:dyDescent="0.35">
      <c r="A399">
        <v>38</v>
      </c>
      <c r="B399">
        <v>2021</v>
      </c>
      <c r="C399">
        <v>2</v>
      </c>
      <c r="D399" t="s">
        <v>8</v>
      </c>
      <c r="E399" t="s">
        <v>9</v>
      </c>
      <c r="F399" t="s">
        <v>19</v>
      </c>
      <c r="G399" t="s">
        <v>33</v>
      </c>
      <c r="H399" s="2">
        <v>85.207100591715985</v>
      </c>
    </row>
    <row r="400" spans="1:8" x14ac:dyDescent="0.35">
      <c r="A400">
        <v>39</v>
      </c>
      <c r="B400">
        <v>2021</v>
      </c>
      <c r="C400">
        <v>3</v>
      </c>
      <c r="D400" t="s">
        <v>8</v>
      </c>
      <c r="E400" t="s">
        <v>9</v>
      </c>
      <c r="F400" t="s">
        <v>19</v>
      </c>
      <c r="G400" t="s">
        <v>33</v>
      </c>
      <c r="H400" s="2">
        <v>91.62561576354679</v>
      </c>
    </row>
    <row r="401" spans="1:8" x14ac:dyDescent="0.35">
      <c r="A401">
        <v>40</v>
      </c>
      <c r="B401">
        <v>2021</v>
      </c>
      <c r="C401">
        <v>4</v>
      </c>
      <c r="D401" t="s">
        <v>8</v>
      </c>
      <c r="E401" t="s">
        <v>9</v>
      </c>
      <c r="F401" t="s">
        <v>19</v>
      </c>
      <c r="G401" t="s">
        <v>33</v>
      </c>
      <c r="H401" s="2">
        <v>88.888888888888886</v>
      </c>
    </row>
    <row r="402" spans="1:8" x14ac:dyDescent="0.35">
      <c r="A402">
        <v>1</v>
      </c>
      <c r="B402">
        <v>2012</v>
      </c>
      <c r="C402">
        <v>1</v>
      </c>
      <c r="D402" t="s">
        <v>8</v>
      </c>
      <c r="E402" t="s">
        <v>9</v>
      </c>
      <c r="F402" t="s">
        <v>20</v>
      </c>
      <c r="G402" t="s">
        <v>34</v>
      </c>
      <c r="H402" s="2">
        <v>95.927601809954751</v>
      </c>
    </row>
    <row r="403" spans="1:8" x14ac:dyDescent="0.35">
      <c r="A403">
        <v>2</v>
      </c>
      <c r="B403">
        <v>2012</v>
      </c>
      <c r="C403">
        <v>2</v>
      </c>
      <c r="D403" t="s">
        <v>8</v>
      </c>
      <c r="E403" t="s">
        <v>9</v>
      </c>
      <c r="F403" t="s">
        <v>20</v>
      </c>
      <c r="G403" t="s">
        <v>34</v>
      </c>
      <c r="H403" s="2">
        <v>96.832579185520359</v>
      </c>
    </row>
    <row r="404" spans="1:8" x14ac:dyDescent="0.35">
      <c r="A404">
        <v>3</v>
      </c>
      <c r="B404">
        <v>2012</v>
      </c>
      <c r="C404">
        <v>3</v>
      </c>
      <c r="D404" t="s">
        <v>8</v>
      </c>
      <c r="E404" t="s">
        <v>9</v>
      </c>
      <c r="F404" t="s">
        <v>20</v>
      </c>
      <c r="G404" t="s">
        <v>34</v>
      </c>
      <c r="H404" s="2">
        <v>95.238095238095227</v>
      </c>
    </row>
    <row r="405" spans="1:8" x14ac:dyDescent="0.35">
      <c r="A405">
        <v>4</v>
      </c>
      <c r="B405">
        <v>2012</v>
      </c>
      <c r="C405">
        <v>4</v>
      </c>
      <c r="D405" t="s">
        <v>8</v>
      </c>
      <c r="E405" t="s">
        <v>9</v>
      </c>
      <c r="F405" t="s">
        <v>20</v>
      </c>
      <c r="G405" t="s">
        <v>34</v>
      </c>
      <c r="H405" s="2">
        <v>95.544554455445535</v>
      </c>
    </row>
    <row r="406" spans="1:8" x14ac:dyDescent="0.35">
      <c r="A406">
        <v>5</v>
      </c>
      <c r="B406">
        <v>2013</v>
      </c>
      <c r="C406">
        <v>1</v>
      </c>
      <c r="D406" t="s">
        <v>8</v>
      </c>
      <c r="E406" t="s">
        <v>9</v>
      </c>
      <c r="F406" t="s">
        <v>20</v>
      </c>
      <c r="G406" t="s">
        <v>34</v>
      </c>
      <c r="H406" s="2">
        <v>93.212669683257914</v>
      </c>
    </row>
    <row r="407" spans="1:8" x14ac:dyDescent="0.35">
      <c r="A407">
        <v>6</v>
      </c>
      <c r="B407">
        <v>2013</v>
      </c>
      <c r="C407">
        <v>2</v>
      </c>
      <c r="D407" t="s">
        <v>8</v>
      </c>
      <c r="E407" t="s">
        <v>9</v>
      </c>
      <c r="F407" t="s">
        <v>20</v>
      </c>
      <c r="G407" t="s">
        <v>34</v>
      </c>
      <c r="H407" s="2">
        <v>94.468085106382986</v>
      </c>
    </row>
    <row r="408" spans="1:8" x14ac:dyDescent="0.35">
      <c r="A408">
        <v>7</v>
      </c>
      <c r="B408">
        <v>2013</v>
      </c>
      <c r="C408">
        <v>3</v>
      </c>
      <c r="D408" t="s">
        <v>8</v>
      </c>
      <c r="E408" t="s">
        <v>9</v>
      </c>
      <c r="F408" t="s">
        <v>20</v>
      </c>
      <c r="G408" t="s">
        <v>34</v>
      </c>
      <c r="H408" s="2">
        <v>96</v>
      </c>
    </row>
    <row r="409" spans="1:8" x14ac:dyDescent="0.35">
      <c r="A409">
        <v>8</v>
      </c>
      <c r="B409">
        <v>2013</v>
      </c>
      <c r="C409">
        <v>4</v>
      </c>
      <c r="D409" t="s">
        <v>8</v>
      </c>
      <c r="E409" t="s">
        <v>9</v>
      </c>
      <c r="F409" t="s">
        <v>20</v>
      </c>
      <c r="G409" t="s">
        <v>34</v>
      </c>
      <c r="H409" s="2">
        <v>90.366972477064223</v>
      </c>
    </row>
    <row r="410" spans="1:8" x14ac:dyDescent="0.35">
      <c r="A410">
        <v>9</v>
      </c>
      <c r="B410">
        <v>2014</v>
      </c>
      <c r="C410">
        <v>1</v>
      </c>
      <c r="D410" t="s">
        <v>8</v>
      </c>
      <c r="E410" t="s">
        <v>9</v>
      </c>
      <c r="F410" t="s">
        <v>20</v>
      </c>
      <c r="G410" t="s">
        <v>34</v>
      </c>
      <c r="H410" s="2">
        <v>91.079812206572768</v>
      </c>
    </row>
    <row r="411" spans="1:8" x14ac:dyDescent="0.35">
      <c r="A411">
        <v>10</v>
      </c>
      <c r="B411">
        <v>2014</v>
      </c>
      <c r="C411">
        <v>2</v>
      </c>
      <c r="D411" t="s">
        <v>8</v>
      </c>
      <c r="E411" t="s">
        <v>9</v>
      </c>
      <c r="F411" t="s">
        <v>20</v>
      </c>
      <c r="G411" t="s">
        <v>34</v>
      </c>
      <c r="H411" s="2">
        <v>94.805194805194802</v>
      </c>
    </row>
    <row r="412" spans="1:8" x14ac:dyDescent="0.35">
      <c r="A412">
        <v>11</v>
      </c>
      <c r="B412">
        <v>2014</v>
      </c>
      <c r="C412">
        <v>3</v>
      </c>
      <c r="D412" t="s">
        <v>8</v>
      </c>
      <c r="E412" t="s">
        <v>9</v>
      </c>
      <c r="F412" t="s">
        <v>20</v>
      </c>
      <c r="G412" t="s">
        <v>34</v>
      </c>
      <c r="H412" s="2">
        <v>97.787610619469021</v>
      </c>
    </row>
    <row r="413" spans="1:8" x14ac:dyDescent="0.35">
      <c r="A413">
        <v>12</v>
      </c>
      <c r="B413">
        <v>2014</v>
      </c>
      <c r="C413">
        <v>4</v>
      </c>
      <c r="D413" t="s">
        <v>8</v>
      </c>
      <c r="E413" t="s">
        <v>9</v>
      </c>
      <c r="F413" t="s">
        <v>20</v>
      </c>
      <c r="G413" t="s">
        <v>34</v>
      </c>
      <c r="H413" s="2">
        <v>96.943231441048042</v>
      </c>
    </row>
    <row r="414" spans="1:8" x14ac:dyDescent="0.35">
      <c r="A414">
        <v>13</v>
      </c>
      <c r="B414">
        <v>2015</v>
      </c>
      <c r="C414">
        <v>1</v>
      </c>
      <c r="D414" t="s">
        <v>8</v>
      </c>
      <c r="E414" t="s">
        <v>9</v>
      </c>
      <c r="F414" t="s">
        <v>20</v>
      </c>
      <c r="G414" t="s">
        <v>34</v>
      </c>
      <c r="H414" s="2">
        <v>91.709844559585491</v>
      </c>
    </row>
    <row r="415" spans="1:8" x14ac:dyDescent="0.35">
      <c r="A415">
        <v>14</v>
      </c>
      <c r="B415">
        <v>2015</v>
      </c>
      <c r="C415">
        <v>2</v>
      </c>
      <c r="D415" t="s">
        <v>8</v>
      </c>
      <c r="E415" t="s">
        <v>9</v>
      </c>
      <c r="F415" t="s">
        <v>20</v>
      </c>
      <c r="G415" t="s">
        <v>34</v>
      </c>
      <c r="H415" s="2">
        <v>92.672413793103445</v>
      </c>
    </row>
    <row r="416" spans="1:8" x14ac:dyDescent="0.35">
      <c r="A416">
        <v>15</v>
      </c>
      <c r="B416">
        <v>2015</v>
      </c>
      <c r="C416">
        <v>3</v>
      </c>
      <c r="D416" t="s">
        <v>8</v>
      </c>
      <c r="E416" t="s">
        <v>9</v>
      </c>
      <c r="F416" t="s">
        <v>20</v>
      </c>
      <c r="G416" t="s">
        <v>34</v>
      </c>
      <c r="H416" s="2">
        <v>86.142322097378283</v>
      </c>
    </row>
    <row r="417" spans="1:8" x14ac:dyDescent="0.35">
      <c r="A417">
        <v>16</v>
      </c>
      <c r="B417">
        <v>2015</v>
      </c>
      <c r="C417">
        <v>4</v>
      </c>
      <c r="D417" t="s">
        <v>8</v>
      </c>
      <c r="E417" t="s">
        <v>9</v>
      </c>
      <c r="F417" t="s">
        <v>20</v>
      </c>
      <c r="G417" t="s">
        <v>34</v>
      </c>
      <c r="H417" s="2">
        <v>88.659793814432987</v>
      </c>
    </row>
    <row r="418" spans="1:8" x14ac:dyDescent="0.35">
      <c r="A418">
        <v>17</v>
      </c>
      <c r="B418">
        <v>2016</v>
      </c>
      <c r="C418">
        <v>1</v>
      </c>
      <c r="D418" t="s">
        <v>8</v>
      </c>
      <c r="E418" t="s">
        <v>9</v>
      </c>
      <c r="F418" t="s">
        <v>20</v>
      </c>
      <c r="G418" t="s">
        <v>34</v>
      </c>
      <c r="H418" s="2">
        <v>92.410714285714292</v>
      </c>
    </row>
    <row r="419" spans="1:8" x14ac:dyDescent="0.35">
      <c r="A419">
        <v>18</v>
      </c>
      <c r="B419">
        <v>2016</v>
      </c>
      <c r="C419">
        <v>2</v>
      </c>
      <c r="D419" t="s">
        <v>8</v>
      </c>
      <c r="E419" t="s">
        <v>9</v>
      </c>
      <c r="F419" t="s">
        <v>20</v>
      </c>
      <c r="G419" t="s">
        <v>34</v>
      </c>
      <c r="H419" s="2">
        <v>89.610389610389603</v>
      </c>
    </row>
    <row r="420" spans="1:8" x14ac:dyDescent="0.35">
      <c r="A420">
        <v>19</v>
      </c>
      <c r="B420">
        <v>2016</v>
      </c>
      <c r="C420">
        <v>3</v>
      </c>
      <c r="D420" t="s">
        <v>8</v>
      </c>
      <c r="E420" t="s">
        <v>9</v>
      </c>
      <c r="F420" t="s">
        <v>20</v>
      </c>
      <c r="G420" t="s">
        <v>34</v>
      </c>
      <c r="H420" s="2">
        <v>82.969432314410483</v>
      </c>
    </row>
    <row r="421" spans="1:8" x14ac:dyDescent="0.35">
      <c r="A421">
        <v>20</v>
      </c>
      <c r="B421">
        <v>2016</v>
      </c>
      <c r="C421">
        <v>4</v>
      </c>
      <c r="D421" t="s">
        <v>8</v>
      </c>
      <c r="E421" t="s">
        <v>9</v>
      </c>
      <c r="F421" t="s">
        <v>20</v>
      </c>
      <c r="G421" t="s">
        <v>34</v>
      </c>
      <c r="H421" s="2">
        <v>87.169811320754718</v>
      </c>
    </row>
    <row r="422" spans="1:8" x14ac:dyDescent="0.35">
      <c r="A422">
        <v>21</v>
      </c>
      <c r="B422">
        <v>2017</v>
      </c>
      <c r="C422">
        <v>1</v>
      </c>
      <c r="D422" t="s">
        <v>8</v>
      </c>
      <c r="E422" t="s">
        <v>9</v>
      </c>
      <c r="F422" t="s">
        <v>20</v>
      </c>
      <c r="G422" t="s">
        <v>34</v>
      </c>
      <c r="H422" s="2">
        <v>89.88326848249028</v>
      </c>
    </row>
    <row r="423" spans="1:8" x14ac:dyDescent="0.35">
      <c r="A423">
        <v>22</v>
      </c>
      <c r="B423">
        <v>2017</v>
      </c>
      <c r="C423">
        <v>2</v>
      </c>
      <c r="D423" t="s">
        <v>8</v>
      </c>
      <c r="E423" t="s">
        <v>9</v>
      </c>
      <c r="F423" t="s">
        <v>20</v>
      </c>
      <c r="G423" t="s">
        <v>34</v>
      </c>
      <c r="H423" s="2">
        <v>90.34749034749035</v>
      </c>
    </row>
    <row r="424" spans="1:8" x14ac:dyDescent="0.35">
      <c r="A424">
        <v>23</v>
      </c>
      <c r="B424">
        <v>2017</v>
      </c>
      <c r="C424">
        <v>3</v>
      </c>
      <c r="D424" t="s">
        <v>8</v>
      </c>
      <c r="E424" t="s">
        <v>9</v>
      </c>
      <c r="F424" t="s">
        <v>20</v>
      </c>
      <c r="G424" t="s">
        <v>34</v>
      </c>
      <c r="H424" s="2">
        <v>89.642857142857153</v>
      </c>
    </row>
    <row r="425" spans="1:8" x14ac:dyDescent="0.35">
      <c r="A425">
        <v>24</v>
      </c>
      <c r="B425">
        <v>2017</v>
      </c>
      <c r="C425">
        <v>4</v>
      </c>
      <c r="D425" t="s">
        <v>8</v>
      </c>
      <c r="E425" t="s">
        <v>9</v>
      </c>
      <c r="F425" t="s">
        <v>20</v>
      </c>
      <c r="G425" t="s">
        <v>34</v>
      </c>
      <c r="H425" s="2">
        <v>89.400921658986178</v>
      </c>
    </row>
    <row r="426" spans="1:8" x14ac:dyDescent="0.35">
      <c r="A426">
        <v>25</v>
      </c>
      <c r="B426">
        <v>2018</v>
      </c>
      <c r="C426">
        <v>1</v>
      </c>
      <c r="D426" t="s">
        <v>8</v>
      </c>
      <c r="E426" t="s">
        <v>9</v>
      </c>
      <c r="F426" t="s">
        <v>20</v>
      </c>
      <c r="G426" t="s">
        <v>34</v>
      </c>
      <c r="H426" s="2">
        <v>86.419753086419746</v>
      </c>
    </row>
    <row r="427" spans="1:8" x14ac:dyDescent="0.35">
      <c r="A427">
        <v>26</v>
      </c>
      <c r="B427">
        <v>2018</v>
      </c>
      <c r="C427">
        <v>2</v>
      </c>
      <c r="D427" t="s">
        <v>8</v>
      </c>
      <c r="E427" t="s">
        <v>9</v>
      </c>
      <c r="F427" t="s">
        <v>20</v>
      </c>
      <c r="G427" t="s">
        <v>34</v>
      </c>
      <c r="H427" s="2">
        <v>87.931034482758619</v>
      </c>
    </row>
    <row r="428" spans="1:8" x14ac:dyDescent="0.35">
      <c r="A428">
        <v>27</v>
      </c>
      <c r="B428">
        <v>2018</v>
      </c>
      <c r="C428">
        <v>3</v>
      </c>
      <c r="D428" t="s">
        <v>8</v>
      </c>
      <c r="E428" t="s">
        <v>9</v>
      </c>
      <c r="F428" t="s">
        <v>20</v>
      </c>
      <c r="G428" t="s">
        <v>34</v>
      </c>
      <c r="H428" s="2">
        <v>83.467741935483872</v>
      </c>
    </row>
    <row r="429" spans="1:8" x14ac:dyDescent="0.35">
      <c r="A429">
        <v>28</v>
      </c>
      <c r="B429">
        <v>2018</v>
      </c>
      <c r="C429">
        <v>4</v>
      </c>
      <c r="D429" t="s">
        <v>8</v>
      </c>
      <c r="E429" t="s">
        <v>9</v>
      </c>
      <c r="F429" t="s">
        <v>20</v>
      </c>
      <c r="G429" t="s">
        <v>34</v>
      </c>
      <c r="H429" s="2">
        <v>82.926829268292678</v>
      </c>
    </row>
    <row r="430" spans="1:8" x14ac:dyDescent="0.35">
      <c r="A430">
        <v>29</v>
      </c>
      <c r="B430">
        <v>2019</v>
      </c>
      <c r="C430">
        <v>1</v>
      </c>
      <c r="D430" t="s">
        <v>8</v>
      </c>
      <c r="E430" t="s">
        <v>9</v>
      </c>
      <c r="F430" t="s">
        <v>20</v>
      </c>
      <c r="G430" t="s">
        <v>34</v>
      </c>
      <c r="H430" s="2">
        <v>88.60759493670885</v>
      </c>
    </row>
    <row r="431" spans="1:8" x14ac:dyDescent="0.35">
      <c r="A431">
        <v>30</v>
      </c>
      <c r="B431">
        <v>2019</v>
      </c>
      <c r="C431">
        <v>2</v>
      </c>
      <c r="D431" t="s">
        <v>8</v>
      </c>
      <c r="E431" t="s">
        <v>9</v>
      </c>
      <c r="F431" t="s">
        <v>20</v>
      </c>
      <c r="G431" t="s">
        <v>34</v>
      </c>
      <c r="H431" s="2">
        <v>89.523809523809533</v>
      </c>
    </row>
    <row r="432" spans="1:8" x14ac:dyDescent="0.35">
      <c r="A432">
        <v>31</v>
      </c>
      <c r="B432">
        <v>2019</v>
      </c>
      <c r="C432">
        <v>3</v>
      </c>
      <c r="D432" t="s">
        <v>8</v>
      </c>
      <c r="E432" t="s">
        <v>9</v>
      </c>
      <c r="F432" t="s">
        <v>20</v>
      </c>
      <c r="G432" t="s">
        <v>34</v>
      </c>
      <c r="H432" s="2">
        <v>95.238095238095227</v>
      </c>
    </row>
    <row r="433" spans="1:8" x14ac:dyDescent="0.35">
      <c r="A433">
        <v>32</v>
      </c>
      <c r="B433">
        <v>2019</v>
      </c>
      <c r="C433">
        <v>4</v>
      </c>
      <c r="D433" t="s">
        <v>8</v>
      </c>
      <c r="E433" t="s">
        <v>9</v>
      </c>
      <c r="F433" t="s">
        <v>20</v>
      </c>
      <c r="G433" t="s">
        <v>34</v>
      </c>
      <c r="H433" s="2">
        <v>94.930875576036868</v>
      </c>
    </row>
    <row r="434" spans="1:8" x14ac:dyDescent="0.35">
      <c r="A434">
        <v>33</v>
      </c>
      <c r="B434">
        <v>2020</v>
      </c>
      <c r="C434">
        <v>1</v>
      </c>
      <c r="D434" t="s">
        <v>8</v>
      </c>
      <c r="E434" t="s">
        <v>9</v>
      </c>
      <c r="F434" t="s">
        <v>20</v>
      </c>
      <c r="G434" t="s">
        <v>34</v>
      </c>
      <c r="H434" s="2">
        <v>91.904761904761898</v>
      </c>
    </row>
    <row r="435" spans="1:8" x14ac:dyDescent="0.35">
      <c r="A435">
        <v>34</v>
      </c>
      <c r="B435">
        <v>2020</v>
      </c>
      <c r="C435">
        <v>2</v>
      </c>
      <c r="D435" t="s">
        <v>8</v>
      </c>
      <c r="E435" t="s">
        <v>9</v>
      </c>
      <c r="F435" t="s">
        <v>20</v>
      </c>
      <c r="G435" t="s">
        <v>34</v>
      </c>
      <c r="H435" s="2">
        <v>89.142857142857139</v>
      </c>
    </row>
    <row r="436" spans="1:8" x14ac:dyDescent="0.35">
      <c r="A436">
        <v>35</v>
      </c>
      <c r="B436">
        <v>2020</v>
      </c>
      <c r="C436">
        <v>3</v>
      </c>
      <c r="D436" t="s">
        <v>8</v>
      </c>
      <c r="E436" t="s">
        <v>9</v>
      </c>
      <c r="F436" t="s">
        <v>20</v>
      </c>
      <c r="G436" t="s">
        <v>34</v>
      </c>
      <c r="H436" s="2">
        <v>97.252747252747255</v>
      </c>
    </row>
    <row r="437" spans="1:8" x14ac:dyDescent="0.35">
      <c r="A437">
        <v>36</v>
      </c>
      <c r="B437">
        <v>2020</v>
      </c>
      <c r="C437">
        <v>4</v>
      </c>
      <c r="D437" t="s">
        <v>8</v>
      </c>
      <c r="E437" t="s">
        <v>9</v>
      </c>
      <c r="F437" t="s">
        <v>20</v>
      </c>
      <c r="G437" t="s">
        <v>34</v>
      </c>
      <c r="H437" s="2">
        <v>97.560975609756099</v>
      </c>
    </row>
    <row r="438" spans="1:8" x14ac:dyDescent="0.35">
      <c r="A438">
        <v>37</v>
      </c>
      <c r="B438">
        <v>2021</v>
      </c>
      <c r="C438">
        <v>1</v>
      </c>
      <c r="D438" t="s">
        <v>8</v>
      </c>
      <c r="E438" t="s">
        <v>9</v>
      </c>
      <c r="F438" t="s">
        <v>20</v>
      </c>
      <c r="G438" t="s">
        <v>34</v>
      </c>
      <c r="H438" s="2">
        <v>93.782383419689126</v>
      </c>
    </row>
    <row r="439" spans="1:8" x14ac:dyDescent="0.35">
      <c r="A439">
        <v>38</v>
      </c>
      <c r="B439">
        <v>2021</v>
      </c>
      <c r="C439">
        <v>2</v>
      </c>
      <c r="D439" t="s">
        <v>8</v>
      </c>
      <c r="E439" t="s">
        <v>9</v>
      </c>
      <c r="F439" t="s">
        <v>20</v>
      </c>
      <c r="G439" t="s">
        <v>34</v>
      </c>
      <c r="H439" s="2">
        <v>90.909090909090907</v>
      </c>
    </row>
    <row r="440" spans="1:8" x14ac:dyDescent="0.35">
      <c r="A440">
        <v>39</v>
      </c>
      <c r="B440">
        <v>2021</v>
      </c>
      <c r="C440">
        <v>3</v>
      </c>
      <c r="D440" t="s">
        <v>8</v>
      </c>
      <c r="E440" t="s">
        <v>9</v>
      </c>
      <c r="F440" t="s">
        <v>20</v>
      </c>
      <c r="G440" t="s">
        <v>34</v>
      </c>
      <c r="H440" s="2">
        <v>92.857142857142861</v>
      </c>
    </row>
    <row r="441" spans="1:8" x14ac:dyDescent="0.35">
      <c r="A441">
        <v>40</v>
      </c>
      <c r="B441">
        <v>2021</v>
      </c>
      <c r="C441">
        <v>4</v>
      </c>
      <c r="D441" t="s">
        <v>8</v>
      </c>
      <c r="E441" t="s">
        <v>9</v>
      </c>
      <c r="F441" t="s">
        <v>20</v>
      </c>
      <c r="G441" t="s">
        <v>34</v>
      </c>
      <c r="H441" s="2">
        <v>88.185654008438817</v>
      </c>
    </row>
    <row r="442" spans="1:8" x14ac:dyDescent="0.35">
      <c r="A442">
        <v>1</v>
      </c>
      <c r="B442">
        <v>2012</v>
      </c>
      <c r="C442">
        <v>1</v>
      </c>
      <c r="D442" t="s">
        <v>8</v>
      </c>
      <c r="E442" t="s">
        <v>9</v>
      </c>
      <c r="F442" t="s">
        <v>21</v>
      </c>
      <c r="G442" t="s">
        <v>35</v>
      </c>
      <c r="H442" s="2">
        <v>94.829760403530898</v>
      </c>
    </row>
    <row r="443" spans="1:8" x14ac:dyDescent="0.35">
      <c r="A443">
        <v>2</v>
      </c>
      <c r="B443">
        <v>2012</v>
      </c>
      <c r="C443">
        <v>2</v>
      </c>
      <c r="D443" t="s">
        <v>8</v>
      </c>
      <c r="E443" t="s">
        <v>9</v>
      </c>
      <c r="F443" t="s">
        <v>21</v>
      </c>
      <c r="G443" t="s">
        <v>35</v>
      </c>
      <c r="H443" s="2">
        <v>95.862884160756494</v>
      </c>
    </row>
    <row r="444" spans="1:8" x14ac:dyDescent="0.35">
      <c r="A444">
        <v>3</v>
      </c>
      <c r="B444">
        <v>2012</v>
      </c>
      <c r="C444">
        <v>3</v>
      </c>
      <c r="D444" t="s">
        <v>8</v>
      </c>
      <c r="E444" t="s">
        <v>9</v>
      </c>
      <c r="F444" t="s">
        <v>21</v>
      </c>
      <c r="G444" t="s">
        <v>35</v>
      </c>
      <c r="H444" s="2">
        <v>94.306930693069305</v>
      </c>
    </row>
    <row r="445" spans="1:8" x14ac:dyDescent="0.35">
      <c r="A445">
        <v>4</v>
      </c>
      <c r="B445">
        <v>2012</v>
      </c>
      <c r="C445">
        <v>4</v>
      </c>
      <c r="D445" t="s">
        <v>8</v>
      </c>
      <c r="E445" t="s">
        <v>9</v>
      </c>
      <c r="F445" t="s">
        <v>21</v>
      </c>
      <c r="G445" t="s">
        <v>35</v>
      </c>
      <c r="H445" s="2">
        <v>94.903737259343146</v>
      </c>
    </row>
    <row r="446" spans="1:8" x14ac:dyDescent="0.35">
      <c r="A446">
        <v>5</v>
      </c>
      <c r="B446">
        <v>2013</v>
      </c>
      <c r="C446">
        <v>1</v>
      </c>
      <c r="D446" t="s">
        <v>8</v>
      </c>
      <c r="E446" t="s">
        <v>9</v>
      </c>
      <c r="F446" t="s">
        <v>21</v>
      </c>
      <c r="G446" t="s">
        <v>35</v>
      </c>
      <c r="H446" s="2">
        <v>93.412384716732547</v>
      </c>
    </row>
    <row r="447" spans="1:8" x14ac:dyDescent="0.35">
      <c r="A447">
        <v>6</v>
      </c>
      <c r="B447">
        <v>2013</v>
      </c>
      <c r="C447">
        <v>2</v>
      </c>
      <c r="D447" t="s">
        <v>8</v>
      </c>
      <c r="E447" t="s">
        <v>9</v>
      </c>
      <c r="F447" t="s">
        <v>21</v>
      </c>
      <c r="G447" t="s">
        <v>35</v>
      </c>
      <c r="H447" s="2">
        <v>94.329896907216494</v>
      </c>
    </row>
    <row r="448" spans="1:8" x14ac:dyDescent="0.35">
      <c r="A448">
        <v>7</v>
      </c>
      <c r="B448">
        <v>2013</v>
      </c>
      <c r="C448">
        <v>3</v>
      </c>
      <c r="D448" t="s">
        <v>8</v>
      </c>
      <c r="E448" t="s">
        <v>9</v>
      </c>
      <c r="F448" t="s">
        <v>21</v>
      </c>
      <c r="G448" t="s">
        <v>35</v>
      </c>
      <c r="H448" s="2">
        <v>93.19899244332494</v>
      </c>
    </row>
    <row r="449" spans="1:8" x14ac:dyDescent="0.35">
      <c r="A449">
        <v>8</v>
      </c>
      <c r="B449">
        <v>2013</v>
      </c>
      <c r="C449">
        <v>4</v>
      </c>
      <c r="D449" t="s">
        <v>8</v>
      </c>
      <c r="E449" t="s">
        <v>9</v>
      </c>
      <c r="F449" t="s">
        <v>21</v>
      </c>
      <c r="G449" t="s">
        <v>35</v>
      </c>
      <c r="H449" s="2">
        <v>94.223826714801433</v>
      </c>
    </row>
    <row r="450" spans="1:8" x14ac:dyDescent="0.35">
      <c r="A450">
        <v>9</v>
      </c>
      <c r="B450">
        <v>2014</v>
      </c>
      <c r="C450">
        <v>1</v>
      </c>
      <c r="D450" t="s">
        <v>8</v>
      </c>
      <c r="E450" t="s">
        <v>9</v>
      </c>
      <c r="F450" t="s">
        <v>21</v>
      </c>
      <c r="G450" t="s">
        <v>35</v>
      </c>
      <c r="H450" s="2">
        <v>90.400972053462937</v>
      </c>
    </row>
    <row r="451" spans="1:8" x14ac:dyDescent="0.35">
      <c r="A451">
        <v>10</v>
      </c>
      <c r="B451">
        <v>2014</v>
      </c>
      <c r="C451">
        <v>2</v>
      </c>
      <c r="D451" t="s">
        <v>8</v>
      </c>
      <c r="E451" t="s">
        <v>9</v>
      </c>
      <c r="F451" t="s">
        <v>21</v>
      </c>
      <c r="G451" t="s">
        <v>35</v>
      </c>
      <c r="H451" s="2">
        <v>89.850057670126873</v>
      </c>
    </row>
    <row r="452" spans="1:8" x14ac:dyDescent="0.35">
      <c r="A452">
        <v>11</v>
      </c>
      <c r="B452">
        <v>2014</v>
      </c>
      <c r="C452">
        <v>3</v>
      </c>
      <c r="D452" t="s">
        <v>8</v>
      </c>
      <c r="E452" t="s">
        <v>9</v>
      </c>
      <c r="F452" t="s">
        <v>21</v>
      </c>
      <c r="G452" t="s">
        <v>35</v>
      </c>
      <c r="H452" s="2">
        <v>90.740740740740748</v>
      </c>
    </row>
    <row r="453" spans="1:8" x14ac:dyDescent="0.35">
      <c r="A453">
        <v>12</v>
      </c>
      <c r="B453">
        <v>2014</v>
      </c>
      <c r="C453">
        <v>4</v>
      </c>
      <c r="D453" t="s">
        <v>8</v>
      </c>
      <c r="E453" t="s">
        <v>9</v>
      </c>
      <c r="F453" t="s">
        <v>21</v>
      </c>
      <c r="G453" t="s">
        <v>35</v>
      </c>
      <c r="H453" s="2">
        <v>92.65255292652553</v>
      </c>
    </row>
    <row r="454" spans="1:8" x14ac:dyDescent="0.35">
      <c r="A454">
        <v>13</v>
      </c>
      <c r="B454">
        <v>2015</v>
      </c>
      <c r="C454">
        <v>1</v>
      </c>
      <c r="D454" t="s">
        <v>8</v>
      </c>
      <c r="E454" t="s">
        <v>9</v>
      </c>
      <c r="F454" t="s">
        <v>21</v>
      </c>
      <c r="G454" t="s">
        <v>35</v>
      </c>
      <c r="H454" s="2">
        <v>90.665110851808635</v>
      </c>
    </row>
    <row r="455" spans="1:8" x14ac:dyDescent="0.35">
      <c r="A455">
        <v>14</v>
      </c>
      <c r="B455">
        <v>2015</v>
      </c>
      <c r="C455">
        <v>2</v>
      </c>
      <c r="D455" t="s">
        <v>8</v>
      </c>
      <c r="E455" t="s">
        <v>9</v>
      </c>
      <c r="F455" t="s">
        <v>21</v>
      </c>
      <c r="G455" t="s">
        <v>35</v>
      </c>
      <c r="H455" s="2">
        <v>89.626055488540416</v>
      </c>
    </row>
    <row r="456" spans="1:8" x14ac:dyDescent="0.35">
      <c r="A456">
        <v>15</v>
      </c>
      <c r="B456">
        <v>2015</v>
      </c>
      <c r="C456">
        <v>3</v>
      </c>
      <c r="D456" t="s">
        <v>8</v>
      </c>
      <c r="E456" t="s">
        <v>9</v>
      </c>
      <c r="F456" t="s">
        <v>21</v>
      </c>
      <c r="G456" t="s">
        <v>35</v>
      </c>
      <c r="H456" s="2">
        <v>86.238532110091754</v>
      </c>
    </row>
    <row r="457" spans="1:8" x14ac:dyDescent="0.35">
      <c r="A457">
        <v>16</v>
      </c>
      <c r="B457">
        <v>2015</v>
      </c>
      <c r="C457">
        <v>4</v>
      </c>
      <c r="D457" t="s">
        <v>8</v>
      </c>
      <c r="E457" t="s">
        <v>9</v>
      </c>
      <c r="F457" t="s">
        <v>21</v>
      </c>
      <c r="G457" t="s">
        <v>35</v>
      </c>
      <c r="H457" s="2">
        <v>87.149028077753769</v>
      </c>
    </row>
    <row r="458" spans="1:8" x14ac:dyDescent="0.35">
      <c r="A458">
        <v>17</v>
      </c>
      <c r="B458">
        <v>2016</v>
      </c>
      <c r="C458">
        <v>1</v>
      </c>
      <c r="D458" t="s">
        <v>8</v>
      </c>
      <c r="E458" t="s">
        <v>9</v>
      </c>
      <c r="F458" t="s">
        <v>21</v>
      </c>
      <c r="G458" t="s">
        <v>35</v>
      </c>
      <c r="H458" s="2">
        <v>85.968819599109139</v>
      </c>
    </row>
    <row r="459" spans="1:8" x14ac:dyDescent="0.35">
      <c r="A459">
        <v>18</v>
      </c>
      <c r="B459">
        <v>2016</v>
      </c>
      <c r="C459">
        <v>2</v>
      </c>
      <c r="D459" t="s">
        <v>8</v>
      </c>
      <c r="E459" t="s">
        <v>9</v>
      </c>
      <c r="F459" t="s">
        <v>21</v>
      </c>
      <c r="G459" t="s">
        <v>35</v>
      </c>
      <c r="H459" s="2">
        <v>87.950450450450447</v>
      </c>
    </row>
    <row r="460" spans="1:8" x14ac:dyDescent="0.35">
      <c r="A460">
        <v>19</v>
      </c>
      <c r="B460">
        <v>2016</v>
      </c>
      <c r="C460">
        <v>3</v>
      </c>
      <c r="D460" t="s">
        <v>8</v>
      </c>
      <c r="E460" t="s">
        <v>9</v>
      </c>
      <c r="F460" t="s">
        <v>21</v>
      </c>
      <c r="G460" t="s">
        <v>35</v>
      </c>
      <c r="H460" s="2">
        <v>81.950672645739914</v>
      </c>
    </row>
    <row r="461" spans="1:8" x14ac:dyDescent="0.35">
      <c r="A461">
        <v>20</v>
      </c>
      <c r="B461">
        <v>2016</v>
      </c>
      <c r="C461">
        <v>4</v>
      </c>
      <c r="D461" t="s">
        <v>8</v>
      </c>
      <c r="E461" t="s">
        <v>9</v>
      </c>
      <c r="F461" t="s">
        <v>21</v>
      </c>
      <c r="G461" t="s">
        <v>35</v>
      </c>
      <c r="H461" s="2">
        <v>84.573894282632139</v>
      </c>
    </row>
    <row r="462" spans="1:8" x14ac:dyDescent="0.35">
      <c r="A462">
        <v>21</v>
      </c>
      <c r="B462">
        <v>2017</v>
      </c>
      <c r="C462">
        <v>1</v>
      </c>
      <c r="D462" t="s">
        <v>8</v>
      </c>
      <c r="E462" t="s">
        <v>9</v>
      </c>
      <c r="F462" t="s">
        <v>21</v>
      </c>
      <c r="G462" t="s">
        <v>35</v>
      </c>
      <c r="H462" s="2">
        <v>83.095499451152577</v>
      </c>
    </row>
    <row r="463" spans="1:8" x14ac:dyDescent="0.35">
      <c r="A463">
        <v>22</v>
      </c>
      <c r="B463">
        <v>2017</v>
      </c>
      <c r="C463">
        <v>2</v>
      </c>
      <c r="D463" t="s">
        <v>8</v>
      </c>
      <c r="E463" t="s">
        <v>9</v>
      </c>
      <c r="F463" t="s">
        <v>21</v>
      </c>
      <c r="G463" t="s">
        <v>35</v>
      </c>
      <c r="H463" s="2">
        <v>82.563025210084035</v>
      </c>
    </row>
    <row r="464" spans="1:8" x14ac:dyDescent="0.35">
      <c r="A464">
        <v>23</v>
      </c>
      <c r="B464">
        <v>2017</v>
      </c>
      <c r="C464">
        <v>3</v>
      </c>
      <c r="D464" t="s">
        <v>8</v>
      </c>
      <c r="E464" t="s">
        <v>9</v>
      </c>
      <c r="F464" t="s">
        <v>21</v>
      </c>
      <c r="G464" t="s">
        <v>35</v>
      </c>
      <c r="H464" s="2">
        <v>81.208791208791212</v>
      </c>
    </row>
    <row r="465" spans="1:8" x14ac:dyDescent="0.35">
      <c r="A465">
        <v>24</v>
      </c>
      <c r="B465">
        <v>2017</v>
      </c>
      <c r="C465">
        <v>4</v>
      </c>
      <c r="D465" t="s">
        <v>8</v>
      </c>
      <c r="E465" t="s">
        <v>9</v>
      </c>
      <c r="F465" t="s">
        <v>21</v>
      </c>
      <c r="G465" t="s">
        <v>35</v>
      </c>
      <c r="H465" s="2">
        <v>81.438998957247136</v>
      </c>
    </row>
    <row r="466" spans="1:8" x14ac:dyDescent="0.35">
      <c r="A466">
        <v>25</v>
      </c>
      <c r="B466">
        <v>2018</v>
      </c>
      <c r="C466">
        <v>1</v>
      </c>
      <c r="D466" t="s">
        <v>8</v>
      </c>
      <c r="E466" t="s">
        <v>9</v>
      </c>
      <c r="F466" t="s">
        <v>21</v>
      </c>
      <c r="G466" t="s">
        <v>35</v>
      </c>
      <c r="H466" s="2">
        <v>80.148619957537164</v>
      </c>
    </row>
    <row r="467" spans="1:8" x14ac:dyDescent="0.35">
      <c r="A467">
        <v>26</v>
      </c>
      <c r="B467">
        <v>2018</v>
      </c>
      <c r="C467">
        <v>2</v>
      </c>
      <c r="D467" t="s">
        <v>8</v>
      </c>
      <c r="E467" t="s">
        <v>9</v>
      </c>
      <c r="F467" t="s">
        <v>21</v>
      </c>
      <c r="G467" t="s">
        <v>35</v>
      </c>
      <c r="H467" s="2">
        <v>78.8</v>
      </c>
    </row>
    <row r="468" spans="1:8" x14ac:dyDescent="0.35">
      <c r="A468">
        <v>27</v>
      </c>
      <c r="B468">
        <v>2018</v>
      </c>
      <c r="C468">
        <v>3</v>
      </c>
      <c r="D468" t="s">
        <v>8</v>
      </c>
      <c r="E468" t="s">
        <v>9</v>
      </c>
      <c r="F468" t="s">
        <v>21</v>
      </c>
      <c r="G468" t="s">
        <v>35</v>
      </c>
      <c r="H468" s="2">
        <v>75.508317929759698</v>
      </c>
    </row>
    <row r="469" spans="1:8" x14ac:dyDescent="0.35">
      <c r="A469">
        <v>28</v>
      </c>
      <c r="B469">
        <v>2018</v>
      </c>
      <c r="C469">
        <v>4</v>
      </c>
      <c r="D469" t="s">
        <v>8</v>
      </c>
      <c r="E469" t="s">
        <v>9</v>
      </c>
      <c r="F469" t="s">
        <v>21</v>
      </c>
      <c r="G469" t="s">
        <v>35</v>
      </c>
      <c r="H469" s="2">
        <v>76</v>
      </c>
    </row>
    <row r="470" spans="1:8" x14ac:dyDescent="0.35">
      <c r="A470">
        <v>29</v>
      </c>
      <c r="B470">
        <v>2019</v>
      </c>
      <c r="C470">
        <v>1</v>
      </c>
      <c r="D470" t="s">
        <v>8</v>
      </c>
      <c r="E470" t="s">
        <v>9</v>
      </c>
      <c r="F470" t="s">
        <v>21</v>
      </c>
      <c r="G470" t="s">
        <v>35</v>
      </c>
      <c r="H470" s="2">
        <v>75.157515751575161</v>
      </c>
    </row>
    <row r="471" spans="1:8" x14ac:dyDescent="0.35">
      <c r="A471">
        <v>30</v>
      </c>
      <c r="B471">
        <v>2019</v>
      </c>
      <c r="C471">
        <v>2</v>
      </c>
      <c r="D471" t="s">
        <v>8</v>
      </c>
      <c r="E471" t="s">
        <v>9</v>
      </c>
      <c r="F471" t="s">
        <v>21</v>
      </c>
      <c r="G471" t="s">
        <v>35</v>
      </c>
      <c r="H471" s="2">
        <v>76.360392506690459</v>
      </c>
    </row>
    <row r="472" spans="1:8" x14ac:dyDescent="0.35">
      <c r="A472">
        <v>31</v>
      </c>
      <c r="B472">
        <v>2019</v>
      </c>
      <c r="C472">
        <v>3</v>
      </c>
      <c r="D472" t="s">
        <v>8</v>
      </c>
      <c r="E472" t="s">
        <v>9</v>
      </c>
      <c r="F472" t="s">
        <v>21</v>
      </c>
      <c r="G472" t="s">
        <v>35</v>
      </c>
      <c r="H472" s="2">
        <v>78.715596330275233</v>
      </c>
    </row>
    <row r="473" spans="1:8" x14ac:dyDescent="0.35">
      <c r="A473">
        <v>32</v>
      </c>
      <c r="B473">
        <v>2019</v>
      </c>
      <c r="C473">
        <v>4</v>
      </c>
      <c r="D473" t="s">
        <v>8</v>
      </c>
      <c r="E473" t="s">
        <v>9</v>
      </c>
      <c r="F473" t="s">
        <v>21</v>
      </c>
      <c r="G473" t="s">
        <v>35</v>
      </c>
      <c r="H473" s="2">
        <v>78.494623655913969</v>
      </c>
    </row>
    <row r="474" spans="1:8" x14ac:dyDescent="0.35">
      <c r="A474">
        <v>33</v>
      </c>
      <c r="B474">
        <v>2020</v>
      </c>
      <c r="C474">
        <v>1</v>
      </c>
      <c r="D474" t="s">
        <v>8</v>
      </c>
      <c r="E474" t="s">
        <v>9</v>
      </c>
      <c r="F474" t="s">
        <v>21</v>
      </c>
      <c r="G474" t="s">
        <v>35</v>
      </c>
      <c r="H474" s="2">
        <v>80.603842634949686</v>
      </c>
    </row>
    <row r="475" spans="1:8" x14ac:dyDescent="0.35">
      <c r="A475">
        <v>34</v>
      </c>
      <c r="B475">
        <v>2020</v>
      </c>
      <c r="C475">
        <v>2</v>
      </c>
      <c r="D475" t="s">
        <v>8</v>
      </c>
      <c r="E475" t="s">
        <v>9</v>
      </c>
      <c r="F475" t="s">
        <v>21</v>
      </c>
      <c r="G475" t="s">
        <v>35</v>
      </c>
      <c r="H475" s="2">
        <v>80.606060606060609</v>
      </c>
    </row>
    <row r="476" spans="1:8" x14ac:dyDescent="0.35">
      <c r="A476">
        <v>35</v>
      </c>
      <c r="B476">
        <v>2020</v>
      </c>
      <c r="C476">
        <v>3</v>
      </c>
      <c r="D476" t="s">
        <v>8</v>
      </c>
      <c r="E476" t="s">
        <v>9</v>
      </c>
      <c r="F476" t="s">
        <v>21</v>
      </c>
      <c r="G476" t="s">
        <v>35</v>
      </c>
      <c r="H476" s="2">
        <v>85.933806146572095</v>
      </c>
    </row>
    <row r="477" spans="1:8" x14ac:dyDescent="0.35">
      <c r="A477">
        <v>36</v>
      </c>
      <c r="B477">
        <v>2020</v>
      </c>
      <c r="C477">
        <v>4</v>
      </c>
      <c r="D477" t="s">
        <v>8</v>
      </c>
      <c r="E477" t="s">
        <v>9</v>
      </c>
      <c r="F477" t="s">
        <v>21</v>
      </c>
      <c r="G477" t="s">
        <v>35</v>
      </c>
      <c r="H477" s="2">
        <v>81.92893401015229</v>
      </c>
    </row>
    <row r="478" spans="1:8" x14ac:dyDescent="0.35">
      <c r="A478">
        <v>37</v>
      </c>
      <c r="B478">
        <v>2021</v>
      </c>
      <c r="C478">
        <v>1</v>
      </c>
      <c r="D478" t="s">
        <v>8</v>
      </c>
      <c r="E478" t="s">
        <v>9</v>
      </c>
      <c r="F478" t="s">
        <v>21</v>
      </c>
      <c r="G478" t="s">
        <v>35</v>
      </c>
      <c r="H478" s="2">
        <v>80.708294501397944</v>
      </c>
    </row>
    <row r="479" spans="1:8" x14ac:dyDescent="0.35">
      <c r="A479">
        <v>38</v>
      </c>
      <c r="B479">
        <v>2021</v>
      </c>
      <c r="C479">
        <v>2</v>
      </c>
      <c r="D479" t="s">
        <v>8</v>
      </c>
      <c r="E479" t="s">
        <v>9</v>
      </c>
      <c r="F479" t="s">
        <v>21</v>
      </c>
      <c r="G479" t="s">
        <v>35</v>
      </c>
      <c r="H479" s="2">
        <v>79.945799457994582</v>
      </c>
    </row>
    <row r="480" spans="1:8" x14ac:dyDescent="0.35">
      <c r="A480">
        <v>39</v>
      </c>
      <c r="B480">
        <v>2021</v>
      </c>
      <c r="C480">
        <v>3</v>
      </c>
      <c r="D480" t="s">
        <v>8</v>
      </c>
      <c r="E480" t="s">
        <v>9</v>
      </c>
      <c r="F480" t="s">
        <v>21</v>
      </c>
      <c r="G480" t="s">
        <v>35</v>
      </c>
      <c r="H480" s="2">
        <v>78.135888501742158</v>
      </c>
    </row>
    <row r="481" spans="1:8" x14ac:dyDescent="0.35">
      <c r="A481">
        <v>40</v>
      </c>
      <c r="B481">
        <v>2021</v>
      </c>
      <c r="C481">
        <v>4</v>
      </c>
      <c r="D481" t="s">
        <v>8</v>
      </c>
      <c r="E481" t="s">
        <v>9</v>
      </c>
      <c r="F481" t="s">
        <v>21</v>
      </c>
      <c r="G481" t="s">
        <v>35</v>
      </c>
      <c r="H481" s="2">
        <v>71.722365038560412</v>
      </c>
    </row>
    <row r="482" spans="1:8" x14ac:dyDescent="0.35">
      <c r="A482">
        <v>1</v>
      </c>
      <c r="B482">
        <v>2012</v>
      </c>
      <c r="C482">
        <v>1</v>
      </c>
      <c r="D482" t="s">
        <v>8</v>
      </c>
      <c r="E482" t="s">
        <v>9</v>
      </c>
      <c r="F482" t="s">
        <v>22</v>
      </c>
      <c r="G482" t="s">
        <v>36</v>
      </c>
      <c r="H482" s="2">
        <v>97.297297297297305</v>
      </c>
    </row>
    <row r="483" spans="1:8" x14ac:dyDescent="0.35">
      <c r="A483">
        <v>2</v>
      </c>
      <c r="B483">
        <v>2012</v>
      </c>
      <c r="C483">
        <v>2</v>
      </c>
      <c r="D483" t="s">
        <v>8</v>
      </c>
      <c r="E483" t="s">
        <v>9</v>
      </c>
      <c r="F483" t="s">
        <v>22</v>
      </c>
      <c r="G483" t="s">
        <v>36</v>
      </c>
      <c r="H483" s="2">
        <v>97.590361445783131</v>
      </c>
    </row>
    <row r="484" spans="1:8" x14ac:dyDescent="0.35">
      <c r="A484">
        <v>3</v>
      </c>
      <c r="B484">
        <v>2012</v>
      </c>
      <c r="C484">
        <v>3</v>
      </c>
      <c r="D484" t="s">
        <v>8</v>
      </c>
      <c r="E484" t="s">
        <v>9</v>
      </c>
      <c r="F484" t="s">
        <v>22</v>
      </c>
      <c r="G484" t="s">
        <v>36</v>
      </c>
      <c r="H484" s="2">
        <v>99.033816425120762</v>
      </c>
    </row>
    <row r="485" spans="1:8" x14ac:dyDescent="0.35">
      <c r="A485">
        <v>4</v>
      </c>
      <c r="B485">
        <v>2012</v>
      </c>
      <c r="C485">
        <v>4</v>
      </c>
      <c r="D485" t="s">
        <v>8</v>
      </c>
      <c r="E485" t="s">
        <v>9</v>
      </c>
      <c r="F485" t="s">
        <v>22</v>
      </c>
      <c r="G485" t="s">
        <v>36</v>
      </c>
      <c r="H485" s="2">
        <v>97.881355932203391</v>
      </c>
    </row>
    <row r="486" spans="1:8" x14ac:dyDescent="0.35">
      <c r="A486">
        <v>5</v>
      </c>
      <c r="B486">
        <v>2013</v>
      </c>
      <c r="C486">
        <v>1</v>
      </c>
      <c r="D486" t="s">
        <v>8</v>
      </c>
      <c r="E486" t="s">
        <v>9</v>
      </c>
      <c r="F486" t="s">
        <v>22</v>
      </c>
      <c r="G486" t="s">
        <v>36</v>
      </c>
      <c r="H486" s="2">
        <v>98.067632850241552</v>
      </c>
    </row>
    <row r="487" spans="1:8" x14ac:dyDescent="0.35">
      <c r="A487">
        <v>6</v>
      </c>
      <c r="B487">
        <v>2013</v>
      </c>
      <c r="C487">
        <v>2</v>
      </c>
      <c r="D487" t="s">
        <v>8</v>
      </c>
      <c r="E487" t="s">
        <v>9</v>
      </c>
      <c r="F487" t="s">
        <v>22</v>
      </c>
      <c r="G487" t="s">
        <v>36</v>
      </c>
      <c r="H487" s="2">
        <v>97.47899159663865</v>
      </c>
    </row>
    <row r="488" spans="1:8" x14ac:dyDescent="0.35">
      <c r="A488">
        <v>7</v>
      </c>
      <c r="B488">
        <v>2013</v>
      </c>
      <c r="C488">
        <v>3</v>
      </c>
      <c r="D488" t="s">
        <v>8</v>
      </c>
      <c r="E488" t="s">
        <v>9</v>
      </c>
      <c r="F488" t="s">
        <v>22</v>
      </c>
      <c r="G488" t="s">
        <v>36</v>
      </c>
      <c r="H488" s="2">
        <v>96.5</v>
      </c>
    </row>
    <row r="489" spans="1:8" x14ac:dyDescent="0.35">
      <c r="A489">
        <v>8</v>
      </c>
      <c r="B489">
        <v>2013</v>
      </c>
      <c r="C489">
        <v>4</v>
      </c>
      <c r="D489" t="s">
        <v>8</v>
      </c>
      <c r="E489" t="s">
        <v>9</v>
      </c>
      <c r="F489" t="s">
        <v>22</v>
      </c>
      <c r="G489" t="s">
        <v>36</v>
      </c>
      <c r="H489" s="2">
        <v>97.727272727272734</v>
      </c>
    </row>
    <row r="490" spans="1:8" x14ac:dyDescent="0.35">
      <c r="A490">
        <v>9</v>
      </c>
      <c r="B490">
        <v>2014</v>
      </c>
      <c r="C490">
        <v>1</v>
      </c>
      <c r="D490" t="s">
        <v>8</v>
      </c>
      <c r="E490" t="s">
        <v>9</v>
      </c>
      <c r="F490" t="s">
        <v>22</v>
      </c>
      <c r="G490" t="s">
        <v>36</v>
      </c>
      <c r="H490" s="2">
        <v>96.460176991150433</v>
      </c>
    </row>
    <row r="491" spans="1:8" x14ac:dyDescent="0.35">
      <c r="A491">
        <v>10</v>
      </c>
      <c r="B491">
        <v>2014</v>
      </c>
      <c r="C491">
        <v>2</v>
      </c>
      <c r="D491" t="s">
        <v>8</v>
      </c>
      <c r="E491" t="s">
        <v>9</v>
      </c>
      <c r="F491" t="s">
        <v>22</v>
      </c>
      <c r="G491" t="s">
        <v>36</v>
      </c>
      <c r="H491" s="2">
        <v>97.21254355400697</v>
      </c>
    </row>
    <row r="492" spans="1:8" x14ac:dyDescent="0.35">
      <c r="A492">
        <v>11</v>
      </c>
      <c r="B492">
        <v>2014</v>
      </c>
      <c r="C492">
        <v>3</v>
      </c>
      <c r="D492" t="s">
        <v>8</v>
      </c>
      <c r="E492" t="s">
        <v>9</v>
      </c>
      <c r="F492" t="s">
        <v>22</v>
      </c>
      <c r="G492" t="s">
        <v>36</v>
      </c>
      <c r="H492" s="2">
        <v>97.959183673469383</v>
      </c>
    </row>
    <row r="493" spans="1:8" x14ac:dyDescent="0.35">
      <c r="A493">
        <v>12</v>
      </c>
      <c r="B493">
        <v>2014</v>
      </c>
      <c r="C493">
        <v>4</v>
      </c>
      <c r="D493" t="s">
        <v>8</v>
      </c>
      <c r="E493" t="s">
        <v>9</v>
      </c>
      <c r="F493" t="s">
        <v>22</v>
      </c>
      <c r="G493" t="s">
        <v>36</v>
      </c>
      <c r="H493" s="2">
        <v>96.761133603238875</v>
      </c>
    </row>
    <row r="494" spans="1:8" x14ac:dyDescent="0.35">
      <c r="A494">
        <v>13</v>
      </c>
      <c r="B494">
        <v>2015</v>
      </c>
      <c r="C494">
        <v>1</v>
      </c>
      <c r="D494" t="s">
        <v>8</v>
      </c>
      <c r="E494" t="s">
        <v>9</v>
      </c>
      <c r="F494" t="s">
        <v>22</v>
      </c>
      <c r="G494" t="s">
        <v>36</v>
      </c>
      <c r="H494" s="2">
        <v>98.122065727699521</v>
      </c>
    </row>
    <row r="495" spans="1:8" x14ac:dyDescent="0.35">
      <c r="A495">
        <v>14</v>
      </c>
      <c r="B495">
        <v>2015</v>
      </c>
      <c r="C495">
        <v>2</v>
      </c>
      <c r="D495" t="s">
        <v>8</v>
      </c>
      <c r="E495" t="s">
        <v>9</v>
      </c>
      <c r="F495" t="s">
        <v>22</v>
      </c>
      <c r="G495" t="s">
        <v>36</v>
      </c>
      <c r="H495" s="2">
        <v>98.23788546255507</v>
      </c>
    </row>
    <row r="496" spans="1:8" x14ac:dyDescent="0.35">
      <c r="A496">
        <v>15</v>
      </c>
      <c r="B496">
        <v>2015</v>
      </c>
      <c r="C496">
        <v>3</v>
      </c>
      <c r="D496" t="s">
        <v>8</v>
      </c>
      <c r="E496" t="s">
        <v>9</v>
      </c>
      <c r="F496" t="s">
        <v>22</v>
      </c>
      <c r="G496" t="s">
        <v>36</v>
      </c>
      <c r="H496" s="2">
        <v>96.638655462184872</v>
      </c>
    </row>
    <row r="497" spans="1:8" x14ac:dyDescent="0.35">
      <c r="A497">
        <v>16</v>
      </c>
      <c r="B497">
        <v>2015</v>
      </c>
      <c r="C497">
        <v>4</v>
      </c>
      <c r="D497" t="s">
        <v>8</v>
      </c>
      <c r="E497" t="s">
        <v>9</v>
      </c>
      <c r="F497" t="s">
        <v>22</v>
      </c>
      <c r="G497" t="s">
        <v>36</v>
      </c>
      <c r="H497" s="2">
        <v>95.33898305084746</v>
      </c>
    </row>
    <row r="498" spans="1:8" x14ac:dyDescent="0.35">
      <c r="A498">
        <v>17</v>
      </c>
      <c r="B498">
        <v>2016</v>
      </c>
      <c r="C498">
        <v>1</v>
      </c>
      <c r="D498" t="s">
        <v>8</v>
      </c>
      <c r="E498" t="s">
        <v>9</v>
      </c>
      <c r="F498" t="s">
        <v>22</v>
      </c>
      <c r="G498" t="s">
        <v>36</v>
      </c>
      <c r="H498" s="2">
        <v>97.391304347826093</v>
      </c>
    </row>
    <row r="499" spans="1:8" x14ac:dyDescent="0.35">
      <c r="A499">
        <v>18</v>
      </c>
      <c r="B499">
        <v>2016</v>
      </c>
      <c r="C499">
        <v>2</v>
      </c>
      <c r="D499" t="s">
        <v>8</v>
      </c>
      <c r="E499" t="s">
        <v>9</v>
      </c>
      <c r="F499" t="s">
        <v>22</v>
      </c>
      <c r="G499" t="s">
        <v>36</v>
      </c>
      <c r="H499" s="2">
        <v>95.620437956204384</v>
      </c>
    </row>
    <row r="500" spans="1:8" x14ac:dyDescent="0.35">
      <c r="A500">
        <v>19</v>
      </c>
      <c r="B500">
        <v>2016</v>
      </c>
      <c r="C500">
        <v>3</v>
      </c>
      <c r="D500" t="s">
        <v>8</v>
      </c>
      <c r="E500" t="s">
        <v>9</v>
      </c>
      <c r="F500" t="s">
        <v>22</v>
      </c>
      <c r="G500" t="s">
        <v>36</v>
      </c>
      <c r="H500" s="2">
        <v>97.718631178707227</v>
      </c>
    </row>
    <row r="501" spans="1:8" x14ac:dyDescent="0.35">
      <c r="A501">
        <v>20</v>
      </c>
      <c r="B501">
        <v>2016</v>
      </c>
      <c r="C501">
        <v>4</v>
      </c>
      <c r="D501" t="s">
        <v>8</v>
      </c>
      <c r="E501" t="s">
        <v>9</v>
      </c>
      <c r="F501" t="s">
        <v>22</v>
      </c>
      <c r="G501" t="s">
        <v>36</v>
      </c>
      <c r="H501" s="2">
        <v>97.747747747747752</v>
      </c>
    </row>
    <row r="502" spans="1:8" x14ac:dyDescent="0.35">
      <c r="A502">
        <v>21</v>
      </c>
      <c r="B502">
        <v>2017</v>
      </c>
      <c r="C502">
        <v>1</v>
      </c>
      <c r="D502" t="s">
        <v>8</v>
      </c>
      <c r="E502" t="s">
        <v>9</v>
      </c>
      <c r="F502" t="s">
        <v>22</v>
      </c>
      <c r="G502" t="s">
        <v>36</v>
      </c>
      <c r="H502" s="2">
        <v>97.435897435897431</v>
      </c>
    </row>
    <row r="503" spans="1:8" x14ac:dyDescent="0.35">
      <c r="A503">
        <v>22</v>
      </c>
      <c r="B503">
        <v>2017</v>
      </c>
      <c r="C503">
        <v>2</v>
      </c>
      <c r="D503" t="s">
        <v>8</v>
      </c>
      <c r="E503" t="s">
        <v>9</v>
      </c>
      <c r="F503" t="s">
        <v>22</v>
      </c>
      <c r="G503" t="s">
        <v>36</v>
      </c>
      <c r="H503" s="2">
        <v>96.15384615384616</v>
      </c>
    </row>
    <row r="504" spans="1:8" x14ac:dyDescent="0.35">
      <c r="A504">
        <v>23</v>
      </c>
      <c r="B504">
        <v>2017</v>
      </c>
      <c r="C504">
        <v>3</v>
      </c>
      <c r="D504" t="s">
        <v>8</v>
      </c>
      <c r="E504" t="s">
        <v>9</v>
      </c>
      <c r="F504" t="s">
        <v>22</v>
      </c>
      <c r="G504" t="s">
        <v>36</v>
      </c>
      <c r="H504" s="2">
        <v>95.723684210526315</v>
      </c>
    </row>
    <row r="505" spans="1:8" x14ac:dyDescent="0.35">
      <c r="A505">
        <v>24</v>
      </c>
      <c r="B505">
        <v>2017</v>
      </c>
      <c r="C505">
        <v>4</v>
      </c>
      <c r="D505" t="s">
        <v>8</v>
      </c>
      <c r="E505" t="s">
        <v>9</v>
      </c>
      <c r="F505" t="s">
        <v>22</v>
      </c>
      <c r="G505" t="s">
        <v>36</v>
      </c>
      <c r="H505" s="2">
        <v>96.638655462184872</v>
      </c>
    </row>
    <row r="506" spans="1:8" x14ac:dyDescent="0.35">
      <c r="A506">
        <v>25</v>
      </c>
      <c r="B506">
        <v>2018</v>
      </c>
      <c r="C506">
        <v>1</v>
      </c>
      <c r="D506" t="s">
        <v>8</v>
      </c>
      <c r="E506" t="s">
        <v>9</v>
      </c>
      <c r="F506" t="s">
        <v>22</v>
      </c>
      <c r="G506" t="s">
        <v>36</v>
      </c>
      <c r="H506" s="2">
        <v>97.416974169741692</v>
      </c>
    </row>
    <row r="507" spans="1:8" x14ac:dyDescent="0.35">
      <c r="A507">
        <v>26</v>
      </c>
      <c r="B507">
        <v>2018</v>
      </c>
      <c r="C507">
        <v>2</v>
      </c>
      <c r="D507" t="s">
        <v>8</v>
      </c>
      <c r="E507" t="s">
        <v>9</v>
      </c>
      <c r="F507" t="s">
        <v>22</v>
      </c>
      <c r="G507" t="s">
        <v>36</v>
      </c>
      <c r="H507" s="2">
        <v>96.407185628742525</v>
      </c>
    </row>
    <row r="508" spans="1:8" x14ac:dyDescent="0.35">
      <c r="A508">
        <v>27</v>
      </c>
      <c r="B508">
        <v>2018</v>
      </c>
      <c r="C508">
        <v>3</v>
      </c>
      <c r="D508" t="s">
        <v>8</v>
      </c>
      <c r="E508" t="s">
        <v>9</v>
      </c>
      <c r="F508" t="s">
        <v>22</v>
      </c>
      <c r="G508" t="s">
        <v>36</v>
      </c>
      <c r="H508" s="2">
        <v>97.115384615384613</v>
      </c>
    </row>
    <row r="509" spans="1:8" x14ac:dyDescent="0.35">
      <c r="A509">
        <v>28</v>
      </c>
      <c r="B509">
        <v>2018</v>
      </c>
      <c r="C509">
        <v>4</v>
      </c>
      <c r="D509" t="s">
        <v>8</v>
      </c>
      <c r="E509" t="s">
        <v>9</v>
      </c>
      <c r="F509" t="s">
        <v>22</v>
      </c>
      <c r="G509" t="s">
        <v>36</v>
      </c>
      <c r="H509" s="2">
        <v>97.394136807817588</v>
      </c>
    </row>
    <row r="510" spans="1:8" x14ac:dyDescent="0.35">
      <c r="A510">
        <v>29</v>
      </c>
      <c r="B510">
        <v>2019</v>
      </c>
      <c r="C510">
        <v>1</v>
      </c>
      <c r="D510" t="s">
        <v>8</v>
      </c>
      <c r="E510" t="s">
        <v>9</v>
      </c>
      <c r="F510" t="s">
        <v>22</v>
      </c>
      <c r="G510" t="s">
        <v>36</v>
      </c>
      <c r="H510" s="2">
        <v>98.71794871794873</v>
      </c>
    </row>
    <row r="511" spans="1:8" x14ac:dyDescent="0.35">
      <c r="A511">
        <v>30</v>
      </c>
      <c r="B511">
        <v>2019</v>
      </c>
      <c r="C511">
        <v>2</v>
      </c>
      <c r="D511" t="s">
        <v>8</v>
      </c>
      <c r="E511" t="s">
        <v>9</v>
      </c>
      <c r="F511" t="s">
        <v>22</v>
      </c>
      <c r="G511" t="s">
        <v>36</v>
      </c>
      <c r="H511" s="2">
        <v>97.720797720797719</v>
      </c>
    </row>
    <row r="512" spans="1:8" x14ac:dyDescent="0.35">
      <c r="A512">
        <v>31</v>
      </c>
      <c r="B512">
        <v>2019</v>
      </c>
      <c r="C512">
        <v>3</v>
      </c>
      <c r="D512" t="s">
        <v>8</v>
      </c>
      <c r="E512" t="s">
        <v>9</v>
      </c>
      <c r="F512" t="s">
        <v>22</v>
      </c>
      <c r="G512" t="s">
        <v>36</v>
      </c>
      <c r="H512" s="2">
        <v>97.878787878787875</v>
      </c>
    </row>
    <row r="513" spans="1:8" x14ac:dyDescent="0.35">
      <c r="A513">
        <v>32</v>
      </c>
      <c r="B513">
        <v>2019</v>
      </c>
      <c r="C513">
        <v>4</v>
      </c>
      <c r="D513" t="s">
        <v>8</v>
      </c>
      <c r="E513" t="s">
        <v>9</v>
      </c>
      <c r="F513" t="s">
        <v>22</v>
      </c>
      <c r="G513" t="s">
        <v>36</v>
      </c>
      <c r="H513" s="2">
        <v>98.281786941580748</v>
      </c>
    </row>
    <row r="514" spans="1:8" x14ac:dyDescent="0.35">
      <c r="A514">
        <v>33</v>
      </c>
      <c r="B514">
        <v>2020</v>
      </c>
      <c r="C514">
        <v>1</v>
      </c>
      <c r="D514" t="s">
        <v>8</v>
      </c>
      <c r="E514" t="s">
        <v>9</v>
      </c>
      <c r="F514" t="s">
        <v>22</v>
      </c>
      <c r="G514" t="s">
        <v>36</v>
      </c>
      <c r="H514" s="2">
        <v>97.994269340974213</v>
      </c>
    </row>
    <row r="515" spans="1:8" x14ac:dyDescent="0.35">
      <c r="A515">
        <v>34</v>
      </c>
      <c r="B515">
        <v>2020</v>
      </c>
      <c r="C515">
        <v>2</v>
      </c>
      <c r="D515" t="s">
        <v>8</v>
      </c>
      <c r="E515" t="s">
        <v>9</v>
      </c>
      <c r="F515" t="s">
        <v>22</v>
      </c>
      <c r="G515" t="s">
        <v>36</v>
      </c>
      <c r="H515" s="2">
        <v>92.592592592592595</v>
      </c>
    </row>
    <row r="516" spans="1:8" x14ac:dyDescent="0.35">
      <c r="A516">
        <v>35</v>
      </c>
      <c r="B516">
        <v>2020</v>
      </c>
      <c r="C516">
        <v>3</v>
      </c>
      <c r="D516" t="s">
        <v>8</v>
      </c>
      <c r="E516" t="s">
        <v>9</v>
      </c>
      <c r="F516" t="s">
        <v>22</v>
      </c>
      <c r="G516" t="s">
        <v>36</v>
      </c>
      <c r="H516" s="2">
        <v>90.566037735849065</v>
      </c>
    </row>
    <row r="517" spans="1:8" x14ac:dyDescent="0.35">
      <c r="A517">
        <v>36</v>
      </c>
      <c r="B517">
        <v>2020</v>
      </c>
      <c r="C517">
        <v>4</v>
      </c>
      <c r="D517" t="s">
        <v>8</v>
      </c>
      <c r="E517" t="s">
        <v>9</v>
      </c>
      <c r="F517" t="s">
        <v>22</v>
      </c>
      <c r="G517" t="s">
        <v>36</v>
      </c>
      <c r="H517" s="2">
        <v>91.558441558441558</v>
      </c>
    </row>
    <row r="518" spans="1:8" x14ac:dyDescent="0.35">
      <c r="A518">
        <v>37</v>
      </c>
      <c r="B518">
        <v>2021</v>
      </c>
      <c r="C518">
        <v>1</v>
      </c>
      <c r="D518" t="s">
        <v>8</v>
      </c>
      <c r="E518" t="s">
        <v>9</v>
      </c>
      <c r="F518" t="s">
        <v>22</v>
      </c>
      <c r="G518" t="s">
        <v>36</v>
      </c>
      <c r="H518" s="2">
        <v>92.72727272727272</v>
      </c>
    </row>
    <row r="519" spans="1:8" x14ac:dyDescent="0.35">
      <c r="A519">
        <v>38</v>
      </c>
      <c r="B519">
        <v>2021</v>
      </c>
      <c r="C519">
        <v>2</v>
      </c>
      <c r="D519" t="s">
        <v>8</v>
      </c>
      <c r="E519" t="s">
        <v>9</v>
      </c>
      <c r="F519" t="s">
        <v>22</v>
      </c>
      <c r="G519" t="s">
        <v>36</v>
      </c>
      <c r="H519" s="2">
        <v>92.857142857142861</v>
      </c>
    </row>
    <row r="520" spans="1:8" x14ac:dyDescent="0.35">
      <c r="A520">
        <v>39</v>
      </c>
      <c r="B520">
        <v>2021</v>
      </c>
      <c r="C520">
        <v>3</v>
      </c>
      <c r="D520" t="s">
        <v>8</v>
      </c>
      <c r="E520" t="s">
        <v>9</v>
      </c>
      <c r="F520" t="s">
        <v>22</v>
      </c>
      <c r="G520" t="s">
        <v>36</v>
      </c>
      <c r="H520" s="2">
        <v>89.117647058823536</v>
      </c>
    </row>
    <row r="521" spans="1:8" x14ac:dyDescent="0.35">
      <c r="A521">
        <v>40</v>
      </c>
      <c r="B521">
        <v>2021</v>
      </c>
      <c r="C521">
        <v>4</v>
      </c>
      <c r="D521" t="s">
        <v>8</v>
      </c>
      <c r="E521" t="s">
        <v>9</v>
      </c>
      <c r="F521" t="s">
        <v>22</v>
      </c>
      <c r="G521" t="s">
        <v>36</v>
      </c>
      <c r="H521" s="2">
        <v>81.502890173410407</v>
      </c>
    </row>
    <row r="522" spans="1:8" x14ac:dyDescent="0.35">
      <c r="A522">
        <v>1</v>
      </c>
      <c r="B522">
        <v>2012</v>
      </c>
      <c r="C522">
        <v>1</v>
      </c>
      <c r="D522" t="s">
        <v>8</v>
      </c>
      <c r="E522" t="s">
        <v>9</v>
      </c>
      <c r="F522" t="s">
        <v>23</v>
      </c>
      <c r="G522" t="s">
        <v>37</v>
      </c>
      <c r="H522" s="2">
        <v>92.307692307692307</v>
      </c>
    </row>
    <row r="523" spans="1:8" x14ac:dyDescent="0.35">
      <c r="A523">
        <v>2</v>
      </c>
      <c r="B523">
        <v>2012</v>
      </c>
      <c r="C523">
        <v>2</v>
      </c>
      <c r="D523" t="s">
        <v>8</v>
      </c>
      <c r="E523" t="s">
        <v>9</v>
      </c>
      <c r="F523" t="s">
        <v>23</v>
      </c>
      <c r="G523" t="s">
        <v>37</v>
      </c>
      <c r="H523" s="2">
        <v>86.842105263157904</v>
      </c>
    </row>
    <row r="524" spans="1:8" x14ac:dyDescent="0.35">
      <c r="A524">
        <v>3</v>
      </c>
      <c r="B524">
        <v>2012</v>
      </c>
      <c r="C524">
        <v>3</v>
      </c>
      <c r="D524" t="s">
        <v>8</v>
      </c>
      <c r="E524" t="s">
        <v>9</v>
      </c>
      <c r="F524" t="s">
        <v>23</v>
      </c>
      <c r="G524" t="s">
        <v>37</v>
      </c>
      <c r="H524" s="2">
        <v>82.35294117647058</v>
      </c>
    </row>
    <row r="525" spans="1:8" x14ac:dyDescent="0.35">
      <c r="A525">
        <v>4</v>
      </c>
      <c r="B525">
        <v>2012</v>
      </c>
      <c r="C525">
        <v>4</v>
      </c>
      <c r="D525" t="s">
        <v>8</v>
      </c>
      <c r="E525" t="s">
        <v>9</v>
      </c>
      <c r="F525" t="s">
        <v>23</v>
      </c>
      <c r="G525" t="s">
        <v>37</v>
      </c>
      <c r="H525" s="2">
        <v>86.486486486486484</v>
      </c>
    </row>
    <row r="526" spans="1:8" x14ac:dyDescent="0.35">
      <c r="A526">
        <v>5</v>
      </c>
      <c r="B526">
        <v>2013</v>
      </c>
      <c r="C526">
        <v>1</v>
      </c>
      <c r="D526" t="s">
        <v>8</v>
      </c>
      <c r="E526" t="s">
        <v>9</v>
      </c>
      <c r="F526" t="s">
        <v>23</v>
      </c>
      <c r="G526" t="s">
        <v>37</v>
      </c>
      <c r="H526" s="2">
        <v>85</v>
      </c>
    </row>
    <row r="527" spans="1:8" x14ac:dyDescent="0.35">
      <c r="A527">
        <v>6</v>
      </c>
      <c r="B527">
        <v>2013</v>
      </c>
      <c r="C527">
        <v>2</v>
      </c>
      <c r="D527" t="s">
        <v>8</v>
      </c>
      <c r="E527" t="s">
        <v>9</v>
      </c>
      <c r="F527" t="s">
        <v>23</v>
      </c>
      <c r="G527" t="s">
        <v>37</v>
      </c>
      <c r="H527" s="2">
        <v>91.17647058823529</v>
      </c>
    </row>
    <row r="528" spans="1:8" x14ac:dyDescent="0.35">
      <c r="A528">
        <v>7</v>
      </c>
      <c r="B528">
        <v>2013</v>
      </c>
      <c r="C528">
        <v>3</v>
      </c>
      <c r="D528" t="s">
        <v>8</v>
      </c>
      <c r="E528" t="s">
        <v>9</v>
      </c>
      <c r="F528" t="s">
        <v>23</v>
      </c>
      <c r="G528" t="s">
        <v>37</v>
      </c>
      <c r="H528" s="2">
        <v>89.189189189189193</v>
      </c>
    </row>
    <row r="529" spans="1:8" x14ac:dyDescent="0.35">
      <c r="A529">
        <v>8</v>
      </c>
      <c r="B529">
        <v>2013</v>
      </c>
      <c r="C529">
        <v>4</v>
      </c>
      <c r="D529" t="s">
        <v>8</v>
      </c>
      <c r="E529" t="s">
        <v>9</v>
      </c>
      <c r="F529" t="s">
        <v>23</v>
      </c>
      <c r="G529" t="s">
        <v>37</v>
      </c>
      <c r="H529" s="2">
        <v>81.578947368421055</v>
      </c>
    </row>
    <row r="530" spans="1:8" x14ac:dyDescent="0.35">
      <c r="A530">
        <v>9</v>
      </c>
      <c r="B530">
        <v>2014</v>
      </c>
      <c r="C530">
        <v>1</v>
      </c>
      <c r="D530" t="s">
        <v>8</v>
      </c>
      <c r="E530" t="s">
        <v>9</v>
      </c>
      <c r="F530" t="s">
        <v>23</v>
      </c>
      <c r="G530" t="s">
        <v>37</v>
      </c>
      <c r="H530" s="2">
        <v>84.375</v>
      </c>
    </row>
    <row r="531" spans="1:8" x14ac:dyDescent="0.35">
      <c r="A531">
        <v>10</v>
      </c>
      <c r="B531">
        <v>2014</v>
      </c>
      <c r="C531">
        <v>2</v>
      </c>
      <c r="D531" t="s">
        <v>8</v>
      </c>
      <c r="E531" t="s">
        <v>9</v>
      </c>
      <c r="F531" t="s">
        <v>23</v>
      </c>
      <c r="G531" t="s">
        <v>37</v>
      </c>
      <c r="H531" s="2">
        <v>87.5</v>
      </c>
    </row>
    <row r="532" spans="1:8" x14ac:dyDescent="0.35">
      <c r="A532">
        <v>11</v>
      </c>
      <c r="B532">
        <v>2014</v>
      </c>
      <c r="C532">
        <v>3</v>
      </c>
      <c r="D532" t="s">
        <v>8</v>
      </c>
      <c r="E532" t="s">
        <v>9</v>
      </c>
      <c r="F532" t="s">
        <v>23</v>
      </c>
      <c r="G532" t="s">
        <v>37</v>
      </c>
      <c r="H532" s="2">
        <v>88.095238095238088</v>
      </c>
    </row>
    <row r="533" spans="1:8" x14ac:dyDescent="0.35">
      <c r="A533">
        <v>12</v>
      </c>
      <c r="B533">
        <v>2014</v>
      </c>
      <c r="C533">
        <v>4</v>
      </c>
      <c r="D533" t="s">
        <v>8</v>
      </c>
      <c r="E533" t="s">
        <v>9</v>
      </c>
      <c r="F533" t="s">
        <v>23</v>
      </c>
      <c r="G533" t="s">
        <v>37</v>
      </c>
      <c r="H533" s="2">
        <v>89.285714285714292</v>
      </c>
    </row>
    <row r="534" spans="1:8" x14ac:dyDescent="0.35">
      <c r="A534">
        <v>13</v>
      </c>
      <c r="B534">
        <v>2015</v>
      </c>
      <c r="C534">
        <v>1</v>
      </c>
      <c r="D534" t="s">
        <v>8</v>
      </c>
      <c r="E534" t="s">
        <v>9</v>
      </c>
      <c r="F534" t="s">
        <v>23</v>
      </c>
      <c r="G534" t="s">
        <v>37</v>
      </c>
      <c r="H534" s="2">
        <v>76</v>
      </c>
    </row>
    <row r="535" spans="1:8" x14ac:dyDescent="0.35">
      <c r="A535">
        <v>14</v>
      </c>
      <c r="B535">
        <v>2015</v>
      </c>
      <c r="C535">
        <v>2</v>
      </c>
      <c r="D535" t="s">
        <v>8</v>
      </c>
      <c r="E535" t="s">
        <v>9</v>
      </c>
      <c r="F535" t="s">
        <v>23</v>
      </c>
      <c r="G535" t="s">
        <v>37</v>
      </c>
      <c r="H535" s="2">
        <v>95.454545454545453</v>
      </c>
    </row>
    <row r="536" spans="1:8" x14ac:dyDescent="0.35">
      <c r="A536">
        <v>15</v>
      </c>
      <c r="B536">
        <v>2015</v>
      </c>
      <c r="C536">
        <v>3</v>
      </c>
      <c r="D536" t="s">
        <v>8</v>
      </c>
      <c r="E536" t="s">
        <v>9</v>
      </c>
      <c r="F536" t="s">
        <v>23</v>
      </c>
      <c r="G536" t="s">
        <v>37</v>
      </c>
      <c r="H536" s="2">
        <v>85.714285714285708</v>
      </c>
    </row>
    <row r="537" spans="1:8" x14ac:dyDescent="0.35">
      <c r="A537">
        <v>16</v>
      </c>
      <c r="B537">
        <v>2015</v>
      </c>
      <c r="C537">
        <v>4</v>
      </c>
      <c r="D537" t="s">
        <v>8</v>
      </c>
      <c r="E537" t="s">
        <v>9</v>
      </c>
      <c r="F537" t="s">
        <v>23</v>
      </c>
      <c r="G537" t="s">
        <v>37</v>
      </c>
      <c r="H537" s="2">
        <v>92.307692307692307</v>
      </c>
    </row>
    <row r="538" spans="1:8" x14ac:dyDescent="0.35">
      <c r="A538">
        <v>17</v>
      </c>
      <c r="B538">
        <v>2016</v>
      </c>
      <c r="C538">
        <v>1</v>
      </c>
      <c r="D538" t="s">
        <v>8</v>
      </c>
      <c r="E538" t="s">
        <v>9</v>
      </c>
      <c r="F538" t="s">
        <v>23</v>
      </c>
      <c r="G538" t="s">
        <v>37</v>
      </c>
      <c r="H538" s="2">
        <v>70.588235294117652</v>
      </c>
    </row>
    <row r="539" spans="1:8" x14ac:dyDescent="0.35">
      <c r="A539">
        <v>18</v>
      </c>
      <c r="B539">
        <v>2016</v>
      </c>
      <c r="C539">
        <v>2</v>
      </c>
      <c r="D539" t="s">
        <v>8</v>
      </c>
      <c r="E539" t="s">
        <v>9</v>
      </c>
      <c r="F539" t="s">
        <v>23</v>
      </c>
      <c r="G539" t="s">
        <v>37</v>
      </c>
      <c r="H539" s="2">
        <v>77.142857142857153</v>
      </c>
    </row>
    <row r="540" spans="1:8" x14ac:dyDescent="0.35">
      <c r="A540">
        <v>19</v>
      </c>
      <c r="B540">
        <v>2016</v>
      </c>
      <c r="C540">
        <v>3</v>
      </c>
      <c r="D540" t="s">
        <v>8</v>
      </c>
      <c r="E540" t="s">
        <v>9</v>
      </c>
      <c r="F540" t="s">
        <v>23</v>
      </c>
      <c r="G540" t="s">
        <v>37</v>
      </c>
      <c r="H540" s="2">
        <v>75.555555555555557</v>
      </c>
    </row>
    <row r="541" spans="1:8" x14ac:dyDescent="0.35">
      <c r="A541">
        <v>20</v>
      </c>
      <c r="B541">
        <v>2016</v>
      </c>
      <c r="C541">
        <v>4</v>
      </c>
      <c r="D541" t="s">
        <v>8</v>
      </c>
      <c r="E541" t="s">
        <v>9</v>
      </c>
      <c r="F541" t="s">
        <v>23</v>
      </c>
      <c r="G541" t="s">
        <v>37</v>
      </c>
      <c r="H541" s="2">
        <v>75.609756097560975</v>
      </c>
    </row>
    <row r="542" spans="1:8" x14ac:dyDescent="0.35">
      <c r="A542">
        <v>21</v>
      </c>
      <c r="B542">
        <v>2017</v>
      </c>
      <c r="C542">
        <v>1</v>
      </c>
      <c r="D542" t="s">
        <v>8</v>
      </c>
      <c r="E542" t="s">
        <v>9</v>
      </c>
      <c r="F542" t="s">
        <v>23</v>
      </c>
      <c r="G542" t="s">
        <v>37</v>
      </c>
      <c r="H542" s="2">
        <v>67.441860465116278</v>
      </c>
    </row>
    <row r="543" spans="1:8" x14ac:dyDescent="0.35">
      <c r="A543">
        <v>22</v>
      </c>
      <c r="B543">
        <v>2017</v>
      </c>
      <c r="C543">
        <v>2</v>
      </c>
      <c r="D543" t="s">
        <v>8</v>
      </c>
      <c r="E543" t="s">
        <v>9</v>
      </c>
      <c r="F543" t="s">
        <v>23</v>
      </c>
      <c r="G543" t="s">
        <v>37</v>
      </c>
      <c r="H543" s="2">
        <v>60.869565217391312</v>
      </c>
    </row>
    <row r="544" spans="1:8" x14ac:dyDescent="0.35">
      <c r="A544">
        <v>23</v>
      </c>
      <c r="B544">
        <v>2017</v>
      </c>
      <c r="C544">
        <v>3</v>
      </c>
      <c r="D544" t="s">
        <v>8</v>
      </c>
      <c r="E544" t="s">
        <v>9</v>
      </c>
      <c r="F544" t="s">
        <v>23</v>
      </c>
      <c r="G544" t="s">
        <v>37</v>
      </c>
      <c r="H544" s="2">
        <v>71.05263157894737</v>
      </c>
    </row>
    <row r="545" spans="1:8" x14ac:dyDescent="0.35">
      <c r="A545">
        <v>24</v>
      </c>
      <c r="B545">
        <v>2017</v>
      </c>
      <c r="C545">
        <v>4</v>
      </c>
      <c r="D545" t="s">
        <v>8</v>
      </c>
      <c r="E545" t="s">
        <v>9</v>
      </c>
      <c r="F545" t="s">
        <v>23</v>
      </c>
      <c r="G545" t="s">
        <v>37</v>
      </c>
      <c r="H545" s="2">
        <v>72.727272727272734</v>
      </c>
    </row>
    <row r="546" spans="1:8" x14ac:dyDescent="0.35">
      <c r="A546">
        <v>25</v>
      </c>
      <c r="B546">
        <v>2018</v>
      </c>
      <c r="C546">
        <v>1</v>
      </c>
      <c r="D546" t="s">
        <v>8</v>
      </c>
      <c r="E546" t="s">
        <v>9</v>
      </c>
      <c r="F546" t="s">
        <v>23</v>
      </c>
      <c r="G546" t="s">
        <v>37</v>
      </c>
      <c r="H546" s="2">
        <v>67.567567567567565</v>
      </c>
    </row>
    <row r="547" spans="1:8" x14ac:dyDescent="0.35">
      <c r="A547">
        <v>26</v>
      </c>
      <c r="B547">
        <v>2018</v>
      </c>
      <c r="C547">
        <v>2</v>
      </c>
      <c r="D547" t="s">
        <v>8</v>
      </c>
      <c r="E547" t="s">
        <v>9</v>
      </c>
      <c r="F547" t="s">
        <v>23</v>
      </c>
      <c r="G547" t="s">
        <v>37</v>
      </c>
      <c r="H547" s="2">
        <v>72.727272727272734</v>
      </c>
    </row>
    <row r="548" spans="1:8" x14ac:dyDescent="0.35">
      <c r="A548">
        <v>27</v>
      </c>
      <c r="B548">
        <v>2018</v>
      </c>
      <c r="C548">
        <v>3</v>
      </c>
      <c r="D548" t="s">
        <v>8</v>
      </c>
      <c r="E548" t="s">
        <v>9</v>
      </c>
      <c r="F548" t="s">
        <v>23</v>
      </c>
      <c r="G548" t="s">
        <v>37</v>
      </c>
      <c r="H548" s="2">
        <v>71.428571428571431</v>
      </c>
    </row>
    <row r="549" spans="1:8" x14ac:dyDescent="0.35">
      <c r="A549">
        <v>28</v>
      </c>
      <c r="B549">
        <v>2018</v>
      </c>
      <c r="C549">
        <v>4</v>
      </c>
      <c r="D549" t="s">
        <v>8</v>
      </c>
      <c r="E549" t="s">
        <v>9</v>
      </c>
      <c r="F549" t="s">
        <v>23</v>
      </c>
      <c r="G549" t="s">
        <v>37</v>
      </c>
      <c r="H549" s="2">
        <v>79.411764705882348</v>
      </c>
    </row>
    <row r="550" spans="1:8" x14ac:dyDescent="0.35">
      <c r="A550">
        <v>29</v>
      </c>
      <c r="B550">
        <v>2019</v>
      </c>
      <c r="C550">
        <v>1</v>
      </c>
      <c r="D550" t="s">
        <v>8</v>
      </c>
      <c r="E550" t="s">
        <v>9</v>
      </c>
      <c r="F550" t="s">
        <v>23</v>
      </c>
      <c r="G550" t="s">
        <v>37</v>
      </c>
      <c r="H550" s="2">
        <v>71.428571428571431</v>
      </c>
    </row>
    <row r="551" spans="1:8" x14ac:dyDescent="0.35">
      <c r="A551">
        <v>30</v>
      </c>
      <c r="B551">
        <v>2019</v>
      </c>
      <c r="C551">
        <v>2</v>
      </c>
      <c r="D551" t="s">
        <v>8</v>
      </c>
      <c r="E551" t="s">
        <v>9</v>
      </c>
      <c r="F551" t="s">
        <v>23</v>
      </c>
      <c r="G551" t="s">
        <v>37</v>
      </c>
      <c r="H551" s="2">
        <v>60</v>
      </c>
    </row>
    <row r="552" spans="1:8" x14ac:dyDescent="0.35">
      <c r="A552">
        <v>31</v>
      </c>
      <c r="B552">
        <v>2019</v>
      </c>
      <c r="C552">
        <v>3</v>
      </c>
      <c r="D552" t="s">
        <v>8</v>
      </c>
      <c r="E552" t="s">
        <v>9</v>
      </c>
      <c r="F552" t="s">
        <v>23</v>
      </c>
      <c r="G552" t="s">
        <v>37</v>
      </c>
      <c r="H552" s="2">
        <v>71.428571428571431</v>
      </c>
    </row>
    <row r="553" spans="1:8" x14ac:dyDescent="0.35">
      <c r="A553">
        <v>32</v>
      </c>
      <c r="B553">
        <v>2019</v>
      </c>
      <c r="C553">
        <v>4</v>
      </c>
      <c r="D553" t="s">
        <v>8</v>
      </c>
      <c r="E553" t="s">
        <v>9</v>
      </c>
      <c r="F553" t="s">
        <v>23</v>
      </c>
      <c r="G553" t="s">
        <v>37</v>
      </c>
      <c r="H553" s="2">
        <v>55.555555555555557</v>
      </c>
    </row>
    <row r="554" spans="1:8" x14ac:dyDescent="0.35">
      <c r="A554">
        <v>33</v>
      </c>
      <c r="B554">
        <v>2020</v>
      </c>
      <c r="C554">
        <v>1</v>
      </c>
      <c r="D554" t="s">
        <v>8</v>
      </c>
      <c r="E554" t="s">
        <v>9</v>
      </c>
      <c r="F554" t="s">
        <v>23</v>
      </c>
      <c r="G554" t="s">
        <v>37</v>
      </c>
      <c r="H554" s="2">
        <v>66.666666666666657</v>
      </c>
    </row>
    <row r="555" spans="1:8" x14ac:dyDescent="0.35">
      <c r="A555">
        <v>34</v>
      </c>
      <c r="B555">
        <v>2020</v>
      </c>
      <c r="C555">
        <v>2</v>
      </c>
      <c r="D555" t="s">
        <v>8</v>
      </c>
      <c r="E555" t="s">
        <v>9</v>
      </c>
      <c r="F555" t="s">
        <v>23</v>
      </c>
      <c r="G555" t="s">
        <v>37</v>
      </c>
      <c r="H555" s="2">
        <v>77.5</v>
      </c>
    </row>
    <row r="556" spans="1:8" x14ac:dyDescent="0.35">
      <c r="A556">
        <v>35</v>
      </c>
      <c r="B556">
        <v>2020</v>
      </c>
      <c r="C556">
        <v>3</v>
      </c>
      <c r="D556" t="s">
        <v>8</v>
      </c>
      <c r="E556" t="s">
        <v>9</v>
      </c>
      <c r="F556" t="s">
        <v>23</v>
      </c>
      <c r="G556" t="s">
        <v>37</v>
      </c>
      <c r="H556" s="2">
        <v>92</v>
      </c>
    </row>
    <row r="557" spans="1:8" x14ac:dyDescent="0.35">
      <c r="A557">
        <v>36</v>
      </c>
      <c r="B557">
        <v>2020</v>
      </c>
      <c r="C557">
        <v>4</v>
      </c>
      <c r="D557" t="s">
        <v>8</v>
      </c>
      <c r="E557" t="s">
        <v>9</v>
      </c>
      <c r="F557" t="s">
        <v>23</v>
      </c>
      <c r="G557" t="s">
        <v>37</v>
      </c>
      <c r="H557" s="2">
        <v>84.210526315789465</v>
      </c>
    </row>
    <row r="558" spans="1:8" x14ac:dyDescent="0.35">
      <c r="A558">
        <v>37</v>
      </c>
      <c r="B558">
        <v>2021</v>
      </c>
      <c r="C558">
        <v>1</v>
      </c>
      <c r="D558" t="s">
        <v>8</v>
      </c>
      <c r="E558" t="s">
        <v>9</v>
      </c>
      <c r="F558" t="s">
        <v>23</v>
      </c>
      <c r="G558" t="s">
        <v>37</v>
      </c>
      <c r="H558" s="2">
        <v>69.767441860465112</v>
      </c>
    </row>
    <row r="559" spans="1:8" x14ac:dyDescent="0.35">
      <c r="A559">
        <v>38</v>
      </c>
      <c r="B559">
        <v>2021</v>
      </c>
      <c r="C559">
        <v>2</v>
      </c>
      <c r="D559" t="s">
        <v>8</v>
      </c>
      <c r="E559" t="s">
        <v>9</v>
      </c>
      <c r="F559" t="s">
        <v>23</v>
      </c>
      <c r="G559" t="s">
        <v>37</v>
      </c>
      <c r="H559" s="2">
        <v>83.333333333333343</v>
      </c>
    </row>
    <row r="560" spans="1:8" x14ac:dyDescent="0.35">
      <c r="A560">
        <v>39</v>
      </c>
      <c r="B560">
        <v>2021</v>
      </c>
      <c r="C560">
        <v>3</v>
      </c>
      <c r="D560" t="s">
        <v>8</v>
      </c>
      <c r="E560" t="s">
        <v>9</v>
      </c>
      <c r="F560" t="s">
        <v>23</v>
      </c>
      <c r="G560" t="s">
        <v>37</v>
      </c>
      <c r="H560" s="2">
        <v>68.75</v>
      </c>
    </row>
    <row r="561" spans="1:8" x14ac:dyDescent="0.35">
      <c r="A561">
        <v>40</v>
      </c>
      <c r="B561">
        <v>2021</v>
      </c>
      <c r="C561">
        <v>4</v>
      </c>
      <c r="D561" t="s">
        <v>8</v>
      </c>
      <c r="E561" t="s">
        <v>9</v>
      </c>
      <c r="F561" t="s">
        <v>23</v>
      </c>
      <c r="G561" t="s">
        <v>37</v>
      </c>
      <c r="H561" s="2">
        <v>58.139534883720934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F18C-E2A7-4C52-8E20-C3D965D3DCCC}">
  <dimension ref="A1:E12"/>
  <sheetViews>
    <sheetView tabSelected="1" zoomScale="97" workbookViewId="0">
      <selection activeCell="C18" sqref="C18"/>
    </sheetView>
  </sheetViews>
  <sheetFormatPr defaultRowHeight="14.5" x14ac:dyDescent="0.35"/>
  <cols>
    <col min="1" max="1" width="14.54296875" bestFit="1" customWidth="1"/>
    <col min="2" max="2" width="13.08984375" bestFit="1" customWidth="1"/>
    <col min="3" max="3" width="25.54296875" bestFit="1" customWidth="1"/>
    <col min="4" max="4" width="12.08984375" customWidth="1"/>
  </cols>
  <sheetData>
    <row r="1" spans="1:5" x14ac:dyDescent="0.35">
      <c r="C1" t="s">
        <v>88</v>
      </c>
    </row>
    <row r="2" spans="1:5" x14ac:dyDescent="0.35">
      <c r="A2" t="s">
        <v>87</v>
      </c>
      <c r="B2" t="s">
        <v>86</v>
      </c>
    </row>
    <row r="3" spans="1:5" x14ac:dyDescent="0.35">
      <c r="C3" s="8" t="s">
        <v>81</v>
      </c>
      <c r="D3" s="10" t="s">
        <v>68</v>
      </c>
    </row>
    <row r="4" spans="1:5" x14ac:dyDescent="0.35">
      <c r="A4" t="s">
        <v>89</v>
      </c>
      <c r="B4" s="9" t="s">
        <v>28</v>
      </c>
      <c r="C4" t="s">
        <v>78</v>
      </c>
      <c r="D4" s="2">
        <v>9.34</v>
      </c>
    </row>
    <row r="5" spans="1:5" x14ac:dyDescent="0.35">
      <c r="A5" t="s">
        <v>89</v>
      </c>
      <c r="B5" s="9" t="s">
        <v>28</v>
      </c>
      <c r="C5" s="3" t="s">
        <v>79</v>
      </c>
      <c r="D5" s="3">
        <v>8.15</v>
      </c>
      <c r="E5" t="s">
        <v>85</v>
      </c>
    </row>
    <row r="6" spans="1:5" x14ac:dyDescent="0.35">
      <c r="A6" t="s">
        <v>89</v>
      </c>
      <c r="B6" s="9" t="s">
        <v>28</v>
      </c>
      <c r="C6" t="s">
        <v>80</v>
      </c>
      <c r="D6">
        <v>12.04</v>
      </c>
    </row>
    <row r="7" spans="1:5" x14ac:dyDescent="0.35">
      <c r="A7" t="s">
        <v>89</v>
      </c>
      <c r="B7" s="9" t="s">
        <v>30</v>
      </c>
      <c r="C7" t="s">
        <v>78</v>
      </c>
      <c r="D7">
        <v>11.82</v>
      </c>
    </row>
    <row r="8" spans="1:5" x14ac:dyDescent="0.35">
      <c r="A8" t="s">
        <v>89</v>
      </c>
      <c r="B8" s="9" t="s">
        <v>30</v>
      </c>
      <c r="C8" t="s">
        <v>79</v>
      </c>
      <c r="D8">
        <v>11.54</v>
      </c>
    </row>
    <row r="9" spans="1:5" x14ac:dyDescent="0.35">
      <c r="A9" t="s">
        <v>89</v>
      </c>
      <c r="B9" s="9" t="s">
        <v>30</v>
      </c>
      <c r="C9" s="3" t="s">
        <v>80</v>
      </c>
      <c r="D9" s="3">
        <v>6.91</v>
      </c>
      <c r="E9" t="s">
        <v>85</v>
      </c>
    </row>
    <row r="10" spans="1:5" x14ac:dyDescent="0.35">
      <c r="A10" t="s">
        <v>89</v>
      </c>
      <c r="B10" s="9" t="s">
        <v>34</v>
      </c>
      <c r="C10" t="s">
        <v>78</v>
      </c>
      <c r="D10">
        <v>14.89</v>
      </c>
    </row>
    <row r="11" spans="1:5" x14ac:dyDescent="0.35">
      <c r="A11" t="s">
        <v>89</v>
      </c>
      <c r="B11" s="9" t="s">
        <v>34</v>
      </c>
      <c r="C11" t="s">
        <v>79</v>
      </c>
      <c r="D11">
        <v>14.87</v>
      </c>
    </row>
    <row r="12" spans="1:5" x14ac:dyDescent="0.35">
      <c r="A12" t="s">
        <v>89</v>
      </c>
      <c r="B12" s="9" t="s">
        <v>34</v>
      </c>
      <c r="C12" s="3" t="s">
        <v>80</v>
      </c>
      <c r="D12" s="3">
        <v>11.58</v>
      </c>
      <c r="E1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5B14-A2F3-419E-ACC9-85FD6A675C91}">
  <dimension ref="A1:R189"/>
  <sheetViews>
    <sheetView workbookViewId="0">
      <selection activeCell="S35" sqref="S35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2" bestFit="1" customWidth="1"/>
  </cols>
  <sheetData>
    <row r="1" spans="1:12" ht="23.5" x14ac:dyDescent="0.55000000000000004">
      <c r="A1" s="11" t="s">
        <v>82</v>
      </c>
      <c r="L1" s="11"/>
    </row>
    <row r="2" spans="1:12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</row>
    <row r="3" spans="1:12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14</v>
      </c>
      <c r="G3" t="s">
        <v>28</v>
      </c>
      <c r="H3" s="2">
        <v>90.102389078498291</v>
      </c>
    </row>
    <row r="4" spans="1:12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14</v>
      </c>
      <c r="G4" t="s">
        <v>28</v>
      </c>
      <c r="H4" s="2">
        <v>95.136778115501514</v>
      </c>
    </row>
    <row r="5" spans="1:12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14</v>
      </c>
      <c r="G5" t="s">
        <v>28</v>
      </c>
      <c r="H5" s="2">
        <v>88.679245283018872</v>
      </c>
    </row>
    <row r="6" spans="1:12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14</v>
      </c>
      <c r="G6" t="s">
        <v>28</v>
      </c>
      <c r="H6" s="2">
        <v>95.59748427672956</v>
      </c>
    </row>
    <row r="7" spans="1:12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14</v>
      </c>
      <c r="G7" t="s">
        <v>28</v>
      </c>
      <c r="H7" s="2">
        <v>90.202702702702695</v>
      </c>
    </row>
    <row r="8" spans="1:12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14</v>
      </c>
      <c r="G8" t="s">
        <v>28</v>
      </c>
      <c r="H8" s="2">
        <v>88.698630136986296</v>
      </c>
    </row>
    <row r="9" spans="1:12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14</v>
      </c>
      <c r="G9" t="s">
        <v>28</v>
      </c>
      <c r="H9" s="2">
        <v>89.368770764119603</v>
      </c>
    </row>
    <row r="10" spans="1:12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14</v>
      </c>
      <c r="G10" t="s">
        <v>28</v>
      </c>
      <c r="H10" s="2">
        <v>92.145015105740185</v>
      </c>
    </row>
    <row r="11" spans="1:12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14</v>
      </c>
      <c r="G11" t="s">
        <v>28</v>
      </c>
      <c r="H11" s="2">
        <v>85.483870967741936</v>
      </c>
    </row>
    <row r="12" spans="1:12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14</v>
      </c>
      <c r="G12" t="s">
        <v>28</v>
      </c>
      <c r="H12" s="2">
        <v>90.282131661442008</v>
      </c>
    </row>
    <row r="13" spans="1:12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14</v>
      </c>
      <c r="G13" t="s">
        <v>28</v>
      </c>
      <c r="H13" s="2">
        <v>86.82634730538922</v>
      </c>
    </row>
    <row r="14" spans="1:12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14</v>
      </c>
      <c r="G14" t="s">
        <v>28</v>
      </c>
      <c r="H14" s="2">
        <v>89.130434782608688</v>
      </c>
    </row>
    <row r="15" spans="1:12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14</v>
      </c>
      <c r="G15" t="s">
        <v>28</v>
      </c>
      <c r="H15" s="2">
        <v>85.534591194968556</v>
      </c>
    </row>
    <row r="16" spans="1:12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14</v>
      </c>
      <c r="G16" t="s">
        <v>28</v>
      </c>
      <c r="H16" s="2">
        <v>84.482758620689651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14</v>
      </c>
      <c r="G17" t="s">
        <v>28</v>
      </c>
      <c r="H17" s="2">
        <v>85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14</v>
      </c>
      <c r="G18" t="s">
        <v>28</v>
      </c>
      <c r="H18" s="2">
        <v>86.549707602339183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14</v>
      </c>
      <c r="G19" t="s">
        <v>28</v>
      </c>
      <c r="H19" s="2">
        <v>86.834733893557427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14</v>
      </c>
      <c r="G20" t="s">
        <v>28</v>
      </c>
      <c r="H20" s="2">
        <v>85.13513513513513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14</v>
      </c>
      <c r="G21" t="s">
        <v>28</v>
      </c>
      <c r="H21" s="2">
        <v>81.723237597911222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14</v>
      </c>
      <c r="G22" t="s">
        <v>28</v>
      </c>
      <c r="H22" s="2">
        <v>84.382871536523936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14</v>
      </c>
      <c r="G23" t="s">
        <v>28</v>
      </c>
      <c r="H23" s="2">
        <v>85.359801488833739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14</v>
      </c>
      <c r="G24" t="s">
        <v>28</v>
      </c>
      <c r="H24" s="2">
        <v>81.84143222506394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14</v>
      </c>
      <c r="G25" t="s">
        <v>28</v>
      </c>
      <c r="H25" s="2">
        <v>82.608695652173907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14</v>
      </c>
      <c r="G26" t="s">
        <v>28</v>
      </c>
      <c r="H26" s="2">
        <v>79.606879606879616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14</v>
      </c>
      <c r="G27" t="s">
        <v>28</v>
      </c>
      <c r="H27" s="2">
        <v>75.797872340425528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14</v>
      </c>
      <c r="G28" t="s">
        <v>28</v>
      </c>
      <c r="H28" s="2">
        <v>79.820627802690581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14</v>
      </c>
      <c r="G29" t="s">
        <v>28</v>
      </c>
      <c r="H29" s="2">
        <v>76.712328767123282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14</v>
      </c>
      <c r="G30" t="s">
        <v>28</v>
      </c>
      <c r="H30" s="2">
        <v>79.136690647482013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14</v>
      </c>
      <c r="G31" t="s">
        <v>28</v>
      </c>
      <c r="H31" s="2">
        <v>76.737967914438499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14</v>
      </c>
      <c r="G32" t="s">
        <v>28</v>
      </c>
      <c r="H32" s="2">
        <v>86.634844868735087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14</v>
      </c>
      <c r="G33" t="s">
        <v>28</v>
      </c>
      <c r="H33" s="2">
        <v>79.126213592233015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14</v>
      </c>
      <c r="G34" t="s">
        <v>28</v>
      </c>
      <c r="H34" s="2">
        <v>79.255319148936167</v>
      </c>
    </row>
    <row r="35" spans="1:14" x14ac:dyDescent="0.35">
      <c r="A35">
        <v>33</v>
      </c>
      <c r="B35">
        <v>2020</v>
      </c>
      <c r="C35">
        <v>1</v>
      </c>
      <c r="D35" t="s">
        <v>8</v>
      </c>
      <c r="E35" t="s">
        <v>9</v>
      </c>
      <c r="F35" t="s">
        <v>14</v>
      </c>
      <c r="G35" t="s">
        <v>28</v>
      </c>
      <c r="H35" s="2">
        <v>83.78378378378379</v>
      </c>
    </row>
    <row r="36" spans="1:14" x14ac:dyDescent="0.35">
      <c r="A36">
        <v>34</v>
      </c>
      <c r="B36">
        <v>2020</v>
      </c>
      <c r="C36">
        <v>2</v>
      </c>
      <c r="D36" t="s">
        <v>8</v>
      </c>
      <c r="E36" t="s">
        <v>9</v>
      </c>
      <c r="F36" t="s">
        <v>14</v>
      </c>
      <c r="G36" t="s">
        <v>28</v>
      </c>
      <c r="H36" s="2">
        <v>80.792682926829272</v>
      </c>
    </row>
    <row r="37" spans="1:14" x14ac:dyDescent="0.35">
      <c r="A37">
        <v>35</v>
      </c>
      <c r="B37">
        <v>2020</v>
      </c>
      <c r="C37">
        <v>3</v>
      </c>
      <c r="D37" t="s">
        <v>8</v>
      </c>
      <c r="E37" t="s">
        <v>9</v>
      </c>
      <c r="F37" t="s">
        <v>14</v>
      </c>
      <c r="G37" t="s">
        <v>28</v>
      </c>
      <c r="H37" s="2">
        <v>81.350482315112544</v>
      </c>
    </row>
    <row r="38" spans="1:14" x14ac:dyDescent="0.35">
      <c r="A38">
        <v>36</v>
      </c>
      <c r="B38">
        <v>2020</v>
      </c>
      <c r="C38">
        <v>4</v>
      </c>
      <c r="D38" t="s">
        <v>8</v>
      </c>
      <c r="E38" t="s">
        <v>9</v>
      </c>
      <c r="F38" t="s">
        <v>14</v>
      </c>
      <c r="G38" t="s">
        <v>28</v>
      </c>
      <c r="H38" s="2">
        <v>86.206896551724128</v>
      </c>
    </row>
    <row r="39" spans="1:14" x14ac:dyDescent="0.35">
      <c r="A39">
        <v>37</v>
      </c>
      <c r="B39">
        <v>2021</v>
      </c>
      <c r="C39">
        <v>1</v>
      </c>
      <c r="D39" t="s">
        <v>8</v>
      </c>
      <c r="E39" t="s">
        <v>9</v>
      </c>
      <c r="F39" t="s">
        <v>14</v>
      </c>
      <c r="G39" t="s">
        <v>28</v>
      </c>
      <c r="H39" s="2">
        <v>75.454545454545453</v>
      </c>
    </row>
    <row r="40" spans="1:14" x14ac:dyDescent="0.35">
      <c r="A40">
        <v>38</v>
      </c>
      <c r="B40">
        <v>2021</v>
      </c>
      <c r="C40">
        <v>2</v>
      </c>
      <c r="D40" t="s">
        <v>8</v>
      </c>
      <c r="E40" t="s">
        <v>9</v>
      </c>
      <c r="F40" t="s">
        <v>14</v>
      </c>
      <c r="G40" t="s">
        <v>28</v>
      </c>
      <c r="H40" s="2">
        <v>80.361757105943155</v>
      </c>
    </row>
    <row r="41" spans="1:14" x14ac:dyDescent="0.35">
      <c r="A41">
        <v>39</v>
      </c>
      <c r="B41">
        <v>2021</v>
      </c>
      <c r="C41">
        <v>3</v>
      </c>
      <c r="D41" t="s">
        <v>8</v>
      </c>
      <c r="E41" t="s">
        <v>9</v>
      </c>
      <c r="F41" t="s">
        <v>14</v>
      </c>
      <c r="G41" t="s">
        <v>28</v>
      </c>
      <c r="H41" s="2">
        <v>75.335120643431637</v>
      </c>
    </row>
    <row r="42" spans="1:14" x14ac:dyDescent="0.35">
      <c r="A42">
        <v>40</v>
      </c>
      <c r="B42">
        <v>2021</v>
      </c>
      <c r="C42">
        <v>4</v>
      </c>
      <c r="D42" t="s">
        <v>8</v>
      </c>
      <c r="E42" t="s">
        <v>9</v>
      </c>
      <c r="F42" t="s">
        <v>14</v>
      </c>
      <c r="G42" t="s">
        <v>28</v>
      </c>
      <c r="H42" s="2">
        <v>72.616136919315394</v>
      </c>
    </row>
    <row r="45" spans="1:14" x14ac:dyDescent="0.35">
      <c r="A45" t="s">
        <v>38</v>
      </c>
    </row>
    <row r="46" spans="1:14" x14ac:dyDescent="0.3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4" t="s">
        <v>7</v>
      </c>
      <c r="I46" s="3" t="s">
        <v>64</v>
      </c>
      <c r="J46" s="3" t="s">
        <v>66</v>
      </c>
      <c r="K46" s="3" t="s">
        <v>67</v>
      </c>
      <c r="M46" s="3" t="s">
        <v>68</v>
      </c>
      <c r="N46" s="2">
        <f>AVERAGE(K47:K86)</f>
        <v>9.3420013312487562</v>
      </c>
    </row>
    <row r="47" spans="1:14" x14ac:dyDescent="0.35">
      <c r="A47">
        <v>1</v>
      </c>
      <c r="B47">
        <v>2012</v>
      </c>
      <c r="C47">
        <v>1</v>
      </c>
      <c r="D47" t="s">
        <v>8</v>
      </c>
      <c r="E47" t="s">
        <v>9</v>
      </c>
      <c r="F47" t="s">
        <v>14</v>
      </c>
      <c r="G47" t="s">
        <v>28</v>
      </c>
      <c r="H47" s="2">
        <v>90.102389078498291</v>
      </c>
      <c r="I47" s="2">
        <f>$I$89+$I$90*A47</f>
        <v>91.591898167091472</v>
      </c>
      <c r="J47" s="2">
        <f>H47-I47</f>
        <v>-1.4895090885931808</v>
      </c>
      <c r="K47" s="2">
        <f>J47*J47</f>
        <v>2.218637325001688</v>
      </c>
    </row>
    <row r="48" spans="1:14" x14ac:dyDescent="0.35">
      <c r="A48">
        <v>2</v>
      </c>
      <c r="B48">
        <v>2012</v>
      </c>
      <c r="C48">
        <v>2</v>
      </c>
      <c r="D48" t="s">
        <v>8</v>
      </c>
      <c r="E48" t="s">
        <v>9</v>
      </c>
      <c r="F48" t="s">
        <v>14</v>
      </c>
      <c r="G48" t="s">
        <v>28</v>
      </c>
      <c r="H48" s="2">
        <v>95.136778115501514</v>
      </c>
      <c r="I48" s="2">
        <f t="shared" ref="I48:I86" si="0">$I$89+$I$90*A48</f>
        <v>91.202360973288449</v>
      </c>
      <c r="J48" s="2">
        <f t="shared" ref="J48:J86" si="1">H48-I48</f>
        <v>3.9344171422130643</v>
      </c>
      <c r="K48" s="2">
        <f t="shared" ref="K48:K86" si="2">J48*J48</f>
        <v>15.479638248940015</v>
      </c>
    </row>
    <row r="49" spans="1:11" x14ac:dyDescent="0.35">
      <c r="A49">
        <v>3</v>
      </c>
      <c r="B49">
        <v>2012</v>
      </c>
      <c r="C49">
        <v>3</v>
      </c>
      <c r="D49" t="s">
        <v>8</v>
      </c>
      <c r="E49" t="s">
        <v>9</v>
      </c>
      <c r="F49" t="s">
        <v>14</v>
      </c>
      <c r="G49" t="s">
        <v>28</v>
      </c>
      <c r="H49" s="2">
        <v>88.679245283018872</v>
      </c>
      <c r="I49" s="2">
        <f t="shared" si="0"/>
        <v>90.812823779485441</v>
      </c>
      <c r="J49" s="2">
        <f t="shared" si="1"/>
        <v>-2.1335784964665692</v>
      </c>
      <c r="K49" s="2">
        <f t="shared" si="2"/>
        <v>4.5521572005845456</v>
      </c>
    </row>
    <row r="50" spans="1:11" x14ac:dyDescent="0.35">
      <c r="A50">
        <v>4</v>
      </c>
      <c r="B50">
        <v>2012</v>
      </c>
      <c r="C50">
        <v>4</v>
      </c>
      <c r="D50" t="s">
        <v>8</v>
      </c>
      <c r="E50" t="s">
        <v>9</v>
      </c>
      <c r="F50" t="s">
        <v>14</v>
      </c>
      <c r="G50" t="s">
        <v>28</v>
      </c>
      <c r="H50" s="2">
        <v>95.59748427672956</v>
      </c>
      <c r="I50" s="2">
        <f t="shared" si="0"/>
        <v>90.423286585682419</v>
      </c>
      <c r="J50" s="2">
        <f t="shared" si="1"/>
        <v>5.1741976910471408</v>
      </c>
      <c r="K50" s="2">
        <f t="shared" si="2"/>
        <v>26.772321746037562</v>
      </c>
    </row>
    <row r="51" spans="1:11" x14ac:dyDescent="0.35">
      <c r="A51">
        <v>5</v>
      </c>
      <c r="B51">
        <v>2013</v>
      </c>
      <c r="C51">
        <v>1</v>
      </c>
      <c r="D51" t="s">
        <v>8</v>
      </c>
      <c r="E51" t="s">
        <v>9</v>
      </c>
      <c r="F51" t="s">
        <v>14</v>
      </c>
      <c r="G51" t="s">
        <v>28</v>
      </c>
      <c r="H51" s="2">
        <v>90.202702702702695</v>
      </c>
      <c r="I51" s="2">
        <f t="shared" si="0"/>
        <v>90.033749391879397</v>
      </c>
      <c r="J51" s="2">
        <f t="shared" si="1"/>
        <v>0.1689533108232979</v>
      </c>
      <c r="K51" s="2">
        <f t="shared" si="2"/>
        <v>2.8545221238153909E-2</v>
      </c>
    </row>
    <row r="52" spans="1:11" x14ac:dyDescent="0.35">
      <c r="A52">
        <v>6</v>
      </c>
      <c r="B52">
        <v>2013</v>
      </c>
      <c r="C52">
        <v>2</v>
      </c>
      <c r="D52" t="s">
        <v>8</v>
      </c>
      <c r="E52" t="s">
        <v>9</v>
      </c>
      <c r="F52" t="s">
        <v>14</v>
      </c>
      <c r="G52" t="s">
        <v>28</v>
      </c>
      <c r="H52" s="2">
        <v>88.698630136986296</v>
      </c>
      <c r="I52" s="2">
        <f t="shared" si="0"/>
        <v>89.644212198076374</v>
      </c>
      <c r="J52" s="2">
        <f t="shared" si="1"/>
        <v>-0.9455820610900787</v>
      </c>
      <c r="K52" s="2">
        <f t="shared" si="2"/>
        <v>0.89412543425536128</v>
      </c>
    </row>
    <row r="53" spans="1:11" x14ac:dyDescent="0.35">
      <c r="A53">
        <v>7</v>
      </c>
      <c r="B53">
        <v>2013</v>
      </c>
      <c r="C53">
        <v>3</v>
      </c>
      <c r="D53" t="s">
        <v>8</v>
      </c>
      <c r="E53" t="s">
        <v>9</v>
      </c>
      <c r="F53" t="s">
        <v>14</v>
      </c>
      <c r="G53" t="s">
        <v>28</v>
      </c>
      <c r="H53" s="2">
        <v>89.368770764119603</v>
      </c>
      <c r="I53" s="2">
        <f t="shared" si="0"/>
        <v>89.254675004273366</v>
      </c>
      <c r="J53" s="2">
        <f t="shared" si="1"/>
        <v>0.11409575984623643</v>
      </c>
      <c r="K53" s="2">
        <f t="shared" si="2"/>
        <v>1.3017842414890058E-2</v>
      </c>
    </row>
    <row r="54" spans="1:11" x14ac:dyDescent="0.35">
      <c r="A54">
        <v>8</v>
      </c>
      <c r="B54">
        <v>2013</v>
      </c>
      <c r="C54">
        <v>4</v>
      </c>
      <c r="D54" t="s">
        <v>8</v>
      </c>
      <c r="E54" t="s">
        <v>9</v>
      </c>
      <c r="F54" t="s">
        <v>14</v>
      </c>
      <c r="G54" t="s">
        <v>28</v>
      </c>
      <c r="H54" s="2">
        <v>92.145015105740185</v>
      </c>
      <c r="I54" s="2">
        <f t="shared" si="0"/>
        <v>88.865137810470344</v>
      </c>
      <c r="J54" s="2">
        <f t="shared" si="1"/>
        <v>3.2798772952698414</v>
      </c>
      <c r="K54" s="2">
        <f t="shared" si="2"/>
        <v>10.757595072026611</v>
      </c>
    </row>
    <row r="55" spans="1:11" x14ac:dyDescent="0.35">
      <c r="A55">
        <v>9</v>
      </c>
      <c r="B55">
        <v>2014</v>
      </c>
      <c r="C55">
        <v>1</v>
      </c>
      <c r="D55" t="s">
        <v>8</v>
      </c>
      <c r="E55" t="s">
        <v>9</v>
      </c>
      <c r="F55" t="s">
        <v>14</v>
      </c>
      <c r="G55" t="s">
        <v>28</v>
      </c>
      <c r="H55" s="2">
        <v>85.483870967741936</v>
      </c>
      <c r="I55" s="2">
        <f t="shared" si="0"/>
        <v>88.475600616667322</v>
      </c>
      <c r="J55" s="2">
        <f t="shared" si="1"/>
        <v>-2.9917296489253857</v>
      </c>
      <c r="K55" s="2">
        <f t="shared" si="2"/>
        <v>8.9504462922592118</v>
      </c>
    </row>
    <row r="56" spans="1:11" x14ac:dyDescent="0.35">
      <c r="A56">
        <v>10</v>
      </c>
      <c r="B56">
        <v>2014</v>
      </c>
      <c r="C56">
        <v>2</v>
      </c>
      <c r="D56" t="s">
        <v>8</v>
      </c>
      <c r="E56" t="s">
        <v>9</v>
      </c>
      <c r="F56" t="s">
        <v>14</v>
      </c>
      <c r="G56" t="s">
        <v>28</v>
      </c>
      <c r="H56" s="2">
        <v>90.282131661442008</v>
      </c>
      <c r="I56" s="2">
        <f t="shared" si="0"/>
        <v>88.086063422864299</v>
      </c>
      <c r="J56" s="2">
        <f t="shared" si="1"/>
        <v>2.1960682385777091</v>
      </c>
      <c r="K56" s="2">
        <f t="shared" si="2"/>
        <v>4.8227157084898016</v>
      </c>
    </row>
    <row r="57" spans="1:11" x14ac:dyDescent="0.35">
      <c r="A57">
        <v>11</v>
      </c>
      <c r="B57">
        <v>2014</v>
      </c>
      <c r="C57">
        <v>3</v>
      </c>
      <c r="D57" t="s">
        <v>8</v>
      </c>
      <c r="E57" t="s">
        <v>9</v>
      </c>
      <c r="F57" t="s">
        <v>14</v>
      </c>
      <c r="G57" t="s">
        <v>28</v>
      </c>
      <c r="H57" s="2">
        <v>86.82634730538922</v>
      </c>
      <c r="I57" s="2">
        <f t="shared" si="0"/>
        <v>87.696526229061291</v>
      </c>
      <c r="J57" s="2">
        <f t="shared" si="1"/>
        <v>-0.87017892367207139</v>
      </c>
      <c r="K57" s="2">
        <f t="shared" si="2"/>
        <v>0.75721135920308469</v>
      </c>
    </row>
    <row r="58" spans="1:11" x14ac:dyDescent="0.35">
      <c r="A58">
        <v>12</v>
      </c>
      <c r="B58">
        <v>2014</v>
      </c>
      <c r="C58">
        <v>4</v>
      </c>
      <c r="D58" t="s">
        <v>8</v>
      </c>
      <c r="E58" t="s">
        <v>9</v>
      </c>
      <c r="F58" t="s">
        <v>14</v>
      </c>
      <c r="G58" t="s">
        <v>28</v>
      </c>
      <c r="H58" s="2">
        <v>89.130434782608688</v>
      </c>
      <c r="I58" s="2">
        <f t="shared" si="0"/>
        <v>87.306989035258269</v>
      </c>
      <c r="J58" s="2">
        <f t="shared" si="1"/>
        <v>1.8234457473504193</v>
      </c>
      <c r="K58" s="2">
        <f t="shared" si="2"/>
        <v>3.3249543935303292</v>
      </c>
    </row>
    <row r="59" spans="1:11" x14ac:dyDescent="0.35">
      <c r="A59">
        <v>13</v>
      </c>
      <c r="B59">
        <v>2015</v>
      </c>
      <c r="C59">
        <v>1</v>
      </c>
      <c r="D59" t="s">
        <v>8</v>
      </c>
      <c r="E59" t="s">
        <v>9</v>
      </c>
      <c r="F59" t="s">
        <v>14</v>
      </c>
      <c r="G59" t="s">
        <v>28</v>
      </c>
      <c r="H59" s="2">
        <v>85.534591194968556</v>
      </c>
      <c r="I59" s="2">
        <f t="shared" si="0"/>
        <v>86.917451841455247</v>
      </c>
      <c r="J59" s="2">
        <f t="shared" si="1"/>
        <v>-1.3828606464866908</v>
      </c>
      <c r="K59" s="2">
        <f t="shared" si="2"/>
        <v>1.9123035676015885</v>
      </c>
    </row>
    <row r="60" spans="1:11" x14ac:dyDescent="0.35">
      <c r="A60">
        <v>14</v>
      </c>
      <c r="B60">
        <v>2015</v>
      </c>
      <c r="C60">
        <v>2</v>
      </c>
      <c r="D60" t="s">
        <v>8</v>
      </c>
      <c r="E60" t="s">
        <v>9</v>
      </c>
      <c r="F60" t="s">
        <v>14</v>
      </c>
      <c r="G60" t="s">
        <v>28</v>
      </c>
      <c r="H60" s="2">
        <v>84.482758620689651</v>
      </c>
      <c r="I60" s="2">
        <f t="shared" si="0"/>
        <v>86.527914647652224</v>
      </c>
      <c r="J60" s="2">
        <f t="shared" si="1"/>
        <v>-2.045156026962573</v>
      </c>
      <c r="K60" s="2">
        <f t="shared" si="2"/>
        <v>4.1826631746213367</v>
      </c>
    </row>
    <row r="61" spans="1:11" x14ac:dyDescent="0.35">
      <c r="A61">
        <v>15</v>
      </c>
      <c r="B61">
        <v>2015</v>
      </c>
      <c r="C61">
        <v>3</v>
      </c>
      <c r="D61" t="s">
        <v>8</v>
      </c>
      <c r="E61" t="s">
        <v>9</v>
      </c>
      <c r="F61" t="s">
        <v>14</v>
      </c>
      <c r="G61" t="s">
        <v>28</v>
      </c>
      <c r="H61" s="2">
        <v>85</v>
      </c>
      <c r="I61" s="2">
        <f t="shared" si="0"/>
        <v>86.138377453849216</v>
      </c>
      <c r="J61" s="2">
        <f t="shared" si="1"/>
        <v>-1.1383774538492162</v>
      </c>
      <c r="K61" s="2">
        <f t="shared" si="2"/>
        <v>1.2959032274322244</v>
      </c>
    </row>
    <row r="62" spans="1:11" x14ac:dyDescent="0.35">
      <c r="A62">
        <v>16</v>
      </c>
      <c r="B62">
        <v>2015</v>
      </c>
      <c r="C62">
        <v>4</v>
      </c>
      <c r="D62" t="s">
        <v>8</v>
      </c>
      <c r="E62" t="s">
        <v>9</v>
      </c>
      <c r="F62" t="s">
        <v>14</v>
      </c>
      <c r="G62" t="s">
        <v>28</v>
      </c>
      <c r="H62" s="2">
        <v>86.549707602339183</v>
      </c>
      <c r="I62" s="2">
        <f t="shared" si="0"/>
        <v>85.748840260046194</v>
      </c>
      <c r="J62" s="2">
        <f t="shared" si="1"/>
        <v>0.80086734229298884</v>
      </c>
      <c r="K62" s="2">
        <f t="shared" si="2"/>
        <v>0.64138849995143532</v>
      </c>
    </row>
    <row r="63" spans="1:11" x14ac:dyDescent="0.35">
      <c r="A63">
        <v>17</v>
      </c>
      <c r="B63">
        <v>2016</v>
      </c>
      <c r="C63">
        <v>1</v>
      </c>
      <c r="D63" t="s">
        <v>8</v>
      </c>
      <c r="E63" t="s">
        <v>9</v>
      </c>
      <c r="F63" t="s">
        <v>14</v>
      </c>
      <c r="G63" t="s">
        <v>28</v>
      </c>
      <c r="H63" s="2">
        <v>86.834733893557427</v>
      </c>
      <c r="I63" s="2">
        <f t="shared" si="0"/>
        <v>85.359303066243172</v>
      </c>
      <c r="J63" s="2">
        <f t="shared" si="1"/>
        <v>1.4754308273142556</v>
      </c>
      <c r="K63" s="2">
        <f t="shared" si="2"/>
        <v>2.1768961261892286</v>
      </c>
    </row>
    <row r="64" spans="1:11" x14ac:dyDescent="0.35">
      <c r="A64">
        <v>18</v>
      </c>
      <c r="B64">
        <v>2016</v>
      </c>
      <c r="C64">
        <v>2</v>
      </c>
      <c r="D64" t="s">
        <v>8</v>
      </c>
      <c r="E64" t="s">
        <v>9</v>
      </c>
      <c r="F64" t="s">
        <v>14</v>
      </c>
      <c r="G64" t="s">
        <v>28</v>
      </c>
      <c r="H64" s="2">
        <v>85.13513513513513</v>
      </c>
      <c r="I64" s="2">
        <f t="shared" si="0"/>
        <v>84.969765872440149</v>
      </c>
      <c r="J64" s="2">
        <f t="shared" si="1"/>
        <v>0.16536926269498053</v>
      </c>
      <c r="K64" s="2">
        <f t="shared" si="2"/>
        <v>2.7346993044281481E-2</v>
      </c>
    </row>
    <row r="65" spans="1:11" x14ac:dyDescent="0.35">
      <c r="A65">
        <v>19</v>
      </c>
      <c r="B65">
        <v>2016</v>
      </c>
      <c r="C65">
        <v>3</v>
      </c>
      <c r="D65" t="s">
        <v>8</v>
      </c>
      <c r="E65" t="s">
        <v>9</v>
      </c>
      <c r="F65" t="s">
        <v>14</v>
      </c>
      <c r="G65" t="s">
        <v>28</v>
      </c>
      <c r="H65" s="2">
        <v>81.723237597911222</v>
      </c>
      <c r="I65" s="2">
        <f t="shared" si="0"/>
        <v>84.580228678637127</v>
      </c>
      <c r="J65" s="2">
        <f t="shared" si="1"/>
        <v>-2.8569910807259049</v>
      </c>
      <c r="K65" s="2">
        <f t="shared" si="2"/>
        <v>8.1623980353473744</v>
      </c>
    </row>
    <row r="66" spans="1:11" x14ac:dyDescent="0.35">
      <c r="A66">
        <v>20</v>
      </c>
      <c r="B66">
        <v>2016</v>
      </c>
      <c r="C66">
        <v>4</v>
      </c>
      <c r="D66" t="s">
        <v>8</v>
      </c>
      <c r="E66" t="s">
        <v>9</v>
      </c>
      <c r="F66" t="s">
        <v>14</v>
      </c>
      <c r="G66" t="s">
        <v>28</v>
      </c>
      <c r="H66" s="2">
        <v>84.382871536523936</v>
      </c>
      <c r="I66" s="2">
        <f t="shared" si="0"/>
        <v>84.190691484834119</v>
      </c>
      <c r="J66" s="2">
        <f t="shared" si="1"/>
        <v>0.19218005168981733</v>
      </c>
      <c r="K66" s="2">
        <f t="shared" si="2"/>
        <v>3.6933172267500862E-2</v>
      </c>
    </row>
    <row r="67" spans="1:11" x14ac:dyDescent="0.35">
      <c r="A67">
        <v>21</v>
      </c>
      <c r="B67">
        <v>2017</v>
      </c>
      <c r="C67">
        <v>1</v>
      </c>
      <c r="D67" t="s">
        <v>8</v>
      </c>
      <c r="E67" t="s">
        <v>9</v>
      </c>
      <c r="F67" t="s">
        <v>14</v>
      </c>
      <c r="G67" t="s">
        <v>28</v>
      </c>
      <c r="H67" s="2">
        <v>85.359801488833739</v>
      </c>
      <c r="I67" s="2">
        <f t="shared" si="0"/>
        <v>83.801154291031096</v>
      </c>
      <c r="J67" s="2">
        <f t="shared" si="1"/>
        <v>1.5586471978026424</v>
      </c>
      <c r="K67" s="2">
        <f t="shared" si="2"/>
        <v>2.4293810872180295</v>
      </c>
    </row>
    <row r="68" spans="1:11" x14ac:dyDescent="0.35">
      <c r="A68">
        <v>22</v>
      </c>
      <c r="B68">
        <v>2017</v>
      </c>
      <c r="C68">
        <v>2</v>
      </c>
      <c r="D68" t="s">
        <v>8</v>
      </c>
      <c r="E68" t="s">
        <v>9</v>
      </c>
      <c r="F68" t="s">
        <v>14</v>
      </c>
      <c r="G68" t="s">
        <v>28</v>
      </c>
      <c r="H68" s="2">
        <v>81.84143222506394</v>
      </c>
      <c r="I68" s="2">
        <f t="shared" si="0"/>
        <v>83.411617097228074</v>
      </c>
      <c r="J68" s="2">
        <f t="shared" si="1"/>
        <v>-1.570184872164134</v>
      </c>
      <c r="K68" s="2">
        <f t="shared" si="2"/>
        <v>2.465480532773098</v>
      </c>
    </row>
    <row r="69" spans="1:11" x14ac:dyDescent="0.35">
      <c r="A69">
        <v>23</v>
      </c>
      <c r="B69">
        <v>2017</v>
      </c>
      <c r="C69">
        <v>3</v>
      </c>
      <c r="D69" t="s">
        <v>8</v>
      </c>
      <c r="E69" t="s">
        <v>9</v>
      </c>
      <c r="F69" t="s">
        <v>14</v>
      </c>
      <c r="G69" t="s">
        <v>28</v>
      </c>
      <c r="H69" s="2">
        <v>82.608695652173907</v>
      </c>
      <c r="I69" s="2">
        <f t="shared" si="0"/>
        <v>83.022079903425066</v>
      </c>
      <c r="J69" s="2">
        <f t="shared" si="1"/>
        <v>-0.41338425125115918</v>
      </c>
      <c r="K69" s="2">
        <f t="shared" si="2"/>
        <v>0.17088653918248151</v>
      </c>
    </row>
    <row r="70" spans="1:11" x14ac:dyDescent="0.35">
      <c r="A70">
        <v>24</v>
      </c>
      <c r="B70">
        <v>2017</v>
      </c>
      <c r="C70">
        <v>4</v>
      </c>
      <c r="D70" t="s">
        <v>8</v>
      </c>
      <c r="E70" t="s">
        <v>9</v>
      </c>
      <c r="F70" t="s">
        <v>14</v>
      </c>
      <c r="G70" t="s">
        <v>28</v>
      </c>
      <c r="H70" s="2">
        <v>79.606879606879616</v>
      </c>
      <c r="I70" s="2">
        <f t="shared" si="0"/>
        <v>82.632542709622044</v>
      </c>
      <c r="J70" s="2">
        <f t="shared" si="1"/>
        <v>-3.0256631027424277</v>
      </c>
      <c r="K70" s="2">
        <f t="shared" si="2"/>
        <v>9.1546372112969348</v>
      </c>
    </row>
    <row r="71" spans="1:11" x14ac:dyDescent="0.35">
      <c r="A71">
        <v>25</v>
      </c>
      <c r="B71">
        <v>2018</v>
      </c>
      <c r="C71">
        <v>1</v>
      </c>
      <c r="D71" t="s">
        <v>8</v>
      </c>
      <c r="E71" t="s">
        <v>9</v>
      </c>
      <c r="F71" t="s">
        <v>14</v>
      </c>
      <c r="G71" t="s">
        <v>28</v>
      </c>
      <c r="H71" s="2">
        <v>75.797872340425528</v>
      </c>
      <c r="I71" s="2">
        <f t="shared" si="0"/>
        <v>82.243005515819021</v>
      </c>
      <c r="J71" s="2">
        <f t="shared" si="1"/>
        <v>-6.4451331753934937</v>
      </c>
      <c r="K71" s="2">
        <f t="shared" si="2"/>
        <v>41.539741648557822</v>
      </c>
    </row>
    <row r="72" spans="1:11" x14ac:dyDescent="0.35">
      <c r="A72">
        <v>26</v>
      </c>
      <c r="B72">
        <v>2018</v>
      </c>
      <c r="C72">
        <v>2</v>
      </c>
      <c r="D72" t="s">
        <v>8</v>
      </c>
      <c r="E72" t="s">
        <v>9</v>
      </c>
      <c r="F72" t="s">
        <v>14</v>
      </c>
      <c r="G72" t="s">
        <v>28</v>
      </c>
      <c r="H72" s="2">
        <v>79.820627802690581</v>
      </c>
      <c r="I72" s="2">
        <f t="shared" si="0"/>
        <v>81.853468322015999</v>
      </c>
      <c r="J72" s="2">
        <f t="shared" si="1"/>
        <v>-2.0328405193254184</v>
      </c>
      <c r="K72" s="2">
        <f t="shared" si="2"/>
        <v>4.1324405770112369</v>
      </c>
    </row>
    <row r="73" spans="1:11" x14ac:dyDescent="0.35">
      <c r="A73">
        <v>27</v>
      </c>
      <c r="B73">
        <v>2018</v>
      </c>
      <c r="C73">
        <v>3</v>
      </c>
      <c r="D73" t="s">
        <v>8</v>
      </c>
      <c r="E73" t="s">
        <v>9</v>
      </c>
      <c r="F73" t="s">
        <v>14</v>
      </c>
      <c r="G73" t="s">
        <v>28</v>
      </c>
      <c r="H73" s="2">
        <v>76.712328767123282</v>
      </c>
      <c r="I73" s="2">
        <f t="shared" si="0"/>
        <v>81.463931128212977</v>
      </c>
      <c r="J73" s="2">
        <f t="shared" si="1"/>
        <v>-4.7516023610896951</v>
      </c>
      <c r="K73" s="2">
        <f t="shared" si="2"/>
        <v>22.577724997913165</v>
      </c>
    </row>
    <row r="74" spans="1:11" x14ac:dyDescent="0.35">
      <c r="A74">
        <v>28</v>
      </c>
      <c r="B74">
        <v>2018</v>
      </c>
      <c r="C74">
        <v>4</v>
      </c>
      <c r="D74" t="s">
        <v>8</v>
      </c>
      <c r="E74" t="s">
        <v>9</v>
      </c>
      <c r="F74" t="s">
        <v>14</v>
      </c>
      <c r="G74" t="s">
        <v>28</v>
      </c>
      <c r="H74" s="2">
        <v>79.136690647482013</v>
      </c>
      <c r="I74" s="2">
        <f t="shared" si="0"/>
        <v>81.074393934409969</v>
      </c>
      <c r="J74" s="2">
        <f t="shared" si="1"/>
        <v>-1.937703286927956</v>
      </c>
      <c r="K74" s="2">
        <f t="shared" si="2"/>
        <v>3.7546940281714045</v>
      </c>
    </row>
    <row r="75" spans="1:11" x14ac:dyDescent="0.35">
      <c r="A75">
        <v>29</v>
      </c>
      <c r="B75">
        <v>2019</v>
      </c>
      <c r="C75">
        <v>1</v>
      </c>
      <c r="D75" t="s">
        <v>8</v>
      </c>
      <c r="E75" t="s">
        <v>9</v>
      </c>
      <c r="F75" t="s">
        <v>14</v>
      </c>
      <c r="G75" t="s">
        <v>28</v>
      </c>
      <c r="H75" s="2">
        <v>76.737967914438499</v>
      </c>
      <c r="I75" s="2">
        <f t="shared" si="0"/>
        <v>80.684856740606946</v>
      </c>
      <c r="J75" s="2">
        <f t="shared" si="1"/>
        <v>-3.9468888261684469</v>
      </c>
      <c r="K75" s="2">
        <f t="shared" si="2"/>
        <v>15.577931406133342</v>
      </c>
    </row>
    <row r="76" spans="1:11" x14ac:dyDescent="0.35">
      <c r="A76">
        <v>30</v>
      </c>
      <c r="B76">
        <v>2019</v>
      </c>
      <c r="C76">
        <v>2</v>
      </c>
      <c r="D76" t="s">
        <v>8</v>
      </c>
      <c r="E76" t="s">
        <v>9</v>
      </c>
      <c r="F76" t="s">
        <v>14</v>
      </c>
      <c r="G76" t="s">
        <v>28</v>
      </c>
      <c r="H76" s="2">
        <v>86.634844868735087</v>
      </c>
      <c r="I76" s="2">
        <f t="shared" si="0"/>
        <v>80.295319546803924</v>
      </c>
      <c r="J76" s="2">
        <f t="shared" si="1"/>
        <v>6.3395253219311627</v>
      </c>
      <c r="K76" s="2">
        <f t="shared" si="2"/>
        <v>40.189581307406414</v>
      </c>
    </row>
    <row r="77" spans="1:11" x14ac:dyDescent="0.35">
      <c r="A77">
        <v>31</v>
      </c>
      <c r="B77">
        <v>2019</v>
      </c>
      <c r="C77">
        <v>3</v>
      </c>
      <c r="D77" t="s">
        <v>8</v>
      </c>
      <c r="E77" t="s">
        <v>9</v>
      </c>
      <c r="F77" t="s">
        <v>14</v>
      </c>
      <c r="G77" t="s">
        <v>28</v>
      </c>
      <c r="H77" s="2">
        <v>79.126213592233015</v>
      </c>
      <c r="I77" s="2">
        <f t="shared" si="0"/>
        <v>79.905782353000902</v>
      </c>
      <c r="J77" s="2">
        <f t="shared" si="1"/>
        <v>-0.77956876076788717</v>
      </c>
      <c r="K77" s="2">
        <f t="shared" si="2"/>
        <v>0.60772745276517925</v>
      </c>
    </row>
    <row r="78" spans="1:11" x14ac:dyDescent="0.35">
      <c r="A78">
        <v>32</v>
      </c>
      <c r="B78">
        <v>2019</v>
      </c>
      <c r="C78">
        <v>4</v>
      </c>
      <c r="D78" t="s">
        <v>8</v>
      </c>
      <c r="E78" t="s">
        <v>9</v>
      </c>
      <c r="F78" t="s">
        <v>14</v>
      </c>
      <c r="G78" t="s">
        <v>28</v>
      </c>
      <c r="H78" s="2">
        <v>79.255319148936167</v>
      </c>
      <c r="I78" s="2">
        <f t="shared" si="0"/>
        <v>79.516245159197894</v>
      </c>
      <c r="J78" s="2">
        <f t="shared" si="1"/>
        <v>-0.26092601026172701</v>
      </c>
      <c r="K78" s="2">
        <f t="shared" si="2"/>
        <v>6.8082382831102878E-2</v>
      </c>
    </row>
    <row r="79" spans="1:11" x14ac:dyDescent="0.35">
      <c r="A79">
        <v>33</v>
      </c>
      <c r="B79">
        <v>2020</v>
      </c>
      <c r="C79">
        <v>1</v>
      </c>
      <c r="D79" t="s">
        <v>8</v>
      </c>
      <c r="E79" t="s">
        <v>9</v>
      </c>
      <c r="F79" t="s">
        <v>14</v>
      </c>
      <c r="G79" t="s">
        <v>28</v>
      </c>
      <c r="H79" s="2">
        <v>83.78378378378379</v>
      </c>
      <c r="I79" s="2">
        <f t="shared" si="0"/>
        <v>79.126707965394871</v>
      </c>
      <c r="J79" s="2">
        <f t="shared" si="1"/>
        <v>4.6570758183889183</v>
      </c>
      <c r="K79" s="2">
        <f t="shared" si="2"/>
        <v>21.688355178222814</v>
      </c>
    </row>
    <row r="80" spans="1:11" x14ac:dyDescent="0.35">
      <c r="A80">
        <v>34</v>
      </c>
      <c r="B80">
        <v>2020</v>
      </c>
      <c r="C80">
        <v>2</v>
      </c>
      <c r="D80" t="s">
        <v>8</v>
      </c>
      <c r="E80" t="s">
        <v>9</v>
      </c>
      <c r="F80" t="s">
        <v>14</v>
      </c>
      <c r="G80" t="s">
        <v>28</v>
      </c>
      <c r="H80" s="2">
        <v>80.792682926829272</v>
      </c>
      <c r="I80" s="2">
        <f t="shared" si="0"/>
        <v>78.737170771591849</v>
      </c>
      <c r="J80" s="2">
        <f t="shared" si="1"/>
        <v>2.0555121552374231</v>
      </c>
      <c r="K80" s="2">
        <f t="shared" si="2"/>
        <v>4.2251302203287961</v>
      </c>
    </row>
    <row r="81" spans="1:18" x14ac:dyDescent="0.35">
      <c r="A81">
        <v>35</v>
      </c>
      <c r="B81">
        <v>2020</v>
      </c>
      <c r="C81">
        <v>3</v>
      </c>
      <c r="D81" t="s">
        <v>8</v>
      </c>
      <c r="E81" t="s">
        <v>9</v>
      </c>
      <c r="F81" t="s">
        <v>14</v>
      </c>
      <c r="G81" t="s">
        <v>28</v>
      </c>
      <c r="H81" s="2">
        <v>81.350482315112544</v>
      </c>
      <c r="I81" s="2">
        <f t="shared" si="0"/>
        <v>78.347633577788827</v>
      </c>
      <c r="J81" s="2">
        <f t="shared" si="1"/>
        <v>3.0028487373237169</v>
      </c>
      <c r="K81" s="2">
        <f t="shared" si="2"/>
        <v>9.0171005392466412</v>
      </c>
    </row>
    <row r="82" spans="1:18" x14ac:dyDescent="0.35">
      <c r="A82">
        <v>36</v>
      </c>
      <c r="B82">
        <v>2020</v>
      </c>
      <c r="C82">
        <v>4</v>
      </c>
      <c r="D82" t="s">
        <v>8</v>
      </c>
      <c r="E82" t="s">
        <v>9</v>
      </c>
      <c r="F82" t="s">
        <v>14</v>
      </c>
      <c r="G82" t="s">
        <v>28</v>
      </c>
      <c r="H82" s="2">
        <v>86.206896551724128</v>
      </c>
      <c r="I82" s="2">
        <f t="shared" si="0"/>
        <v>77.958096383985819</v>
      </c>
      <c r="J82" s="2">
        <f t="shared" si="1"/>
        <v>8.2488001677383096</v>
      </c>
      <c r="K82" s="2">
        <f t="shared" si="2"/>
        <v>68.04270420727957</v>
      </c>
    </row>
    <row r="83" spans="1:18" x14ac:dyDescent="0.35">
      <c r="A83">
        <v>37</v>
      </c>
      <c r="B83">
        <v>2021</v>
      </c>
      <c r="C83">
        <v>1</v>
      </c>
      <c r="D83" t="s">
        <v>8</v>
      </c>
      <c r="E83" t="s">
        <v>9</v>
      </c>
      <c r="F83" t="s">
        <v>14</v>
      </c>
      <c r="G83" t="s">
        <v>28</v>
      </c>
      <c r="H83" s="2">
        <v>75.454545454545453</v>
      </c>
      <c r="I83" s="2">
        <f t="shared" si="0"/>
        <v>77.568559190182796</v>
      </c>
      <c r="J83" s="2">
        <f t="shared" si="1"/>
        <v>-2.114013735637343</v>
      </c>
      <c r="K83" s="2">
        <f t="shared" si="2"/>
        <v>4.4690540744633536</v>
      </c>
    </row>
    <row r="84" spans="1:18" x14ac:dyDescent="0.35">
      <c r="A84">
        <v>38</v>
      </c>
      <c r="B84">
        <v>2021</v>
      </c>
      <c r="C84">
        <v>2</v>
      </c>
      <c r="D84" t="s">
        <v>8</v>
      </c>
      <c r="E84" t="s">
        <v>9</v>
      </c>
      <c r="F84" t="s">
        <v>14</v>
      </c>
      <c r="G84" t="s">
        <v>28</v>
      </c>
      <c r="H84" s="2">
        <v>80.361757105943155</v>
      </c>
      <c r="I84" s="2">
        <f t="shared" si="0"/>
        <v>77.179021996379774</v>
      </c>
      <c r="J84" s="2">
        <f t="shared" si="1"/>
        <v>3.1827351095633816</v>
      </c>
      <c r="K84" s="2">
        <f t="shared" si="2"/>
        <v>10.129802777647431</v>
      </c>
    </row>
    <row r="85" spans="1:18" x14ac:dyDescent="0.35">
      <c r="A85">
        <v>39</v>
      </c>
      <c r="B85">
        <v>2021</v>
      </c>
      <c r="C85">
        <v>3</v>
      </c>
      <c r="D85" t="s">
        <v>8</v>
      </c>
      <c r="E85" t="s">
        <v>9</v>
      </c>
      <c r="F85" t="s">
        <v>14</v>
      </c>
      <c r="G85" t="s">
        <v>28</v>
      </c>
      <c r="H85" s="2">
        <v>75.335120643431637</v>
      </c>
      <c r="I85" s="2">
        <f t="shared" si="0"/>
        <v>76.789484802576752</v>
      </c>
      <c r="J85" s="2">
        <f t="shared" si="1"/>
        <v>-1.4543641591451149</v>
      </c>
      <c r="K85" s="2">
        <f t="shared" si="2"/>
        <v>2.1151751074058769</v>
      </c>
    </row>
    <row r="86" spans="1:18" x14ac:dyDescent="0.35">
      <c r="A86">
        <v>40</v>
      </c>
      <c r="B86">
        <v>2021</v>
      </c>
      <c r="C86">
        <v>4</v>
      </c>
      <c r="D86" t="s">
        <v>8</v>
      </c>
      <c r="E86" t="s">
        <v>9</v>
      </c>
      <c r="F86" t="s">
        <v>14</v>
      </c>
      <c r="G86" t="s">
        <v>28</v>
      </c>
      <c r="H86" s="2">
        <v>72.616136919315394</v>
      </c>
      <c r="I86" s="2">
        <f t="shared" si="0"/>
        <v>76.399947608773743</v>
      </c>
      <c r="J86" s="2">
        <f t="shared" si="1"/>
        <v>-3.783810689458349</v>
      </c>
      <c r="K86" s="2">
        <f t="shared" si="2"/>
        <v>14.317223333659266</v>
      </c>
    </row>
    <row r="87" spans="1:18" ht="15" thickBot="1" x14ac:dyDescent="0.4">
      <c r="K87" s="2"/>
    </row>
    <row r="88" spans="1:18" x14ac:dyDescent="0.35">
      <c r="H88" s="6"/>
      <c r="I88" s="6" t="s">
        <v>57</v>
      </c>
    </row>
    <row r="89" spans="1:18" x14ac:dyDescent="0.35">
      <c r="H89" t="s">
        <v>51</v>
      </c>
      <c r="I89">
        <v>91.981435360894494</v>
      </c>
    </row>
    <row r="90" spans="1:18" ht="15" thickBot="1" x14ac:dyDescent="0.4">
      <c r="H90" s="5" t="s">
        <v>0</v>
      </c>
      <c r="I90" s="5">
        <v>-0.38953719380301893</v>
      </c>
    </row>
    <row r="92" spans="1:18" x14ac:dyDescent="0.35">
      <c r="A92" t="s">
        <v>69</v>
      </c>
    </row>
    <row r="93" spans="1:18" x14ac:dyDescent="0.35">
      <c r="A93" s="3" t="s">
        <v>0</v>
      </c>
      <c r="B93" s="3" t="s">
        <v>1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  <c r="H93" s="3" t="s">
        <v>0</v>
      </c>
      <c r="I93" s="3" t="s">
        <v>70</v>
      </c>
      <c r="J93" s="3" t="s">
        <v>71</v>
      </c>
      <c r="K93" s="3" t="s">
        <v>72</v>
      </c>
      <c r="L93" s="4" t="s">
        <v>7</v>
      </c>
      <c r="M93" s="3" t="s">
        <v>64</v>
      </c>
      <c r="N93" s="3" t="s">
        <v>66</v>
      </c>
      <c r="O93" s="3" t="s">
        <v>67</v>
      </c>
      <c r="Q93" s="3" t="s">
        <v>68</v>
      </c>
      <c r="R93" s="2">
        <f>AVERAGE(O94:O133)</f>
        <v>8.1514445932830988</v>
      </c>
    </row>
    <row r="94" spans="1:18" x14ac:dyDescent="0.35">
      <c r="A94">
        <v>1</v>
      </c>
      <c r="B94">
        <v>2012</v>
      </c>
      <c r="C94">
        <v>1</v>
      </c>
      <c r="D94" t="s">
        <v>8</v>
      </c>
      <c r="E94" t="s">
        <v>9</v>
      </c>
      <c r="F94" t="s">
        <v>14</v>
      </c>
      <c r="G94" t="s">
        <v>28</v>
      </c>
      <c r="H94">
        <v>1</v>
      </c>
      <c r="I94">
        <v>1</v>
      </c>
      <c r="J94">
        <v>0</v>
      </c>
      <c r="K94">
        <v>0</v>
      </c>
      <c r="L94" s="2">
        <v>90.102389078498291</v>
      </c>
      <c r="M94" s="2">
        <f t="shared" ref="M94:M133" si="3">$O$140+$O$141*H94+$O$142*I94+$O$143*J94+$O$144*K94</f>
        <v>90.609934429684841</v>
      </c>
      <c r="N94" s="2">
        <f>L94-M94</f>
        <v>-0.50754535118655042</v>
      </c>
      <c r="O94" s="2">
        <f>N94*N94</f>
        <v>0.25760228351107878</v>
      </c>
    </row>
    <row r="95" spans="1:18" x14ac:dyDescent="0.35">
      <c r="A95">
        <v>2</v>
      </c>
      <c r="B95">
        <v>2012</v>
      </c>
      <c r="C95">
        <v>2</v>
      </c>
      <c r="D95" t="s">
        <v>8</v>
      </c>
      <c r="E95" t="s">
        <v>9</v>
      </c>
      <c r="F95" t="s">
        <v>14</v>
      </c>
      <c r="G95" t="s">
        <v>28</v>
      </c>
      <c r="H95">
        <v>2</v>
      </c>
      <c r="I95">
        <v>0</v>
      </c>
      <c r="J95">
        <v>1</v>
      </c>
      <c r="K95">
        <v>0</v>
      </c>
      <c r="L95" s="2">
        <v>95.136778115501514</v>
      </c>
      <c r="M95" s="2">
        <f t="shared" si="3"/>
        <v>92.399386407636925</v>
      </c>
      <c r="N95" s="2">
        <f t="shared" ref="N95:N133" si="4">L95-M95</f>
        <v>2.7373917078645889</v>
      </c>
      <c r="O95" s="2">
        <f t="shared" ref="O95:O133" si="5">N95*N95</f>
        <v>7.4933133622858108</v>
      </c>
    </row>
    <row r="96" spans="1:18" x14ac:dyDescent="0.35">
      <c r="A96">
        <v>3</v>
      </c>
      <c r="B96">
        <v>2012</v>
      </c>
      <c r="C96">
        <v>3</v>
      </c>
      <c r="D96" t="s">
        <v>8</v>
      </c>
      <c r="E96" t="s">
        <v>9</v>
      </c>
      <c r="F96" t="s">
        <v>14</v>
      </c>
      <c r="G96" t="s">
        <v>28</v>
      </c>
      <c r="H96">
        <v>3</v>
      </c>
      <c r="I96">
        <v>0</v>
      </c>
      <c r="J96">
        <v>0</v>
      </c>
      <c r="K96">
        <v>1</v>
      </c>
      <c r="L96" s="2">
        <v>88.679245283018872</v>
      </c>
      <c r="M96" s="2">
        <f t="shared" si="3"/>
        <v>89.753752739786592</v>
      </c>
      <c r="N96" s="2">
        <f t="shared" si="4"/>
        <v>-1.0745074567677193</v>
      </c>
      <c r="O96" s="2">
        <f t="shared" si="5"/>
        <v>1.1545662746494321</v>
      </c>
    </row>
    <row r="97" spans="1:15" x14ac:dyDescent="0.35">
      <c r="A97">
        <v>4</v>
      </c>
      <c r="B97">
        <v>2012</v>
      </c>
      <c r="C97">
        <v>4</v>
      </c>
      <c r="D97" t="s">
        <v>8</v>
      </c>
      <c r="E97" t="s">
        <v>9</v>
      </c>
      <c r="F97" t="s">
        <v>14</v>
      </c>
      <c r="G97" t="s">
        <v>28</v>
      </c>
      <c r="H97">
        <v>4</v>
      </c>
      <c r="I97">
        <v>0</v>
      </c>
      <c r="J97">
        <v>0</v>
      </c>
      <c r="K97">
        <v>0</v>
      </c>
      <c r="L97" s="2">
        <v>95.59748427672956</v>
      </c>
      <c r="M97" s="2">
        <f t="shared" si="3"/>
        <v>91.543452165563153</v>
      </c>
      <c r="N97" s="2">
        <f t="shared" si="4"/>
        <v>4.054032111166407</v>
      </c>
      <c r="O97" s="2">
        <f t="shared" si="5"/>
        <v>16.435176358368356</v>
      </c>
    </row>
    <row r="98" spans="1:15" x14ac:dyDescent="0.35">
      <c r="A98">
        <v>5</v>
      </c>
      <c r="B98">
        <v>2013</v>
      </c>
      <c r="C98">
        <v>1</v>
      </c>
      <c r="D98" t="s">
        <v>8</v>
      </c>
      <c r="E98" t="s">
        <v>9</v>
      </c>
      <c r="F98" t="s">
        <v>14</v>
      </c>
      <c r="G98" t="s">
        <v>28</v>
      </c>
      <c r="H98">
        <v>5</v>
      </c>
      <c r="I98">
        <v>1</v>
      </c>
      <c r="J98">
        <v>0</v>
      </c>
      <c r="K98">
        <v>0</v>
      </c>
      <c r="L98" s="2">
        <v>90.202702702702695</v>
      </c>
      <c r="M98" s="2">
        <f t="shared" si="3"/>
        <v>89.036443641299229</v>
      </c>
      <c r="N98" s="2">
        <f t="shared" si="4"/>
        <v>1.1662590614034656</v>
      </c>
      <c r="O98" s="2">
        <f t="shared" si="5"/>
        <v>1.3601601983056926</v>
      </c>
    </row>
    <row r="99" spans="1:15" x14ac:dyDescent="0.35">
      <c r="A99">
        <v>6</v>
      </c>
      <c r="B99">
        <v>2013</v>
      </c>
      <c r="C99">
        <v>2</v>
      </c>
      <c r="D99" t="s">
        <v>8</v>
      </c>
      <c r="E99" t="s">
        <v>9</v>
      </c>
      <c r="F99" t="s">
        <v>14</v>
      </c>
      <c r="G99" t="s">
        <v>28</v>
      </c>
      <c r="H99">
        <v>6</v>
      </c>
      <c r="I99">
        <v>0</v>
      </c>
      <c r="J99">
        <v>1</v>
      </c>
      <c r="K99">
        <v>0</v>
      </c>
      <c r="L99" s="2">
        <v>88.698630136986296</v>
      </c>
      <c r="M99" s="2">
        <f t="shared" si="3"/>
        <v>90.825895619251312</v>
      </c>
      <c r="N99" s="2">
        <f t="shared" si="4"/>
        <v>-2.1272654822650168</v>
      </c>
      <c r="O99" s="2">
        <f t="shared" si="5"/>
        <v>4.5252584320362148</v>
      </c>
    </row>
    <row r="100" spans="1:15" x14ac:dyDescent="0.35">
      <c r="A100">
        <v>7</v>
      </c>
      <c r="B100">
        <v>2013</v>
      </c>
      <c r="C100">
        <v>3</v>
      </c>
      <c r="D100" t="s">
        <v>8</v>
      </c>
      <c r="E100" t="s">
        <v>9</v>
      </c>
      <c r="F100" t="s">
        <v>14</v>
      </c>
      <c r="G100" t="s">
        <v>28</v>
      </c>
      <c r="H100">
        <v>7</v>
      </c>
      <c r="I100">
        <v>0</v>
      </c>
      <c r="J100">
        <v>0</v>
      </c>
      <c r="K100">
        <v>1</v>
      </c>
      <c r="L100" s="2">
        <v>89.368770764119603</v>
      </c>
      <c r="M100" s="2">
        <f t="shared" si="3"/>
        <v>88.180261951400979</v>
      </c>
      <c r="N100" s="2">
        <f t="shared" si="4"/>
        <v>1.1885088127186236</v>
      </c>
      <c r="O100" s="2">
        <f t="shared" si="5"/>
        <v>1.4125531979098325</v>
      </c>
    </row>
    <row r="101" spans="1:15" x14ac:dyDescent="0.35">
      <c r="A101">
        <v>8</v>
      </c>
      <c r="B101">
        <v>2013</v>
      </c>
      <c r="C101">
        <v>4</v>
      </c>
      <c r="D101" t="s">
        <v>8</v>
      </c>
      <c r="E101" t="s">
        <v>9</v>
      </c>
      <c r="F101" t="s">
        <v>14</v>
      </c>
      <c r="G101" t="s">
        <v>28</v>
      </c>
      <c r="H101">
        <v>8</v>
      </c>
      <c r="I101">
        <v>0</v>
      </c>
      <c r="J101">
        <v>0</v>
      </c>
      <c r="K101">
        <v>0</v>
      </c>
      <c r="L101" s="2">
        <v>92.145015105740185</v>
      </c>
      <c r="M101" s="2">
        <f t="shared" si="3"/>
        <v>89.969961377177526</v>
      </c>
      <c r="N101" s="2">
        <f t="shared" si="4"/>
        <v>2.1750537285626592</v>
      </c>
      <c r="O101" s="2">
        <f t="shared" si="5"/>
        <v>4.7308587221343261</v>
      </c>
    </row>
    <row r="102" spans="1:15" x14ac:dyDescent="0.35">
      <c r="A102">
        <v>9</v>
      </c>
      <c r="B102">
        <v>2014</v>
      </c>
      <c r="C102">
        <v>1</v>
      </c>
      <c r="D102" t="s">
        <v>8</v>
      </c>
      <c r="E102" t="s">
        <v>9</v>
      </c>
      <c r="F102" t="s">
        <v>14</v>
      </c>
      <c r="G102" t="s">
        <v>28</v>
      </c>
      <c r="H102">
        <v>9</v>
      </c>
      <c r="I102">
        <v>1</v>
      </c>
      <c r="J102">
        <v>0</v>
      </c>
      <c r="K102">
        <v>0</v>
      </c>
      <c r="L102" s="2">
        <v>85.483870967741936</v>
      </c>
      <c r="M102" s="2">
        <f t="shared" si="3"/>
        <v>87.462952852913617</v>
      </c>
      <c r="N102" s="2">
        <f t="shared" si="4"/>
        <v>-1.9790818851716807</v>
      </c>
      <c r="O102" s="2">
        <f t="shared" si="5"/>
        <v>3.9167651082146935</v>
      </c>
    </row>
    <row r="103" spans="1:15" x14ac:dyDescent="0.35">
      <c r="A103">
        <v>10</v>
      </c>
      <c r="B103">
        <v>2014</v>
      </c>
      <c r="C103">
        <v>2</v>
      </c>
      <c r="D103" t="s">
        <v>8</v>
      </c>
      <c r="E103" t="s">
        <v>9</v>
      </c>
      <c r="F103" t="s">
        <v>14</v>
      </c>
      <c r="G103" t="s">
        <v>28</v>
      </c>
      <c r="H103">
        <v>10</v>
      </c>
      <c r="I103">
        <v>0</v>
      </c>
      <c r="J103">
        <v>1</v>
      </c>
      <c r="K103">
        <v>0</v>
      </c>
      <c r="L103" s="2">
        <v>90.282131661442008</v>
      </c>
      <c r="M103" s="2">
        <f t="shared" si="3"/>
        <v>89.252404830865686</v>
      </c>
      <c r="N103" s="2">
        <f t="shared" si="4"/>
        <v>1.0297268305763225</v>
      </c>
      <c r="O103" s="2">
        <f t="shared" si="5"/>
        <v>1.0603373456087584</v>
      </c>
    </row>
    <row r="104" spans="1:15" x14ac:dyDescent="0.35">
      <c r="A104">
        <v>11</v>
      </c>
      <c r="B104">
        <v>2014</v>
      </c>
      <c r="C104">
        <v>3</v>
      </c>
      <c r="D104" t="s">
        <v>8</v>
      </c>
      <c r="E104" t="s">
        <v>9</v>
      </c>
      <c r="F104" t="s">
        <v>14</v>
      </c>
      <c r="G104" t="s">
        <v>28</v>
      </c>
      <c r="H104">
        <v>11</v>
      </c>
      <c r="I104">
        <v>0</v>
      </c>
      <c r="J104">
        <v>0</v>
      </c>
      <c r="K104">
        <v>1</v>
      </c>
      <c r="L104" s="2">
        <v>86.82634730538922</v>
      </c>
      <c r="M104" s="2">
        <f t="shared" si="3"/>
        <v>86.606771163015367</v>
      </c>
      <c r="N104" s="2">
        <f t="shared" si="4"/>
        <v>0.21957614237385314</v>
      </c>
      <c r="O104" s="2">
        <f t="shared" si="5"/>
        <v>4.8213682299782623E-2</v>
      </c>
    </row>
    <row r="105" spans="1:15" x14ac:dyDescent="0.35">
      <c r="A105">
        <v>12</v>
      </c>
      <c r="B105">
        <v>2014</v>
      </c>
      <c r="C105">
        <v>4</v>
      </c>
      <c r="D105" t="s">
        <v>8</v>
      </c>
      <c r="E105" t="s">
        <v>9</v>
      </c>
      <c r="F105" t="s">
        <v>14</v>
      </c>
      <c r="G105" t="s">
        <v>28</v>
      </c>
      <c r="H105">
        <v>12</v>
      </c>
      <c r="I105">
        <v>0</v>
      </c>
      <c r="J105">
        <v>0</v>
      </c>
      <c r="K105">
        <v>0</v>
      </c>
      <c r="L105" s="2">
        <v>89.130434782608688</v>
      </c>
      <c r="M105" s="2">
        <f t="shared" si="3"/>
        <v>88.396470588791914</v>
      </c>
      <c r="N105" s="2">
        <f t="shared" si="4"/>
        <v>0.73396419381677447</v>
      </c>
      <c r="O105" s="2">
        <f t="shared" si="5"/>
        <v>0.53870343780510765</v>
      </c>
    </row>
    <row r="106" spans="1:15" x14ac:dyDescent="0.35">
      <c r="A106">
        <v>13</v>
      </c>
      <c r="B106">
        <v>2015</v>
      </c>
      <c r="C106">
        <v>1</v>
      </c>
      <c r="D106" t="s">
        <v>8</v>
      </c>
      <c r="E106" t="s">
        <v>9</v>
      </c>
      <c r="F106" t="s">
        <v>14</v>
      </c>
      <c r="G106" t="s">
        <v>28</v>
      </c>
      <c r="H106">
        <v>13</v>
      </c>
      <c r="I106">
        <v>1</v>
      </c>
      <c r="J106">
        <v>0</v>
      </c>
      <c r="K106">
        <v>0</v>
      </c>
      <c r="L106" s="2">
        <v>85.534591194968556</v>
      </c>
      <c r="M106" s="2">
        <f t="shared" si="3"/>
        <v>85.889462064528004</v>
      </c>
      <c r="N106" s="2">
        <f t="shared" si="4"/>
        <v>-0.35487086955944847</v>
      </c>
      <c r="O106" s="2">
        <f t="shared" si="5"/>
        <v>0.12593333406187909</v>
      </c>
    </row>
    <row r="107" spans="1:15" x14ac:dyDescent="0.35">
      <c r="A107">
        <v>14</v>
      </c>
      <c r="B107">
        <v>2015</v>
      </c>
      <c r="C107">
        <v>2</v>
      </c>
      <c r="D107" t="s">
        <v>8</v>
      </c>
      <c r="E107" t="s">
        <v>9</v>
      </c>
      <c r="F107" t="s">
        <v>14</v>
      </c>
      <c r="G107" t="s">
        <v>28</v>
      </c>
      <c r="H107">
        <v>14</v>
      </c>
      <c r="I107">
        <v>0</v>
      </c>
      <c r="J107">
        <v>1</v>
      </c>
      <c r="K107">
        <v>0</v>
      </c>
      <c r="L107" s="2">
        <v>84.482758620689651</v>
      </c>
      <c r="M107" s="2">
        <f t="shared" si="3"/>
        <v>87.678914042480073</v>
      </c>
      <c r="N107" s="2">
        <f t="shared" si="4"/>
        <v>-3.1961554217904222</v>
      </c>
      <c r="O107" s="2">
        <f t="shared" si="5"/>
        <v>10.215409480240313</v>
      </c>
    </row>
    <row r="108" spans="1:15" x14ac:dyDescent="0.35">
      <c r="A108">
        <v>15</v>
      </c>
      <c r="B108">
        <v>2015</v>
      </c>
      <c r="C108">
        <v>3</v>
      </c>
      <c r="D108" t="s">
        <v>8</v>
      </c>
      <c r="E108" t="s">
        <v>9</v>
      </c>
      <c r="F108" t="s">
        <v>14</v>
      </c>
      <c r="G108" t="s">
        <v>28</v>
      </c>
      <c r="H108">
        <v>15</v>
      </c>
      <c r="I108">
        <v>0</v>
      </c>
      <c r="J108">
        <v>0</v>
      </c>
      <c r="K108">
        <v>1</v>
      </c>
      <c r="L108" s="2">
        <v>85</v>
      </c>
      <c r="M108" s="2">
        <f t="shared" si="3"/>
        <v>85.03328037462974</v>
      </c>
      <c r="N108" s="2">
        <f t="shared" si="4"/>
        <v>-3.3280374629740095E-2</v>
      </c>
      <c r="O108" s="2">
        <f t="shared" si="5"/>
        <v>1.1075833354958482E-3</v>
      </c>
    </row>
    <row r="109" spans="1:15" x14ac:dyDescent="0.35">
      <c r="A109">
        <v>16</v>
      </c>
      <c r="B109">
        <v>2015</v>
      </c>
      <c r="C109">
        <v>4</v>
      </c>
      <c r="D109" t="s">
        <v>8</v>
      </c>
      <c r="E109" t="s">
        <v>9</v>
      </c>
      <c r="F109" t="s">
        <v>14</v>
      </c>
      <c r="G109" t="s">
        <v>28</v>
      </c>
      <c r="H109">
        <v>16</v>
      </c>
      <c r="I109">
        <v>0</v>
      </c>
      <c r="J109">
        <v>0</v>
      </c>
      <c r="K109">
        <v>0</v>
      </c>
      <c r="L109" s="2">
        <v>86.549707602339183</v>
      </c>
      <c r="M109" s="2">
        <f t="shared" si="3"/>
        <v>86.822979800406301</v>
      </c>
      <c r="N109" s="2">
        <f t="shared" si="4"/>
        <v>-0.27327219806711867</v>
      </c>
      <c r="O109" s="2">
        <f t="shared" si="5"/>
        <v>7.4677694236434541E-2</v>
      </c>
    </row>
    <row r="110" spans="1:15" x14ac:dyDescent="0.35">
      <c r="A110">
        <v>17</v>
      </c>
      <c r="B110">
        <v>2016</v>
      </c>
      <c r="C110">
        <v>1</v>
      </c>
      <c r="D110" t="s">
        <v>8</v>
      </c>
      <c r="E110" t="s">
        <v>9</v>
      </c>
      <c r="F110" t="s">
        <v>14</v>
      </c>
      <c r="G110" t="s">
        <v>28</v>
      </c>
      <c r="H110">
        <v>17</v>
      </c>
      <c r="I110">
        <v>1</v>
      </c>
      <c r="J110">
        <v>0</v>
      </c>
      <c r="K110">
        <v>0</v>
      </c>
      <c r="L110" s="2">
        <v>86.834733893557427</v>
      </c>
      <c r="M110" s="2">
        <f t="shared" si="3"/>
        <v>84.315971276142378</v>
      </c>
      <c r="N110" s="2">
        <f t="shared" si="4"/>
        <v>2.5187626174150495</v>
      </c>
      <c r="O110" s="2">
        <f t="shared" si="5"/>
        <v>6.3441651228875111</v>
      </c>
    </row>
    <row r="111" spans="1:15" x14ac:dyDescent="0.35">
      <c r="A111">
        <v>18</v>
      </c>
      <c r="B111">
        <v>2016</v>
      </c>
      <c r="C111">
        <v>2</v>
      </c>
      <c r="D111" t="s">
        <v>8</v>
      </c>
      <c r="E111" t="s">
        <v>9</v>
      </c>
      <c r="F111" t="s">
        <v>14</v>
      </c>
      <c r="G111" t="s">
        <v>28</v>
      </c>
      <c r="H111">
        <v>18</v>
      </c>
      <c r="I111">
        <v>0</v>
      </c>
      <c r="J111">
        <v>1</v>
      </c>
      <c r="K111">
        <v>0</v>
      </c>
      <c r="L111" s="2">
        <v>85.13513513513513</v>
      </c>
      <c r="M111" s="2">
        <f t="shared" si="3"/>
        <v>86.105423254094461</v>
      </c>
      <c r="N111" s="2">
        <f t="shared" si="4"/>
        <v>-0.97028811895933131</v>
      </c>
      <c r="O111" s="2">
        <f t="shared" si="5"/>
        <v>0.94145903379363749</v>
      </c>
    </row>
    <row r="112" spans="1:15" x14ac:dyDescent="0.35">
      <c r="A112">
        <v>19</v>
      </c>
      <c r="B112">
        <v>2016</v>
      </c>
      <c r="C112">
        <v>3</v>
      </c>
      <c r="D112" t="s">
        <v>8</v>
      </c>
      <c r="E112" t="s">
        <v>9</v>
      </c>
      <c r="F112" t="s">
        <v>14</v>
      </c>
      <c r="G112" t="s">
        <v>28</v>
      </c>
      <c r="H112">
        <v>19</v>
      </c>
      <c r="I112">
        <v>0</v>
      </c>
      <c r="J112">
        <v>0</v>
      </c>
      <c r="K112">
        <v>1</v>
      </c>
      <c r="L112" s="2">
        <v>81.723237597911222</v>
      </c>
      <c r="M112" s="2">
        <f t="shared" si="3"/>
        <v>83.459789586244128</v>
      </c>
      <c r="N112" s="2">
        <f t="shared" si="4"/>
        <v>-1.7365519883329057</v>
      </c>
      <c r="O112" s="2">
        <f t="shared" si="5"/>
        <v>3.0156128081829681</v>
      </c>
    </row>
    <row r="113" spans="1:15" x14ac:dyDescent="0.35">
      <c r="A113">
        <v>20</v>
      </c>
      <c r="B113">
        <v>2016</v>
      </c>
      <c r="C113">
        <v>4</v>
      </c>
      <c r="D113" t="s">
        <v>8</v>
      </c>
      <c r="E113" t="s">
        <v>9</v>
      </c>
      <c r="F113" t="s">
        <v>14</v>
      </c>
      <c r="G113" t="s">
        <v>28</v>
      </c>
      <c r="H113">
        <v>20</v>
      </c>
      <c r="I113">
        <v>0</v>
      </c>
      <c r="J113">
        <v>0</v>
      </c>
      <c r="K113">
        <v>0</v>
      </c>
      <c r="L113" s="2">
        <v>84.382871536523936</v>
      </c>
      <c r="M113" s="2">
        <f t="shared" si="3"/>
        <v>85.249489012020689</v>
      </c>
      <c r="N113" s="2">
        <f t="shared" si="4"/>
        <v>-0.86661747549675283</v>
      </c>
      <c r="O113" s="2">
        <f t="shared" si="5"/>
        <v>0.75102584883636503</v>
      </c>
    </row>
    <row r="114" spans="1:15" x14ac:dyDescent="0.35">
      <c r="A114">
        <v>21</v>
      </c>
      <c r="B114">
        <v>2017</v>
      </c>
      <c r="C114">
        <v>1</v>
      </c>
      <c r="D114" t="s">
        <v>8</v>
      </c>
      <c r="E114" t="s">
        <v>9</v>
      </c>
      <c r="F114" t="s">
        <v>14</v>
      </c>
      <c r="G114" t="s">
        <v>28</v>
      </c>
      <c r="H114">
        <v>21</v>
      </c>
      <c r="I114">
        <v>1</v>
      </c>
      <c r="J114">
        <v>0</v>
      </c>
      <c r="K114">
        <v>0</v>
      </c>
      <c r="L114" s="2">
        <v>85.359801488833739</v>
      </c>
      <c r="M114" s="2">
        <f t="shared" si="3"/>
        <v>82.742480487756765</v>
      </c>
      <c r="N114" s="2">
        <f t="shared" si="4"/>
        <v>2.6173210010769736</v>
      </c>
      <c r="O114" s="2">
        <f t="shared" si="5"/>
        <v>6.8503692226785713</v>
      </c>
    </row>
    <row r="115" spans="1:15" x14ac:dyDescent="0.35">
      <c r="A115">
        <v>22</v>
      </c>
      <c r="B115">
        <v>2017</v>
      </c>
      <c r="C115">
        <v>2</v>
      </c>
      <c r="D115" t="s">
        <v>8</v>
      </c>
      <c r="E115" t="s">
        <v>9</v>
      </c>
      <c r="F115" t="s">
        <v>14</v>
      </c>
      <c r="G115" t="s">
        <v>28</v>
      </c>
      <c r="H115">
        <v>22</v>
      </c>
      <c r="I115">
        <v>0</v>
      </c>
      <c r="J115">
        <v>1</v>
      </c>
      <c r="K115">
        <v>0</v>
      </c>
      <c r="L115" s="2">
        <v>81.84143222506394</v>
      </c>
      <c r="M115" s="2">
        <f t="shared" si="3"/>
        <v>84.531932465708834</v>
      </c>
      <c r="N115" s="2">
        <f t="shared" si="4"/>
        <v>-2.6905002406448943</v>
      </c>
      <c r="O115" s="2">
        <f t="shared" si="5"/>
        <v>7.2387915449102342</v>
      </c>
    </row>
    <row r="116" spans="1:15" x14ac:dyDescent="0.35">
      <c r="A116">
        <v>23</v>
      </c>
      <c r="B116">
        <v>2017</v>
      </c>
      <c r="C116">
        <v>3</v>
      </c>
      <c r="D116" t="s">
        <v>8</v>
      </c>
      <c r="E116" t="s">
        <v>9</v>
      </c>
      <c r="F116" t="s">
        <v>14</v>
      </c>
      <c r="G116" t="s">
        <v>28</v>
      </c>
      <c r="H116">
        <v>23</v>
      </c>
      <c r="I116">
        <v>0</v>
      </c>
      <c r="J116">
        <v>0</v>
      </c>
      <c r="K116">
        <v>1</v>
      </c>
      <c r="L116" s="2">
        <v>82.608695652173907</v>
      </c>
      <c r="M116" s="2">
        <f t="shared" si="3"/>
        <v>81.886298797858515</v>
      </c>
      <c r="N116" s="2">
        <f t="shared" si="4"/>
        <v>0.72239685431539158</v>
      </c>
      <c r="O116" s="2">
        <f t="shared" si="5"/>
        <v>0.52185721512477312</v>
      </c>
    </row>
    <row r="117" spans="1:15" x14ac:dyDescent="0.35">
      <c r="A117">
        <v>24</v>
      </c>
      <c r="B117">
        <v>2017</v>
      </c>
      <c r="C117">
        <v>4</v>
      </c>
      <c r="D117" t="s">
        <v>8</v>
      </c>
      <c r="E117" t="s">
        <v>9</v>
      </c>
      <c r="F117" t="s">
        <v>14</v>
      </c>
      <c r="G117" t="s">
        <v>28</v>
      </c>
      <c r="H117">
        <v>24</v>
      </c>
      <c r="I117">
        <v>0</v>
      </c>
      <c r="J117">
        <v>0</v>
      </c>
      <c r="K117">
        <v>0</v>
      </c>
      <c r="L117" s="2">
        <v>79.606879606879616</v>
      </c>
      <c r="M117" s="2">
        <f t="shared" si="3"/>
        <v>83.675998223635062</v>
      </c>
      <c r="N117" s="2">
        <f t="shared" si="4"/>
        <v>-4.0691186167554463</v>
      </c>
      <c r="O117" s="2">
        <f t="shared" si="5"/>
        <v>16.557726317225757</v>
      </c>
    </row>
    <row r="118" spans="1:15" x14ac:dyDescent="0.35">
      <c r="A118">
        <v>25</v>
      </c>
      <c r="B118">
        <v>2018</v>
      </c>
      <c r="C118">
        <v>1</v>
      </c>
      <c r="D118" t="s">
        <v>8</v>
      </c>
      <c r="E118" t="s">
        <v>9</v>
      </c>
      <c r="F118" t="s">
        <v>14</v>
      </c>
      <c r="G118" t="s">
        <v>28</v>
      </c>
      <c r="H118">
        <v>25</v>
      </c>
      <c r="I118">
        <v>1</v>
      </c>
      <c r="J118">
        <v>0</v>
      </c>
      <c r="K118">
        <v>0</v>
      </c>
      <c r="L118" s="2">
        <v>75.797872340425528</v>
      </c>
      <c r="M118" s="2">
        <f t="shared" si="3"/>
        <v>81.168989699371153</v>
      </c>
      <c r="N118" s="2">
        <f t="shared" si="4"/>
        <v>-5.3711173589456251</v>
      </c>
      <c r="O118" s="2">
        <f t="shared" si="5"/>
        <v>28.848901683567028</v>
      </c>
    </row>
    <row r="119" spans="1:15" x14ac:dyDescent="0.35">
      <c r="A119">
        <v>26</v>
      </c>
      <c r="B119">
        <v>2018</v>
      </c>
      <c r="C119">
        <v>2</v>
      </c>
      <c r="D119" t="s">
        <v>8</v>
      </c>
      <c r="E119" t="s">
        <v>9</v>
      </c>
      <c r="F119" t="s">
        <v>14</v>
      </c>
      <c r="G119" t="s">
        <v>28</v>
      </c>
      <c r="H119">
        <v>26</v>
      </c>
      <c r="I119">
        <v>0</v>
      </c>
      <c r="J119">
        <v>1</v>
      </c>
      <c r="K119">
        <v>0</v>
      </c>
      <c r="L119" s="2">
        <v>79.820627802690581</v>
      </c>
      <c r="M119" s="2">
        <f t="shared" si="3"/>
        <v>82.958441677323222</v>
      </c>
      <c r="N119" s="2">
        <f t="shared" si="4"/>
        <v>-3.1378138746326414</v>
      </c>
      <c r="O119" s="2">
        <f t="shared" si="5"/>
        <v>9.8458759118371102</v>
      </c>
    </row>
    <row r="120" spans="1:15" x14ac:dyDescent="0.35">
      <c r="A120">
        <v>27</v>
      </c>
      <c r="B120">
        <v>2018</v>
      </c>
      <c r="C120">
        <v>3</v>
      </c>
      <c r="D120" t="s">
        <v>8</v>
      </c>
      <c r="E120" t="s">
        <v>9</v>
      </c>
      <c r="F120" t="s">
        <v>14</v>
      </c>
      <c r="G120" t="s">
        <v>28</v>
      </c>
      <c r="H120">
        <v>27</v>
      </c>
      <c r="I120">
        <v>0</v>
      </c>
      <c r="J120">
        <v>0</v>
      </c>
      <c r="K120">
        <v>1</v>
      </c>
      <c r="L120" s="2">
        <v>76.712328767123282</v>
      </c>
      <c r="M120" s="2">
        <f t="shared" si="3"/>
        <v>80.312808009472903</v>
      </c>
      <c r="N120" s="2">
        <f t="shared" si="4"/>
        <v>-3.6004792423496212</v>
      </c>
      <c r="O120" s="2">
        <f t="shared" si="5"/>
        <v>12.963450774590502</v>
      </c>
    </row>
    <row r="121" spans="1:15" x14ac:dyDescent="0.35">
      <c r="A121">
        <v>28</v>
      </c>
      <c r="B121">
        <v>2018</v>
      </c>
      <c r="C121">
        <v>4</v>
      </c>
      <c r="D121" t="s">
        <v>8</v>
      </c>
      <c r="E121" t="s">
        <v>9</v>
      </c>
      <c r="F121" t="s">
        <v>14</v>
      </c>
      <c r="G121" t="s">
        <v>28</v>
      </c>
      <c r="H121">
        <v>28</v>
      </c>
      <c r="I121">
        <v>0</v>
      </c>
      <c r="J121">
        <v>0</v>
      </c>
      <c r="K121">
        <v>0</v>
      </c>
      <c r="L121" s="2">
        <v>79.136690647482013</v>
      </c>
      <c r="M121" s="2">
        <f t="shared" si="3"/>
        <v>82.10250743524945</v>
      </c>
      <c r="N121" s="2">
        <f t="shared" si="4"/>
        <v>-2.9658167877674373</v>
      </c>
      <c r="O121" s="2">
        <f t="shared" si="5"/>
        <v>8.7960692186031597</v>
      </c>
    </row>
    <row r="122" spans="1:15" x14ac:dyDescent="0.35">
      <c r="A122">
        <v>29</v>
      </c>
      <c r="B122">
        <v>2019</v>
      </c>
      <c r="C122">
        <v>1</v>
      </c>
      <c r="D122" t="s">
        <v>8</v>
      </c>
      <c r="E122" t="s">
        <v>9</v>
      </c>
      <c r="F122" t="s">
        <v>14</v>
      </c>
      <c r="G122" t="s">
        <v>28</v>
      </c>
      <c r="H122">
        <v>29</v>
      </c>
      <c r="I122">
        <v>1</v>
      </c>
      <c r="J122">
        <v>0</v>
      </c>
      <c r="K122">
        <v>0</v>
      </c>
      <c r="L122" s="2">
        <v>76.737967914438499</v>
      </c>
      <c r="M122" s="2">
        <f t="shared" si="3"/>
        <v>79.595498910985526</v>
      </c>
      <c r="N122" s="2">
        <f t="shared" si="4"/>
        <v>-2.8575309965470268</v>
      </c>
      <c r="O122" s="2">
        <f t="shared" si="5"/>
        <v>8.1654833962270441</v>
      </c>
    </row>
    <row r="123" spans="1:15" x14ac:dyDescent="0.35">
      <c r="A123">
        <v>30</v>
      </c>
      <c r="B123">
        <v>2019</v>
      </c>
      <c r="C123">
        <v>2</v>
      </c>
      <c r="D123" t="s">
        <v>8</v>
      </c>
      <c r="E123" t="s">
        <v>9</v>
      </c>
      <c r="F123" t="s">
        <v>14</v>
      </c>
      <c r="G123" t="s">
        <v>28</v>
      </c>
      <c r="H123">
        <v>30</v>
      </c>
      <c r="I123">
        <v>0</v>
      </c>
      <c r="J123">
        <v>1</v>
      </c>
      <c r="K123">
        <v>0</v>
      </c>
      <c r="L123" s="2">
        <v>86.634844868735087</v>
      </c>
      <c r="M123" s="2">
        <f t="shared" si="3"/>
        <v>81.38495088893761</v>
      </c>
      <c r="N123" s="2">
        <f t="shared" si="4"/>
        <v>5.2498939797974771</v>
      </c>
      <c r="O123" s="2">
        <f t="shared" si="5"/>
        <v>27.561386799113791</v>
      </c>
    </row>
    <row r="124" spans="1:15" x14ac:dyDescent="0.35">
      <c r="A124">
        <v>31</v>
      </c>
      <c r="B124">
        <v>2019</v>
      </c>
      <c r="C124">
        <v>3</v>
      </c>
      <c r="D124" t="s">
        <v>8</v>
      </c>
      <c r="E124" t="s">
        <v>9</v>
      </c>
      <c r="F124" t="s">
        <v>14</v>
      </c>
      <c r="G124" t="s">
        <v>28</v>
      </c>
      <c r="H124">
        <v>31</v>
      </c>
      <c r="I124">
        <v>0</v>
      </c>
      <c r="J124">
        <v>0</v>
      </c>
      <c r="K124">
        <v>1</v>
      </c>
      <c r="L124" s="2">
        <v>79.126213592233015</v>
      </c>
      <c r="M124" s="2">
        <f t="shared" si="3"/>
        <v>78.739317221087276</v>
      </c>
      <c r="N124" s="2">
        <f t="shared" si="4"/>
        <v>0.38689637114573827</v>
      </c>
      <c r="O124" s="2">
        <f t="shared" si="5"/>
        <v>0.14968880200574086</v>
      </c>
    </row>
    <row r="125" spans="1:15" x14ac:dyDescent="0.35">
      <c r="A125">
        <v>32</v>
      </c>
      <c r="B125">
        <v>2019</v>
      </c>
      <c r="C125">
        <v>4</v>
      </c>
      <c r="D125" t="s">
        <v>8</v>
      </c>
      <c r="E125" t="s">
        <v>9</v>
      </c>
      <c r="F125" t="s">
        <v>14</v>
      </c>
      <c r="G125" t="s">
        <v>28</v>
      </c>
      <c r="H125">
        <v>32</v>
      </c>
      <c r="I125">
        <v>0</v>
      </c>
      <c r="J125">
        <v>0</v>
      </c>
      <c r="K125">
        <v>0</v>
      </c>
      <c r="L125" s="2">
        <v>79.255319148936167</v>
      </c>
      <c r="M125" s="2">
        <f t="shared" si="3"/>
        <v>80.529016646863838</v>
      </c>
      <c r="N125" s="2">
        <f t="shared" si="4"/>
        <v>-1.273697497927671</v>
      </c>
      <c r="O125" s="2">
        <f t="shared" si="5"/>
        <v>1.6223053162272094</v>
      </c>
    </row>
    <row r="126" spans="1:15" x14ac:dyDescent="0.35">
      <c r="A126">
        <v>33</v>
      </c>
      <c r="B126">
        <v>2020</v>
      </c>
      <c r="C126">
        <v>1</v>
      </c>
      <c r="D126" t="s">
        <v>8</v>
      </c>
      <c r="E126" t="s">
        <v>9</v>
      </c>
      <c r="F126" t="s">
        <v>14</v>
      </c>
      <c r="G126" t="s">
        <v>28</v>
      </c>
      <c r="H126">
        <v>33</v>
      </c>
      <c r="I126">
        <v>1</v>
      </c>
      <c r="J126">
        <v>0</v>
      </c>
      <c r="K126">
        <v>0</v>
      </c>
      <c r="L126" s="2">
        <v>83.78378378378379</v>
      </c>
      <c r="M126" s="2">
        <f t="shared" si="3"/>
        <v>78.022008122599914</v>
      </c>
      <c r="N126" s="2">
        <f t="shared" si="4"/>
        <v>5.7617756611838757</v>
      </c>
      <c r="O126" s="2">
        <f t="shared" si="5"/>
        <v>33.198058769810892</v>
      </c>
    </row>
    <row r="127" spans="1:15" x14ac:dyDescent="0.35">
      <c r="A127">
        <v>34</v>
      </c>
      <c r="B127">
        <v>2020</v>
      </c>
      <c r="C127">
        <v>2</v>
      </c>
      <c r="D127" t="s">
        <v>8</v>
      </c>
      <c r="E127" t="s">
        <v>9</v>
      </c>
      <c r="F127" t="s">
        <v>14</v>
      </c>
      <c r="G127" t="s">
        <v>28</v>
      </c>
      <c r="H127">
        <v>34</v>
      </c>
      <c r="I127">
        <v>0</v>
      </c>
      <c r="J127">
        <v>1</v>
      </c>
      <c r="K127">
        <v>0</v>
      </c>
      <c r="L127" s="2">
        <v>80.792682926829272</v>
      </c>
      <c r="M127" s="2">
        <f t="shared" si="3"/>
        <v>79.811460100551997</v>
      </c>
      <c r="N127" s="2">
        <f t="shared" si="4"/>
        <v>0.98122282627727486</v>
      </c>
      <c r="O127" s="2">
        <f t="shared" si="5"/>
        <v>0.9627982348075631</v>
      </c>
    </row>
    <row r="128" spans="1:15" x14ac:dyDescent="0.35">
      <c r="A128">
        <v>35</v>
      </c>
      <c r="B128">
        <v>2020</v>
      </c>
      <c r="C128">
        <v>3</v>
      </c>
      <c r="D128" t="s">
        <v>8</v>
      </c>
      <c r="E128" t="s">
        <v>9</v>
      </c>
      <c r="F128" t="s">
        <v>14</v>
      </c>
      <c r="G128" t="s">
        <v>28</v>
      </c>
      <c r="H128">
        <v>35</v>
      </c>
      <c r="I128">
        <v>0</v>
      </c>
      <c r="J128">
        <v>0</v>
      </c>
      <c r="K128">
        <v>1</v>
      </c>
      <c r="L128" s="2">
        <v>81.350482315112544</v>
      </c>
      <c r="M128" s="2">
        <f t="shared" si="3"/>
        <v>77.165826432701664</v>
      </c>
      <c r="N128" s="2">
        <f t="shared" si="4"/>
        <v>4.1846558824108797</v>
      </c>
      <c r="O128" s="2">
        <f t="shared" si="5"/>
        <v>17.511344854195979</v>
      </c>
    </row>
    <row r="129" spans="1:15" x14ac:dyDescent="0.35">
      <c r="A129">
        <v>36</v>
      </c>
      <c r="B129">
        <v>2020</v>
      </c>
      <c r="C129">
        <v>4</v>
      </c>
      <c r="D129" t="s">
        <v>8</v>
      </c>
      <c r="E129" t="s">
        <v>9</v>
      </c>
      <c r="F129" t="s">
        <v>14</v>
      </c>
      <c r="G129" t="s">
        <v>28</v>
      </c>
      <c r="H129">
        <v>36</v>
      </c>
      <c r="I129">
        <v>0</v>
      </c>
      <c r="J129">
        <v>0</v>
      </c>
      <c r="K129">
        <v>0</v>
      </c>
      <c r="L129" s="2">
        <v>86.206896551724128</v>
      </c>
      <c r="M129" s="2">
        <f t="shared" si="3"/>
        <v>78.955525858478211</v>
      </c>
      <c r="N129" s="2">
        <f t="shared" si="4"/>
        <v>7.2513706932459172</v>
      </c>
      <c r="O129" s="2">
        <f t="shared" si="5"/>
        <v>52.582376930865777</v>
      </c>
    </row>
    <row r="130" spans="1:15" x14ac:dyDescent="0.35">
      <c r="A130">
        <v>37</v>
      </c>
      <c r="B130">
        <v>2021</v>
      </c>
      <c r="C130">
        <v>1</v>
      </c>
      <c r="D130" t="s">
        <v>8</v>
      </c>
      <c r="E130" t="s">
        <v>9</v>
      </c>
      <c r="F130" t="s">
        <v>14</v>
      </c>
      <c r="G130" t="s">
        <v>28</v>
      </c>
      <c r="H130">
        <v>37</v>
      </c>
      <c r="I130">
        <v>1</v>
      </c>
      <c r="J130">
        <v>0</v>
      </c>
      <c r="K130">
        <v>0</v>
      </c>
      <c r="L130" s="2">
        <v>75.454545454545453</v>
      </c>
      <c r="M130" s="2">
        <f t="shared" si="3"/>
        <v>76.448517334214301</v>
      </c>
      <c r="N130" s="2">
        <f t="shared" si="4"/>
        <v>-0.99397187966884815</v>
      </c>
      <c r="O130" s="2">
        <f t="shared" si="5"/>
        <v>0.98798009757242311</v>
      </c>
    </row>
    <row r="131" spans="1:15" x14ac:dyDescent="0.35">
      <c r="A131">
        <v>38</v>
      </c>
      <c r="B131">
        <v>2021</v>
      </c>
      <c r="C131">
        <v>2</v>
      </c>
      <c r="D131" t="s">
        <v>8</v>
      </c>
      <c r="E131" t="s">
        <v>9</v>
      </c>
      <c r="F131" t="s">
        <v>14</v>
      </c>
      <c r="G131" t="s">
        <v>28</v>
      </c>
      <c r="H131">
        <v>38</v>
      </c>
      <c r="I131">
        <v>0</v>
      </c>
      <c r="J131">
        <v>1</v>
      </c>
      <c r="K131">
        <v>0</v>
      </c>
      <c r="L131" s="2">
        <v>80.361757105943155</v>
      </c>
      <c r="M131" s="2">
        <f t="shared" si="3"/>
        <v>78.237969312166371</v>
      </c>
      <c r="N131" s="2">
        <f t="shared" si="4"/>
        <v>2.1237877937767848</v>
      </c>
      <c r="O131" s="2">
        <f t="shared" si="5"/>
        <v>4.510474592995263</v>
      </c>
    </row>
    <row r="132" spans="1:15" x14ac:dyDescent="0.35">
      <c r="A132">
        <v>39</v>
      </c>
      <c r="B132">
        <v>2021</v>
      </c>
      <c r="C132">
        <v>3</v>
      </c>
      <c r="D132" t="s">
        <v>8</v>
      </c>
      <c r="E132" t="s">
        <v>9</v>
      </c>
      <c r="F132" t="s">
        <v>14</v>
      </c>
      <c r="G132" t="s">
        <v>28</v>
      </c>
      <c r="H132">
        <v>39</v>
      </c>
      <c r="I132">
        <v>0</v>
      </c>
      <c r="J132">
        <v>0</v>
      </c>
      <c r="K132">
        <v>1</v>
      </c>
      <c r="L132" s="2">
        <v>75.335120643431637</v>
      </c>
      <c r="M132" s="2">
        <f t="shared" si="3"/>
        <v>75.592335644316051</v>
      </c>
      <c r="N132" s="2">
        <f t="shared" si="4"/>
        <v>-0.25721500088441474</v>
      </c>
      <c r="O132" s="2">
        <f t="shared" si="5"/>
        <v>6.6159556679969478E-2</v>
      </c>
    </row>
    <row r="133" spans="1:15" x14ac:dyDescent="0.35">
      <c r="A133">
        <v>40</v>
      </c>
      <c r="B133">
        <v>2021</v>
      </c>
      <c r="C133">
        <v>4</v>
      </c>
      <c r="D133" t="s">
        <v>8</v>
      </c>
      <c r="E133" t="s">
        <v>9</v>
      </c>
      <c r="F133" t="s">
        <v>14</v>
      </c>
      <c r="G133" t="s">
        <v>28</v>
      </c>
      <c r="H133">
        <v>40</v>
      </c>
      <c r="I133">
        <v>0</v>
      </c>
      <c r="J133">
        <v>0</v>
      </c>
      <c r="K133">
        <v>0</v>
      </c>
      <c r="L133" s="2">
        <v>72.616136919315394</v>
      </c>
      <c r="M133" s="2">
        <f t="shared" si="3"/>
        <v>77.382035070092599</v>
      </c>
      <c r="N133" s="2">
        <f t="shared" si="4"/>
        <v>-4.765898150777204</v>
      </c>
      <c r="O133" s="2">
        <f t="shared" si="5"/>
        <v>22.713785183581575</v>
      </c>
    </row>
    <row r="134" spans="1:15" x14ac:dyDescent="0.35">
      <c r="H134">
        <v>41</v>
      </c>
      <c r="I134">
        <v>1</v>
      </c>
      <c r="J134">
        <v>0</v>
      </c>
      <c r="K134">
        <v>0</v>
      </c>
      <c r="L134" s="2"/>
      <c r="M134" s="2">
        <f t="shared" ref="M134:M137" si="6">$O$140+$O$141*H134+$O$142*I134+$O$143*J134+$O$144*K134</f>
        <v>74.875026545828689</v>
      </c>
      <c r="N134" s="2"/>
      <c r="O134" s="2"/>
    </row>
    <row r="135" spans="1:15" x14ac:dyDescent="0.35">
      <c r="H135">
        <v>42</v>
      </c>
      <c r="I135">
        <v>0</v>
      </c>
      <c r="J135">
        <v>1</v>
      </c>
      <c r="K135">
        <v>0</v>
      </c>
      <c r="L135" s="2"/>
      <c r="M135" s="2">
        <f t="shared" si="6"/>
        <v>76.664478523780758</v>
      </c>
      <c r="N135" s="2"/>
      <c r="O135" s="2"/>
    </row>
    <row r="136" spans="1:15" x14ac:dyDescent="0.35">
      <c r="H136">
        <v>43</v>
      </c>
      <c r="I136">
        <v>0</v>
      </c>
      <c r="J136">
        <v>0</v>
      </c>
      <c r="K136">
        <v>1</v>
      </c>
      <c r="L136" s="2"/>
      <c r="M136" s="2">
        <f t="shared" si="6"/>
        <v>74.018844855930425</v>
      </c>
      <c r="N136" s="2"/>
      <c r="O136" s="2"/>
    </row>
    <row r="137" spans="1:15" x14ac:dyDescent="0.35">
      <c r="H137">
        <v>44</v>
      </c>
      <c r="I137">
        <v>0</v>
      </c>
      <c r="J137">
        <v>0</v>
      </c>
      <c r="K137">
        <v>0</v>
      </c>
      <c r="L137" s="2"/>
      <c r="M137" s="2">
        <f t="shared" si="6"/>
        <v>75.808544281706986</v>
      </c>
      <c r="N137" s="2"/>
      <c r="O137" s="2"/>
    </row>
    <row r="138" spans="1:15" ht="15" thickBot="1" x14ac:dyDescent="0.4"/>
    <row r="139" spans="1:15" x14ac:dyDescent="0.35">
      <c r="N139" s="6"/>
      <c r="O139" s="6" t="s">
        <v>57</v>
      </c>
    </row>
    <row r="140" spans="1:15" x14ac:dyDescent="0.35">
      <c r="N140" t="s">
        <v>51</v>
      </c>
      <c r="O140">
        <v>93.116942953948765</v>
      </c>
    </row>
    <row r="141" spans="1:15" x14ac:dyDescent="0.35">
      <c r="N141" t="s">
        <v>0</v>
      </c>
      <c r="O141">
        <v>-0.3933726970964041</v>
      </c>
    </row>
    <row r="142" spans="1:15" x14ac:dyDescent="0.35">
      <c r="N142" t="s">
        <v>70</v>
      </c>
      <c r="O142">
        <v>-2.1136358271675073</v>
      </c>
    </row>
    <row r="143" spans="1:15" x14ac:dyDescent="0.35">
      <c r="N143" t="s">
        <v>71</v>
      </c>
      <c r="O143">
        <v>6.918884788096992E-2</v>
      </c>
    </row>
    <row r="144" spans="1:15" ht="15" thickBot="1" x14ac:dyDescent="0.4">
      <c r="N144" s="5" t="s">
        <v>72</v>
      </c>
      <c r="O144" s="5">
        <v>-2.1830721228729613</v>
      </c>
    </row>
    <row r="147" spans="1:16" x14ac:dyDescent="0.35">
      <c r="A147" t="s">
        <v>73</v>
      </c>
      <c r="G147" t="s">
        <v>74</v>
      </c>
      <c r="H147" s="2">
        <v>0.4</v>
      </c>
    </row>
    <row r="148" spans="1:16" x14ac:dyDescent="0.35">
      <c r="A148" s="3" t="s">
        <v>0</v>
      </c>
      <c r="B148" s="3" t="s">
        <v>1</v>
      </c>
      <c r="C148" s="3" t="s">
        <v>2</v>
      </c>
      <c r="D148" s="3" t="s">
        <v>3</v>
      </c>
      <c r="E148" s="3" t="s">
        <v>4</v>
      </c>
      <c r="F148" s="3" t="s">
        <v>5</v>
      </c>
      <c r="G148" s="3" t="s">
        <v>6</v>
      </c>
      <c r="H148" s="4" t="s">
        <v>7</v>
      </c>
      <c r="I148" s="3" t="s">
        <v>64</v>
      </c>
      <c r="J148" s="3" t="s">
        <v>66</v>
      </c>
      <c r="K148" s="3" t="s">
        <v>67</v>
      </c>
      <c r="M148" s="3" t="s">
        <v>68</v>
      </c>
      <c r="N148" s="2">
        <f>AVERAGE(K150:K188)</f>
        <v>12.044223693202904</v>
      </c>
    </row>
    <row r="149" spans="1:16" x14ac:dyDescent="0.35">
      <c r="A149">
        <v>1</v>
      </c>
      <c r="B149">
        <v>2012</v>
      </c>
      <c r="C149">
        <v>1</v>
      </c>
      <c r="D149" t="s">
        <v>8</v>
      </c>
      <c r="E149" t="s">
        <v>9</v>
      </c>
      <c r="F149" t="s">
        <v>14</v>
      </c>
      <c r="G149" t="s">
        <v>28</v>
      </c>
      <c r="H149" s="2">
        <v>90.102389078498291</v>
      </c>
      <c r="I149" s="2"/>
      <c r="J149" s="2"/>
      <c r="K149" s="2"/>
    </row>
    <row r="150" spans="1:16" x14ac:dyDescent="0.35">
      <c r="A150">
        <v>2</v>
      </c>
      <c r="B150">
        <v>2012</v>
      </c>
      <c r="C150">
        <v>2</v>
      </c>
      <c r="D150" t="s">
        <v>8</v>
      </c>
      <c r="E150" t="s">
        <v>9</v>
      </c>
      <c r="F150" t="s">
        <v>14</v>
      </c>
      <c r="G150" t="s">
        <v>28</v>
      </c>
      <c r="H150" s="2">
        <v>95.136778115501514</v>
      </c>
      <c r="I150" s="2">
        <f>H149</f>
        <v>90.102389078498291</v>
      </c>
      <c r="J150" s="2">
        <f t="shared" ref="J150:J188" si="7">H150-I150</f>
        <v>5.0343890370032227</v>
      </c>
      <c r="K150" s="2">
        <f t="shared" ref="K150:K188" si="8">J150*J150</f>
        <v>25.345072975898237</v>
      </c>
      <c r="N150" t="s">
        <v>75</v>
      </c>
      <c r="O150" t="s">
        <v>68</v>
      </c>
    </row>
    <row r="151" spans="1:16" x14ac:dyDescent="0.35">
      <c r="A151">
        <v>3</v>
      </c>
      <c r="B151">
        <v>2012</v>
      </c>
      <c r="C151">
        <v>3</v>
      </c>
      <c r="D151" t="s">
        <v>8</v>
      </c>
      <c r="E151" t="s">
        <v>9</v>
      </c>
      <c r="F151" t="s">
        <v>14</v>
      </c>
      <c r="G151" t="s">
        <v>28</v>
      </c>
      <c r="H151" s="2">
        <v>88.679245283018872</v>
      </c>
      <c r="I151" s="2">
        <f>$H$147*H150+(1-$H$147)*I150</f>
        <v>92.116144693299574</v>
      </c>
      <c r="J151" s="2">
        <f t="shared" si="7"/>
        <v>-3.4368994102807022</v>
      </c>
      <c r="K151" s="2">
        <f t="shared" si="8"/>
        <v>11.812277556387839</v>
      </c>
      <c r="N151">
        <v>0.2</v>
      </c>
      <c r="O151">
        <v>13.48</v>
      </c>
    </row>
    <row r="152" spans="1:16" x14ac:dyDescent="0.35">
      <c r="A152">
        <v>4</v>
      </c>
      <c r="B152">
        <v>2012</v>
      </c>
      <c r="C152">
        <v>4</v>
      </c>
      <c r="D152" t="s">
        <v>8</v>
      </c>
      <c r="E152" t="s">
        <v>9</v>
      </c>
      <c r="F152" t="s">
        <v>14</v>
      </c>
      <c r="G152" t="s">
        <v>28</v>
      </c>
      <c r="H152" s="2">
        <v>95.59748427672956</v>
      </c>
      <c r="I152" s="2">
        <f t="shared" ref="I152:I189" si="9">$H$147*H151+(1-$H$147)*I151</f>
        <v>90.741384929187291</v>
      </c>
      <c r="J152" s="2">
        <f t="shared" si="7"/>
        <v>4.8560993475422691</v>
      </c>
      <c r="K152" s="2">
        <f t="shared" si="8"/>
        <v>23.58170087320045</v>
      </c>
      <c r="N152">
        <v>0.4</v>
      </c>
      <c r="O152">
        <v>12.04</v>
      </c>
      <c r="P152" t="s">
        <v>76</v>
      </c>
    </row>
    <row r="153" spans="1:16" x14ac:dyDescent="0.35">
      <c r="A153">
        <v>5</v>
      </c>
      <c r="B153">
        <v>2013</v>
      </c>
      <c r="C153">
        <v>1</v>
      </c>
      <c r="D153" t="s">
        <v>8</v>
      </c>
      <c r="E153" t="s">
        <v>9</v>
      </c>
      <c r="F153" t="s">
        <v>14</v>
      </c>
      <c r="G153" t="s">
        <v>28</v>
      </c>
      <c r="H153" s="2">
        <v>90.202702702702695</v>
      </c>
      <c r="I153" s="2">
        <f t="shared" si="9"/>
        <v>92.683824668204196</v>
      </c>
      <c r="J153" s="2">
        <f t="shared" si="7"/>
        <v>-2.4811219655015009</v>
      </c>
      <c r="K153" s="2">
        <f t="shared" si="8"/>
        <v>6.1559662076940311</v>
      </c>
      <c r="N153">
        <v>0.6</v>
      </c>
      <c r="O153">
        <v>12.9</v>
      </c>
    </row>
    <row r="154" spans="1:16" x14ac:dyDescent="0.35">
      <c r="A154">
        <v>6</v>
      </c>
      <c r="B154">
        <v>2013</v>
      </c>
      <c r="C154">
        <v>2</v>
      </c>
      <c r="D154" t="s">
        <v>8</v>
      </c>
      <c r="E154" t="s">
        <v>9</v>
      </c>
      <c r="F154" t="s">
        <v>14</v>
      </c>
      <c r="G154" t="s">
        <v>28</v>
      </c>
      <c r="H154" s="2">
        <v>88.698630136986296</v>
      </c>
      <c r="I154" s="2">
        <f t="shared" si="9"/>
        <v>91.691375882003598</v>
      </c>
      <c r="J154" s="2">
        <f t="shared" si="7"/>
        <v>-2.9927457450173023</v>
      </c>
      <c r="K154" s="2">
        <f t="shared" si="8"/>
        <v>8.956527094319167</v>
      </c>
      <c r="N154">
        <v>0.8</v>
      </c>
      <c r="O154">
        <v>15.09</v>
      </c>
    </row>
    <row r="155" spans="1:16" x14ac:dyDescent="0.35">
      <c r="A155">
        <v>7</v>
      </c>
      <c r="B155">
        <v>2013</v>
      </c>
      <c r="C155">
        <v>3</v>
      </c>
      <c r="D155" t="s">
        <v>8</v>
      </c>
      <c r="E155" t="s">
        <v>9</v>
      </c>
      <c r="F155" t="s">
        <v>14</v>
      </c>
      <c r="G155" t="s">
        <v>28</v>
      </c>
      <c r="H155" s="2">
        <v>89.368770764119603</v>
      </c>
      <c r="I155" s="2">
        <f t="shared" si="9"/>
        <v>90.494277583996677</v>
      </c>
      <c r="J155" s="2">
        <f t="shared" si="7"/>
        <v>-1.1255068198770743</v>
      </c>
      <c r="K155" s="2">
        <f t="shared" si="8"/>
        <v>1.266765601589805</v>
      </c>
    </row>
    <row r="156" spans="1:16" x14ac:dyDescent="0.35">
      <c r="A156">
        <v>8</v>
      </c>
      <c r="B156">
        <v>2013</v>
      </c>
      <c r="C156">
        <v>4</v>
      </c>
      <c r="D156" t="s">
        <v>8</v>
      </c>
      <c r="E156" t="s">
        <v>9</v>
      </c>
      <c r="F156" t="s">
        <v>14</v>
      </c>
      <c r="G156" t="s">
        <v>28</v>
      </c>
      <c r="H156" s="2">
        <v>92.145015105740185</v>
      </c>
      <c r="I156" s="2">
        <f t="shared" si="9"/>
        <v>90.044074856045853</v>
      </c>
      <c r="J156" s="2">
        <f t="shared" si="7"/>
        <v>2.1009402496943324</v>
      </c>
      <c r="K156" s="2">
        <f t="shared" si="8"/>
        <v>4.4139499327856839</v>
      </c>
    </row>
    <row r="157" spans="1:16" x14ac:dyDescent="0.35">
      <c r="A157">
        <v>9</v>
      </c>
      <c r="B157">
        <v>2014</v>
      </c>
      <c r="C157">
        <v>1</v>
      </c>
      <c r="D157" t="s">
        <v>8</v>
      </c>
      <c r="E157" t="s">
        <v>9</v>
      </c>
      <c r="F157" t="s">
        <v>14</v>
      </c>
      <c r="G157" t="s">
        <v>28</v>
      </c>
      <c r="H157" s="2">
        <v>85.483870967741936</v>
      </c>
      <c r="I157" s="2">
        <f t="shared" si="9"/>
        <v>90.884450955923583</v>
      </c>
      <c r="J157" s="2">
        <f t="shared" si="7"/>
        <v>-5.4005799881816472</v>
      </c>
      <c r="K157" s="2">
        <f t="shared" si="8"/>
        <v>29.166264208748082</v>
      </c>
    </row>
    <row r="158" spans="1:16" x14ac:dyDescent="0.35">
      <c r="A158">
        <v>10</v>
      </c>
      <c r="B158">
        <v>2014</v>
      </c>
      <c r="C158">
        <v>2</v>
      </c>
      <c r="D158" t="s">
        <v>8</v>
      </c>
      <c r="E158" t="s">
        <v>9</v>
      </c>
      <c r="F158" t="s">
        <v>14</v>
      </c>
      <c r="G158" t="s">
        <v>28</v>
      </c>
      <c r="H158" s="2">
        <v>90.282131661442008</v>
      </c>
      <c r="I158" s="2">
        <f t="shared" si="9"/>
        <v>88.724218960650916</v>
      </c>
      <c r="J158" s="2">
        <f t="shared" si="7"/>
        <v>1.5579127007910927</v>
      </c>
      <c r="K158" s="2">
        <f t="shared" si="8"/>
        <v>2.4270919832861968</v>
      </c>
    </row>
    <row r="159" spans="1:16" x14ac:dyDescent="0.35">
      <c r="A159">
        <v>11</v>
      </c>
      <c r="B159">
        <v>2014</v>
      </c>
      <c r="C159">
        <v>3</v>
      </c>
      <c r="D159" t="s">
        <v>8</v>
      </c>
      <c r="E159" t="s">
        <v>9</v>
      </c>
      <c r="F159" t="s">
        <v>14</v>
      </c>
      <c r="G159" t="s">
        <v>28</v>
      </c>
      <c r="H159" s="2">
        <v>86.82634730538922</v>
      </c>
      <c r="I159" s="2">
        <f t="shared" si="9"/>
        <v>89.347384040967356</v>
      </c>
      <c r="J159" s="2">
        <f t="shared" si="7"/>
        <v>-2.5210367355781358</v>
      </c>
      <c r="K159" s="2">
        <f t="shared" si="8"/>
        <v>6.3556262221344637</v>
      </c>
    </row>
    <row r="160" spans="1:16" x14ac:dyDescent="0.35">
      <c r="A160">
        <v>12</v>
      </c>
      <c r="B160">
        <v>2014</v>
      </c>
      <c r="C160">
        <v>4</v>
      </c>
      <c r="D160" t="s">
        <v>8</v>
      </c>
      <c r="E160" t="s">
        <v>9</v>
      </c>
      <c r="F160" t="s">
        <v>14</v>
      </c>
      <c r="G160" t="s">
        <v>28</v>
      </c>
      <c r="H160" s="2">
        <v>89.130434782608688</v>
      </c>
      <c r="I160" s="2">
        <f t="shared" si="9"/>
        <v>88.338969346736093</v>
      </c>
      <c r="J160" s="2">
        <f t="shared" si="7"/>
        <v>0.79146543587259544</v>
      </c>
      <c r="K160" s="2">
        <f t="shared" si="8"/>
        <v>0.62641753618099749</v>
      </c>
    </row>
    <row r="161" spans="1:11" x14ac:dyDescent="0.35">
      <c r="A161">
        <v>13</v>
      </c>
      <c r="B161">
        <v>2015</v>
      </c>
      <c r="C161">
        <v>1</v>
      </c>
      <c r="D161" t="s">
        <v>8</v>
      </c>
      <c r="E161" t="s">
        <v>9</v>
      </c>
      <c r="F161" t="s">
        <v>14</v>
      </c>
      <c r="G161" t="s">
        <v>28</v>
      </c>
      <c r="H161" s="2">
        <v>85.534591194968556</v>
      </c>
      <c r="I161" s="2">
        <f t="shared" si="9"/>
        <v>88.655555521085134</v>
      </c>
      <c r="J161" s="2">
        <f t="shared" si="7"/>
        <v>-3.120964326116578</v>
      </c>
      <c r="K161" s="2">
        <f t="shared" si="8"/>
        <v>9.7404183248923069</v>
      </c>
    </row>
    <row r="162" spans="1:11" x14ac:dyDescent="0.35">
      <c r="A162">
        <v>14</v>
      </c>
      <c r="B162">
        <v>2015</v>
      </c>
      <c r="C162">
        <v>2</v>
      </c>
      <c r="D162" t="s">
        <v>8</v>
      </c>
      <c r="E162" t="s">
        <v>9</v>
      </c>
      <c r="F162" t="s">
        <v>14</v>
      </c>
      <c r="G162" t="s">
        <v>28</v>
      </c>
      <c r="H162" s="2">
        <v>84.482758620689651</v>
      </c>
      <c r="I162" s="2">
        <f t="shared" si="9"/>
        <v>87.407169790638505</v>
      </c>
      <c r="J162" s="2">
        <f t="shared" si="7"/>
        <v>-2.9244111699488542</v>
      </c>
      <c r="K162" s="2">
        <f t="shared" si="8"/>
        <v>8.5521806909216256</v>
      </c>
    </row>
    <row r="163" spans="1:11" x14ac:dyDescent="0.35">
      <c r="A163">
        <v>15</v>
      </c>
      <c r="B163">
        <v>2015</v>
      </c>
      <c r="C163">
        <v>3</v>
      </c>
      <c r="D163" t="s">
        <v>8</v>
      </c>
      <c r="E163" t="s">
        <v>9</v>
      </c>
      <c r="F163" t="s">
        <v>14</v>
      </c>
      <c r="G163" t="s">
        <v>28</v>
      </c>
      <c r="H163" s="2">
        <v>85</v>
      </c>
      <c r="I163" s="2">
        <f t="shared" si="9"/>
        <v>86.237405322658958</v>
      </c>
      <c r="J163" s="2">
        <f t="shared" si="7"/>
        <v>-1.2374053226589581</v>
      </c>
      <c r="K163" s="2">
        <f t="shared" si="8"/>
        <v>1.5311719325447202</v>
      </c>
    </row>
    <row r="164" spans="1:11" x14ac:dyDescent="0.35">
      <c r="A164">
        <v>16</v>
      </c>
      <c r="B164">
        <v>2015</v>
      </c>
      <c r="C164">
        <v>4</v>
      </c>
      <c r="D164" t="s">
        <v>8</v>
      </c>
      <c r="E164" t="s">
        <v>9</v>
      </c>
      <c r="F164" t="s">
        <v>14</v>
      </c>
      <c r="G164" t="s">
        <v>28</v>
      </c>
      <c r="H164" s="2">
        <v>86.549707602339183</v>
      </c>
      <c r="I164" s="2">
        <f t="shared" si="9"/>
        <v>85.742443193595363</v>
      </c>
      <c r="J164" s="2">
        <f t="shared" si="7"/>
        <v>0.80726440874381922</v>
      </c>
      <c r="K164" s="2">
        <f t="shared" si="8"/>
        <v>0.65167582562450799</v>
      </c>
    </row>
    <row r="165" spans="1:11" x14ac:dyDescent="0.35">
      <c r="A165">
        <v>17</v>
      </c>
      <c r="B165">
        <v>2016</v>
      </c>
      <c r="C165">
        <v>1</v>
      </c>
      <c r="D165" t="s">
        <v>8</v>
      </c>
      <c r="E165" t="s">
        <v>9</v>
      </c>
      <c r="F165" t="s">
        <v>14</v>
      </c>
      <c r="G165" t="s">
        <v>28</v>
      </c>
      <c r="H165" s="2">
        <v>86.834733893557427</v>
      </c>
      <c r="I165" s="2">
        <f t="shared" si="9"/>
        <v>86.065348957092894</v>
      </c>
      <c r="J165" s="2">
        <f t="shared" si="7"/>
        <v>0.7693849364645331</v>
      </c>
      <c r="K165" s="2">
        <f t="shared" si="8"/>
        <v>0.59195318045853362</v>
      </c>
    </row>
    <row r="166" spans="1:11" x14ac:dyDescent="0.35">
      <c r="A166">
        <v>18</v>
      </c>
      <c r="B166">
        <v>2016</v>
      </c>
      <c r="C166">
        <v>2</v>
      </c>
      <c r="D166" t="s">
        <v>8</v>
      </c>
      <c r="E166" t="s">
        <v>9</v>
      </c>
      <c r="F166" t="s">
        <v>14</v>
      </c>
      <c r="G166" t="s">
        <v>28</v>
      </c>
      <c r="H166" s="2">
        <v>85.13513513513513</v>
      </c>
      <c r="I166" s="2">
        <f t="shared" si="9"/>
        <v>86.373102931678716</v>
      </c>
      <c r="J166" s="2">
        <f t="shared" si="7"/>
        <v>-1.237967796543586</v>
      </c>
      <c r="K166" s="2">
        <f t="shared" si="8"/>
        <v>1.5325642652789815</v>
      </c>
    </row>
    <row r="167" spans="1:11" x14ac:dyDescent="0.35">
      <c r="A167">
        <v>19</v>
      </c>
      <c r="B167">
        <v>2016</v>
      </c>
      <c r="C167">
        <v>3</v>
      </c>
      <c r="D167" t="s">
        <v>8</v>
      </c>
      <c r="E167" t="s">
        <v>9</v>
      </c>
      <c r="F167" t="s">
        <v>14</v>
      </c>
      <c r="G167" t="s">
        <v>28</v>
      </c>
      <c r="H167" s="2">
        <v>81.723237597911222</v>
      </c>
      <c r="I167" s="2">
        <f t="shared" si="9"/>
        <v>85.877915813061293</v>
      </c>
      <c r="J167" s="2">
        <f t="shared" si="7"/>
        <v>-4.1546782151500707</v>
      </c>
      <c r="K167" s="2">
        <f t="shared" si="8"/>
        <v>17.261351071442576</v>
      </c>
    </row>
    <row r="168" spans="1:11" x14ac:dyDescent="0.35">
      <c r="A168">
        <v>20</v>
      </c>
      <c r="B168">
        <v>2016</v>
      </c>
      <c r="C168">
        <v>4</v>
      </c>
      <c r="D168" t="s">
        <v>8</v>
      </c>
      <c r="E168" t="s">
        <v>9</v>
      </c>
      <c r="F168" t="s">
        <v>14</v>
      </c>
      <c r="G168" t="s">
        <v>28</v>
      </c>
      <c r="H168" s="2">
        <v>84.382871536523936</v>
      </c>
      <c r="I168" s="2">
        <f t="shared" si="9"/>
        <v>84.216044527001259</v>
      </c>
      <c r="J168" s="2">
        <f t="shared" si="7"/>
        <v>0.16682700952267737</v>
      </c>
      <c r="K168" s="2">
        <f t="shared" si="8"/>
        <v>2.7831251106279487E-2</v>
      </c>
    </row>
    <row r="169" spans="1:11" x14ac:dyDescent="0.35">
      <c r="A169">
        <v>21</v>
      </c>
      <c r="B169">
        <v>2017</v>
      </c>
      <c r="C169">
        <v>1</v>
      </c>
      <c r="D169" t="s">
        <v>8</v>
      </c>
      <c r="E169" t="s">
        <v>9</v>
      </c>
      <c r="F169" t="s">
        <v>14</v>
      </c>
      <c r="G169" t="s">
        <v>28</v>
      </c>
      <c r="H169" s="2">
        <v>85.359801488833739</v>
      </c>
      <c r="I169" s="2">
        <f t="shared" si="9"/>
        <v>84.282775330810324</v>
      </c>
      <c r="J169" s="2">
        <f t="shared" si="7"/>
        <v>1.0770261580234148</v>
      </c>
      <c r="K169" s="2">
        <f t="shared" si="8"/>
        <v>1.1599853450666777</v>
      </c>
    </row>
    <row r="170" spans="1:11" x14ac:dyDescent="0.35">
      <c r="A170">
        <v>22</v>
      </c>
      <c r="B170">
        <v>2017</v>
      </c>
      <c r="C170">
        <v>2</v>
      </c>
      <c r="D170" t="s">
        <v>8</v>
      </c>
      <c r="E170" t="s">
        <v>9</v>
      </c>
      <c r="F170" t="s">
        <v>14</v>
      </c>
      <c r="G170" t="s">
        <v>28</v>
      </c>
      <c r="H170" s="2">
        <v>81.84143222506394</v>
      </c>
      <c r="I170" s="2">
        <f t="shared" si="9"/>
        <v>84.713585794019679</v>
      </c>
      <c r="J170" s="2">
        <f t="shared" si="7"/>
        <v>-2.8721535689557385</v>
      </c>
      <c r="K170" s="2">
        <f t="shared" si="8"/>
        <v>8.2492661236651852</v>
      </c>
    </row>
    <row r="171" spans="1:11" x14ac:dyDescent="0.35">
      <c r="A171">
        <v>23</v>
      </c>
      <c r="B171">
        <v>2017</v>
      </c>
      <c r="C171">
        <v>3</v>
      </c>
      <c r="D171" t="s">
        <v>8</v>
      </c>
      <c r="E171" t="s">
        <v>9</v>
      </c>
      <c r="F171" t="s">
        <v>14</v>
      </c>
      <c r="G171" t="s">
        <v>28</v>
      </c>
      <c r="H171" s="2">
        <v>82.608695652173907</v>
      </c>
      <c r="I171" s="2">
        <f t="shared" si="9"/>
        <v>83.564724366437389</v>
      </c>
      <c r="J171" s="2">
        <f t="shared" si="7"/>
        <v>-0.95602871426348202</v>
      </c>
      <c r="K171" s="2">
        <f t="shared" si="8"/>
        <v>0.91399090249628656</v>
      </c>
    </row>
    <row r="172" spans="1:11" x14ac:dyDescent="0.35">
      <c r="A172">
        <v>24</v>
      </c>
      <c r="B172">
        <v>2017</v>
      </c>
      <c r="C172">
        <v>4</v>
      </c>
      <c r="D172" t="s">
        <v>8</v>
      </c>
      <c r="E172" t="s">
        <v>9</v>
      </c>
      <c r="F172" t="s">
        <v>14</v>
      </c>
      <c r="G172" t="s">
        <v>28</v>
      </c>
      <c r="H172" s="2">
        <v>79.606879606879616</v>
      </c>
      <c r="I172" s="2">
        <f t="shared" si="9"/>
        <v>83.182312880731985</v>
      </c>
      <c r="J172" s="2">
        <f t="shared" si="7"/>
        <v>-3.5754332738523686</v>
      </c>
      <c r="K172" s="2">
        <f t="shared" si="8"/>
        <v>12.783723095770666</v>
      </c>
    </row>
    <row r="173" spans="1:11" x14ac:dyDescent="0.35">
      <c r="A173">
        <v>25</v>
      </c>
      <c r="B173">
        <v>2018</v>
      </c>
      <c r="C173">
        <v>1</v>
      </c>
      <c r="D173" t="s">
        <v>8</v>
      </c>
      <c r="E173" t="s">
        <v>9</v>
      </c>
      <c r="F173" t="s">
        <v>14</v>
      </c>
      <c r="G173" t="s">
        <v>28</v>
      </c>
      <c r="H173" s="2">
        <v>75.797872340425528</v>
      </c>
      <c r="I173" s="2">
        <f t="shared" si="9"/>
        <v>81.752139571191037</v>
      </c>
      <c r="J173" s="2">
        <f t="shared" si="7"/>
        <v>-5.9542672307655096</v>
      </c>
      <c r="K173" s="2">
        <f t="shared" si="8"/>
        <v>35.453298255367969</v>
      </c>
    </row>
    <row r="174" spans="1:11" x14ac:dyDescent="0.35">
      <c r="A174">
        <v>26</v>
      </c>
      <c r="B174">
        <v>2018</v>
      </c>
      <c r="C174">
        <v>2</v>
      </c>
      <c r="D174" t="s">
        <v>8</v>
      </c>
      <c r="E174" t="s">
        <v>9</v>
      </c>
      <c r="F174" t="s">
        <v>14</v>
      </c>
      <c r="G174" t="s">
        <v>28</v>
      </c>
      <c r="H174" s="2">
        <v>79.820627802690581</v>
      </c>
      <c r="I174" s="2">
        <f t="shared" si="9"/>
        <v>79.370432678884839</v>
      </c>
      <c r="J174" s="2">
        <f t="shared" si="7"/>
        <v>0.45019512380574156</v>
      </c>
      <c r="K174" s="2">
        <f t="shared" si="8"/>
        <v>0.20267564949846698</v>
      </c>
    </row>
    <row r="175" spans="1:11" x14ac:dyDescent="0.35">
      <c r="A175">
        <v>27</v>
      </c>
      <c r="B175">
        <v>2018</v>
      </c>
      <c r="C175">
        <v>3</v>
      </c>
      <c r="D175" t="s">
        <v>8</v>
      </c>
      <c r="E175" t="s">
        <v>9</v>
      </c>
      <c r="F175" t="s">
        <v>14</v>
      </c>
      <c r="G175" t="s">
        <v>28</v>
      </c>
      <c r="H175" s="2">
        <v>76.712328767123282</v>
      </c>
      <c r="I175" s="2">
        <f t="shared" si="9"/>
        <v>79.550510728407133</v>
      </c>
      <c r="J175" s="2">
        <f t="shared" si="7"/>
        <v>-2.8381819612838513</v>
      </c>
      <c r="K175" s="2">
        <f t="shared" si="8"/>
        <v>8.0552768453570494</v>
      </c>
    </row>
    <row r="176" spans="1:11" x14ac:dyDescent="0.35">
      <c r="A176">
        <v>28</v>
      </c>
      <c r="B176">
        <v>2018</v>
      </c>
      <c r="C176">
        <v>4</v>
      </c>
      <c r="D176" t="s">
        <v>8</v>
      </c>
      <c r="E176" t="s">
        <v>9</v>
      </c>
      <c r="F176" t="s">
        <v>14</v>
      </c>
      <c r="G176" t="s">
        <v>28</v>
      </c>
      <c r="H176" s="2">
        <v>79.136690647482013</v>
      </c>
      <c r="I176" s="2">
        <f t="shared" si="9"/>
        <v>78.415237943893587</v>
      </c>
      <c r="J176" s="2">
        <f t="shared" si="7"/>
        <v>0.72145270358842595</v>
      </c>
      <c r="K176" s="2">
        <f t="shared" si="8"/>
        <v>0.52049400351504915</v>
      </c>
    </row>
    <row r="177" spans="1:11" x14ac:dyDescent="0.35">
      <c r="A177">
        <v>29</v>
      </c>
      <c r="B177">
        <v>2019</v>
      </c>
      <c r="C177">
        <v>1</v>
      </c>
      <c r="D177" t="s">
        <v>8</v>
      </c>
      <c r="E177" t="s">
        <v>9</v>
      </c>
      <c r="F177" t="s">
        <v>14</v>
      </c>
      <c r="G177" t="s">
        <v>28</v>
      </c>
      <c r="H177" s="2">
        <v>76.737967914438499</v>
      </c>
      <c r="I177" s="2">
        <f t="shared" si="9"/>
        <v>78.703819025328954</v>
      </c>
      <c r="J177" s="2">
        <f t="shared" si="7"/>
        <v>-1.9658511108904548</v>
      </c>
      <c r="K177" s="2">
        <f t="shared" si="8"/>
        <v>3.8645705901892353</v>
      </c>
    </row>
    <row r="178" spans="1:11" x14ac:dyDescent="0.35">
      <c r="A178">
        <v>30</v>
      </c>
      <c r="B178">
        <v>2019</v>
      </c>
      <c r="C178">
        <v>2</v>
      </c>
      <c r="D178" t="s">
        <v>8</v>
      </c>
      <c r="E178" t="s">
        <v>9</v>
      </c>
      <c r="F178" t="s">
        <v>14</v>
      </c>
      <c r="G178" t="s">
        <v>28</v>
      </c>
      <c r="H178" s="2">
        <v>86.634844868735087</v>
      </c>
      <c r="I178" s="2">
        <f t="shared" si="9"/>
        <v>77.917478580972769</v>
      </c>
      <c r="J178" s="2">
        <f t="shared" si="7"/>
        <v>8.7173662877623173</v>
      </c>
      <c r="K178" s="2">
        <f t="shared" si="8"/>
        <v>75.992474995014959</v>
      </c>
    </row>
    <row r="179" spans="1:11" x14ac:dyDescent="0.35">
      <c r="A179">
        <v>31</v>
      </c>
      <c r="B179">
        <v>2019</v>
      </c>
      <c r="C179">
        <v>3</v>
      </c>
      <c r="D179" t="s">
        <v>8</v>
      </c>
      <c r="E179" t="s">
        <v>9</v>
      </c>
      <c r="F179" t="s">
        <v>14</v>
      </c>
      <c r="G179" t="s">
        <v>28</v>
      </c>
      <c r="H179" s="2">
        <v>79.126213592233015</v>
      </c>
      <c r="I179" s="2">
        <f t="shared" si="9"/>
        <v>81.404425096077688</v>
      </c>
      <c r="J179" s="2">
        <f t="shared" si="7"/>
        <v>-2.2782115038446733</v>
      </c>
      <c r="K179" s="2">
        <f t="shared" si="8"/>
        <v>5.1902476562502082</v>
      </c>
    </row>
    <row r="180" spans="1:11" x14ac:dyDescent="0.35">
      <c r="A180">
        <v>32</v>
      </c>
      <c r="B180">
        <v>2019</v>
      </c>
      <c r="C180">
        <v>4</v>
      </c>
      <c r="D180" t="s">
        <v>8</v>
      </c>
      <c r="E180" t="s">
        <v>9</v>
      </c>
      <c r="F180" t="s">
        <v>14</v>
      </c>
      <c r="G180" t="s">
        <v>28</v>
      </c>
      <c r="H180" s="2">
        <v>79.255319148936167</v>
      </c>
      <c r="I180" s="2">
        <f t="shared" si="9"/>
        <v>80.493140494539816</v>
      </c>
      <c r="J180" s="2">
        <f t="shared" si="7"/>
        <v>-1.2378213456036491</v>
      </c>
      <c r="K180" s="2">
        <f t="shared" si="8"/>
        <v>1.5322016836320285</v>
      </c>
    </row>
    <row r="181" spans="1:11" x14ac:dyDescent="0.35">
      <c r="A181">
        <v>33</v>
      </c>
      <c r="B181">
        <v>2020</v>
      </c>
      <c r="C181">
        <v>1</v>
      </c>
      <c r="D181" t="s">
        <v>8</v>
      </c>
      <c r="E181" t="s">
        <v>9</v>
      </c>
      <c r="F181" t="s">
        <v>14</v>
      </c>
      <c r="G181" t="s">
        <v>28</v>
      </c>
      <c r="H181" s="2">
        <v>83.78378378378379</v>
      </c>
      <c r="I181" s="2">
        <f t="shared" si="9"/>
        <v>79.998011956298356</v>
      </c>
      <c r="J181" s="2">
        <f t="shared" si="7"/>
        <v>3.7857718274854335</v>
      </c>
      <c r="K181" s="2">
        <f t="shared" si="8"/>
        <v>14.332068329782398</v>
      </c>
    </row>
    <row r="182" spans="1:11" x14ac:dyDescent="0.35">
      <c r="A182">
        <v>34</v>
      </c>
      <c r="B182">
        <v>2020</v>
      </c>
      <c r="C182">
        <v>2</v>
      </c>
      <c r="D182" t="s">
        <v>8</v>
      </c>
      <c r="E182" t="s">
        <v>9</v>
      </c>
      <c r="F182" t="s">
        <v>14</v>
      </c>
      <c r="G182" t="s">
        <v>28</v>
      </c>
      <c r="H182" s="2">
        <v>80.792682926829272</v>
      </c>
      <c r="I182" s="2">
        <f t="shared" si="9"/>
        <v>81.512320687292529</v>
      </c>
      <c r="J182" s="2">
        <f t="shared" si="7"/>
        <v>-0.71963776046325734</v>
      </c>
      <c r="K182" s="2">
        <f t="shared" si="8"/>
        <v>0.51787850628457255</v>
      </c>
    </row>
    <row r="183" spans="1:11" x14ac:dyDescent="0.35">
      <c r="A183">
        <v>35</v>
      </c>
      <c r="B183">
        <v>2020</v>
      </c>
      <c r="C183">
        <v>3</v>
      </c>
      <c r="D183" t="s">
        <v>8</v>
      </c>
      <c r="E183" t="s">
        <v>9</v>
      </c>
      <c r="F183" t="s">
        <v>14</v>
      </c>
      <c r="G183" t="s">
        <v>28</v>
      </c>
      <c r="H183" s="2">
        <v>81.350482315112544</v>
      </c>
      <c r="I183" s="2">
        <f t="shared" si="9"/>
        <v>81.224465583107218</v>
      </c>
      <c r="J183" s="2">
        <f t="shared" si="7"/>
        <v>0.12601673200532559</v>
      </c>
      <c r="K183" s="2">
        <f t="shared" si="8"/>
        <v>1.5880216745302052E-2</v>
      </c>
    </row>
    <row r="184" spans="1:11" x14ac:dyDescent="0.35">
      <c r="A184">
        <v>36</v>
      </c>
      <c r="B184">
        <v>2020</v>
      </c>
      <c r="C184">
        <v>4</v>
      </c>
      <c r="D184" t="s">
        <v>8</v>
      </c>
      <c r="E184" t="s">
        <v>9</v>
      </c>
      <c r="F184" t="s">
        <v>14</v>
      </c>
      <c r="G184" t="s">
        <v>28</v>
      </c>
      <c r="H184" s="2">
        <v>86.206896551724128</v>
      </c>
      <c r="I184" s="2">
        <f t="shared" si="9"/>
        <v>81.274872275909345</v>
      </c>
      <c r="J184" s="2">
        <f t="shared" si="7"/>
        <v>4.9320242758147828</v>
      </c>
      <c r="K184" s="2">
        <f t="shared" si="8"/>
        <v>24.324863457226332</v>
      </c>
    </row>
    <row r="185" spans="1:11" x14ac:dyDescent="0.35">
      <c r="A185">
        <v>37</v>
      </c>
      <c r="B185">
        <v>2021</v>
      </c>
      <c r="C185">
        <v>1</v>
      </c>
      <c r="D185" t="s">
        <v>8</v>
      </c>
      <c r="E185" t="s">
        <v>9</v>
      </c>
      <c r="F185" t="s">
        <v>14</v>
      </c>
      <c r="G185" t="s">
        <v>28</v>
      </c>
      <c r="H185" s="2">
        <v>75.454545454545453</v>
      </c>
      <c r="I185" s="2">
        <f t="shared" si="9"/>
        <v>83.24768198623525</v>
      </c>
      <c r="J185" s="2">
        <f t="shared" si="7"/>
        <v>-7.7931365316897967</v>
      </c>
      <c r="K185" s="2">
        <f t="shared" si="8"/>
        <v>60.732977001558076</v>
      </c>
    </row>
    <row r="186" spans="1:11" x14ac:dyDescent="0.35">
      <c r="A186">
        <v>38</v>
      </c>
      <c r="B186">
        <v>2021</v>
      </c>
      <c r="C186">
        <v>2</v>
      </c>
      <c r="D186" t="s">
        <v>8</v>
      </c>
      <c r="E186" t="s">
        <v>9</v>
      </c>
      <c r="F186" t="s">
        <v>14</v>
      </c>
      <c r="G186" t="s">
        <v>28</v>
      </c>
      <c r="H186" s="2">
        <v>80.361757105943155</v>
      </c>
      <c r="I186" s="2">
        <f t="shared" si="9"/>
        <v>80.130427373559328</v>
      </c>
      <c r="J186" s="2">
        <f t="shared" si="7"/>
        <v>0.23132973238382704</v>
      </c>
      <c r="K186" s="2">
        <f t="shared" si="8"/>
        <v>5.3513445084773036E-2</v>
      </c>
    </row>
    <row r="187" spans="1:11" x14ac:dyDescent="0.35">
      <c r="A187">
        <v>39</v>
      </c>
      <c r="B187">
        <v>2021</v>
      </c>
      <c r="C187">
        <v>3</v>
      </c>
      <c r="D187" t="s">
        <v>8</v>
      </c>
      <c r="E187" t="s">
        <v>9</v>
      </c>
      <c r="F187" t="s">
        <v>14</v>
      </c>
      <c r="G187" t="s">
        <v>28</v>
      </c>
      <c r="H187" s="2">
        <v>75.335120643431637</v>
      </c>
      <c r="I187" s="2">
        <f t="shared" si="9"/>
        <v>80.222959266512859</v>
      </c>
      <c r="J187" s="2">
        <f t="shared" si="7"/>
        <v>-4.8878386230812225</v>
      </c>
      <c r="K187" s="2">
        <f t="shared" si="8"/>
        <v>23.890966405284541</v>
      </c>
    </row>
    <row r="188" spans="1:11" x14ac:dyDescent="0.35">
      <c r="A188">
        <v>40</v>
      </c>
      <c r="B188">
        <v>2021</v>
      </c>
      <c r="C188">
        <v>4</v>
      </c>
      <c r="D188" t="s">
        <v>8</v>
      </c>
      <c r="E188" t="s">
        <v>9</v>
      </c>
      <c r="F188" t="s">
        <v>14</v>
      </c>
      <c r="G188" t="s">
        <v>28</v>
      </c>
      <c r="H188" s="2">
        <v>72.616136919315394</v>
      </c>
      <c r="I188" s="2">
        <f t="shared" si="9"/>
        <v>78.267823817280373</v>
      </c>
      <c r="J188" s="2">
        <f t="shared" si="7"/>
        <v>-5.6516868979649786</v>
      </c>
      <c r="K188" s="2">
        <f t="shared" si="8"/>
        <v>31.941564792629002</v>
      </c>
    </row>
    <row r="189" spans="1:11" x14ac:dyDescent="0.35">
      <c r="A189">
        <v>41</v>
      </c>
      <c r="I189" s="2">
        <f t="shared" si="9"/>
        <v>76.007149058094384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832F-CFBA-479F-9E19-29978FD7996F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0.82702972685896092</v>
      </c>
    </row>
    <row r="5" spans="1:9" x14ac:dyDescent="0.35">
      <c r="A5" t="s">
        <v>43</v>
      </c>
      <c r="B5">
        <v>0.68397816910840747</v>
      </c>
    </row>
    <row r="6" spans="1:9" x14ac:dyDescent="0.35">
      <c r="A6" t="s">
        <v>44</v>
      </c>
      <c r="B6">
        <v>0.67566180513757612</v>
      </c>
    </row>
    <row r="7" spans="1:9" x14ac:dyDescent="0.35">
      <c r="A7" t="s">
        <v>45</v>
      </c>
      <c r="B7">
        <v>3.1358707900423446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1</v>
      </c>
      <c r="C12">
        <v>808.77007114711</v>
      </c>
      <c r="D12">
        <v>808.77007114711</v>
      </c>
      <c r="E12">
        <v>82.24485742896492</v>
      </c>
      <c r="F12">
        <v>4.801848386348817E-11</v>
      </c>
    </row>
    <row r="13" spans="1:9" x14ac:dyDescent="0.35">
      <c r="A13" t="s">
        <v>49</v>
      </c>
      <c r="B13">
        <v>38</v>
      </c>
      <c r="C13">
        <v>373.68005324995033</v>
      </c>
      <c r="D13">
        <v>9.8336856118407976</v>
      </c>
    </row>
    <row r="14" spans="1:9" ht="15" thickBot="1" x14ac:dyDescent="0.4">
      <c r="A14" s="5" t="s">
        <v>50</v>
      </c>
      <c r="B14" s="5">
        <v>39</v>
      </c>
      <c r="C14" s="5">
        <v>1182.4501243970603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91.981435360894494</v>
      </c>
      <c r="C17">
        <v>1.0105396721167996</v>
      </c>
      <c r="D17">
        <v>91.022092352118108</v>
      </c>
      <c r="E17">
        <v>4.3720439593792333E-46</v>
      </c>
      <c r="F17">
        <v>89.935704746259731</v>
      </c>
      <c r="G17">
        <v>94.027165975529257</v>
      </c>
      <c r="H17">
        <v>89.935704746259731</v>
      </c>
      <c r="I17">
        <v>94.027165975529257</v>
      </c>
    </row>
    <row r="18" spans="1:9" ht="15" thickBot="1" x14ac:dyDescent="0.4">
      <c r="A18" s="5" t="s">
        <v>0</v>
      </c>
      <c r="B18" s="5">
        <v>-0.38953719380301893</v>
      </c>
      <c r="C18" s="5">
        <v>4.2953104171222181E-2</v>
      </c>
      <c r="D18" s="5">
        <v>-9.0688950500579182</v>
      </c>
      <c r="E18" s="5">
        <v>4.8018483863487653E-11</v>
      </c>
      <c r="F18" s="5">
        <v>-0.47649120720914401</v>
      </c>
      <c r="G18" s="5">
        <v>-0.30258318039689386</v>
      </c>
      <c r="H18" s="5">
        <v>-0.47649120720914401</v>
      </c>
      <c r="I18" s="5">
        <v>-0.30258318039689386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E415-7765-4A2B-806B-A6B835FD1EE4}">
  <dimension ref="A1:I21"/>
  <sheetViews>
    <sheetView workbookViewId="0">
      <selection activeCell="A16" sqref="A16:B21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0.85103019932398194</v>
      </c>
    </row>
    <row r="5" spans="1:9" x14ac:dyDescent="0.35">
      <c r="A5" t="s">
        <v>43</v>
      </c>
      <c r="B5">
        <v>0.72425240016141645</v>
      </c>
    </row>
    <row r="6" spans="1:9" x14ac:dyDescent="0.35">
      <c r="A6" t="s">
        <v>44</v>
      </c>
      <c r="B6">
        <v>0.69273838875129268</v>
      </c>
    </row>
    <row r="7" spans="1:9" x14ac:dyDescent="0.35">
      <c r="A7" t="s">
        <v>45</v>
      </c>
      <c r="B7">
        <v>3.0522019392625102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4</v>
      </c>
      <c r="C12">
        <v>856.39234066573636</v>
      </c>
      <c r="D12">
        <v>214.09808516643409</v>
      </c>
      <c r="E12">
        <v>22.981917177600288</v>
      </c>
      <c r="F12">
        <v>2.2124032416991116E-9</v>
      </c>
    </row>
    <row r="13" spans="1:9" x14ac:dyDescent="0.35">
      <c r="A13" t="s">
        <v>49</v>
      </c>
      <c r="B13">
        <v>35</v>
      </c>
      <c r="C13">
        <v>326.05778373132398</v>
      </c>
      <c r="D13">
        <v>9.3159366780378274</v>
      </c>
    </row>
    <row r="14" spans="1:9" ht="15" thickBot="1" x14ac:dyDescent="0.4">
      <c r="A14" s="5" t="s">
        <v>50</v>
      </c>
      <c r="B14" s="5">
        <v>39</v>
      </c>
      <c r="C14" s="5">
        <v>1182.4501243970603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93.116942953948765</v>
      </c>
      <c r="C17">
        <v>1.336246433094304</v>
      </c>
      <c r="D17">
        <v>69.6854567000196</v>
      </c>
      <c r="E17">
        <v>3.8451496246290066E-39</v>
      </c>
      <c r="F17">
        <v>90.404218476027779</v>
      </c>
      <c r="G17">
        <v>95.829667431869751</v>
      </c>
      <c r="H17">
        <v>90.404218476027779</v>
      </c>
      <c r="I17">
        <v>95.829667431869751</v>
      </c>
    </row>
    <row r="18" spans="1:9" x14ac:dyDescent="0.35">
      <c r="A18" t="s">
        <v>0</v>
      </c>
      <c r="B18">
        <v>-0.3933726970964041</v>
      </c>
      <c r="C18">
        <v>4.2004546737205412E-2</v>
      </c>
      <c r="D18">
        <v>-9.3650027830909863</v>
      </c>
      <c r="E18">
        <v>4.5852342206192827E-11</v>
      </c>
      <c r="F18">
        <v>-0.4786464604501669</v>
      </c>
      <c r="G18">
        <v>-0.3080989337426413</v>
      </c>
      <c r="H18">
        <v>-0.4786464604501669</v>
      </c>
      <c r="I18">
        <v>-0.3080989337426413</v>
      </c>
    </row>
    <row r="19" spans="1:9" x14ac:dyDescent="0.35">
      <c r="A19" t="s">
        <v>70</v>
      </c>
      <c r="B19">
        <v>-2.1136358271675073</v>
      </c>
      <c r="C19">
        <v>1.3707905650123755</v>
      </c>
      <c r="D19">
        <v>-1.5419101072879251</v>
      </c>
      <c r="E19">
        <v>0.13208939805655046</v>
      </c>
      <c r="F19">
        <v>-4.8964886211698992</v>
      </c>
      <c r="G19">
        <v>0.66921696683488463</v>
      </c>
      <c r="H19">
        <v>-4.8964886211698992</v>
      </c>
      <c r="I19">
        <v>0.66921696683488463</v>
      </c>
    </row>
    <row r="20" spans="1:9" x14ac:dyDescent="0.35">
      <c r="A20" t="s">
        <v>71</v>
      </c>
      <c r="B20">
        <v>6.918884788096992E-2</v>
      </c>
      <c r="C20">
        <v>1.3675689611109043</v>
      </c>
      <c r="D20">
        <v>5.0592584248743404E-2</v>
      </c>
      <c r="E20">
        <v>0.95993780719729749</v>
      </c>
      <c r="F20">
        <v>-2.7071237424993631</v>
      </c>
      <c r="G20">
        <v>2.8455014382613029</v>
      </c>
      <c r="H20">
        <v>-2.7071237424993631</v>
      </c>
      <c r="I20">
        <v>2.8455014382613029</v>
      </c>
    </row>
    <row r="21" spans="1:9" ht="15" thickBot="1" x14ac:dyDescent="0.4">
      <c r="A21" s="5" t="s">
        <v>72</v>
      </c>
      <c r="B21" s="5">
        <v>-2.1830721228729613</v>
      </c>
      <c r="C21" s="5">
        <v>1.3656323508009625</v>
      </c>
      <c r="D21" s="5">
        <v>-1.5985796774604519</v>
      </c>
      <c r="E21" s="5">
        <v>0.1189039763959194</v>
      </c>
      <c r="F21" s="5">
        <v>-4.9554531853091497</v>
      </c>
      <c r="G21" s="5">
        <v>0.58930893956322716</v>
      </c>
      <c r="H21" s="5">
        <v>-4.9554531853091497</v>
      </c>
      <c r="I21" s="5">
        <v>0.58930893956322716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E7D7-13CD-4838-AB28-E2F125D710E0}">
  <dimension ref="A1:R190"/>
  <sheetViews>
    <sheetView workbookViewId="0">
      <selection activeCell="B1" sqref="B1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2" bestFit="1" customWidth="1"/>
  </cols>
  <sheetData>
    <row r="1" spans="1:9" ht="23.5" x14ac:dyDescent="0.55000000000000004">
      <c r="B1" s="11" t="s">
        <v>83</v>
      </c>
    </row>
    <row r="2" spans="1: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</row>
    <row r="3" spans="1:9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16</v>
      </c>
      <c r="G3" t="s">
        <v>30</v>
      </c>
      <c r="H3" s="2">
        <v>94.642857142857139</v>
      </c>
    </row>
    <row r="4" spans="1:9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16</v>
      </c>
      <c r="G4" t="s">
        <v>30</v>
      </c>
      <c r="H4" s="2">
        <v>92.025518341307816</v>
      </c>
    </row>
    <row r="5" spans="1:9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16</v>
      </c>
      <c r="G5" t="s">
        <v>30</v>
      </c>
      <c r="H5" s="2">
        <v>90.085470085470092</v>
      </c>
    </row>
    <row r="6" spans="1:9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16</v>
      </c>
      <c r="G6" t="s">
        <v>30</v>
      </c>
      <c r="H6" s="2">
        <v>95.595432300163125</v>
      </c>
    </row>
    <row r="7" spans="1:9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16</v>
      </c>
      <c r="G7" t="s">
        <v>30</v>
      </c>
      <c r="H7" s="2">
        <v>94.708029197080293</v>
      </c>
    </row>
    <row r="8" spans="1:9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16</v>
      </c>
      <c r="G8" t="s">
        <v>30</v>
      </c>
      <c r="H8" s="2">
        <v>94.21641791044776</v>
      </c>
    </row>
    <row r="9" spans="1:9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16</v>
      </c>
      <c r="G9" t="s">
        <v>30</v>
      </c>
      <c r="H9" s="2">
        <v>95.585738539898131</v>
      </c>
    </row>
    <row r="10" spans="1:9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16</v>
      </c>
      <c r="G10" t="s">
        <v>30</v>
      </c>
      <c r="H10" s="2">
        <v>94.38943894389439</v>
      </c>
    </row>
    <row r="11" spans="1:9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16</v>
      </c>
      <c r="G11" t="s">
        <v>30</v>
      </c>
      <c r="H11" s="2">
        <v>90.733590733590731</v>
      </c>
    </row>
    <row r="12" spans="1:9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16</v>
      </c>
      <c r="G12" t="s">
        <v>30</v>
      </c>
      <c r="H12" s="2">
        <v>92.266187050359719</v>
      </c>
    </row>
    <row r="13" spans="1:9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16</v>
      </c>
      <c r="G13" t="s">
        <v>30</v>
      </c>
      <c r="H13" s="2">
        <v>94.026974951830439</v>
      </c>
    </row>
    <row r="14" spans="1:9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16</v>
      </c>
      <c r="G14" t="s">
        <v>30</v>
      </c>
      <c r="H14" s="2">
        <v>93.849206349206355</v>
      </c>
    </row>
    <row r="15" spans="1:9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16</v>
      </c>
      <c r="G15" t="s">
        <v>30</v>
      </c>
      <c r="H15" s="2">
        <v>92.427184466019412</v>
      </c>
    </row>
    <row r="16" spans="1:9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16</v>
      </c>
      <c r="G16" t="s">
        <v>30</v>
      </c>
      <c r="H16" s="2">
        <v>92.222222222222229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16</v>
      </c>
      <c r="G17" t="s">
        <v>30</v>
      </c>
      <c r="H17" s="2">
        <v>92.723880597014926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16</v>
      </c>
      <c r="G18" t="s">
        <v>30</v>
      </c>
      <c r="H18" s="2">
        <v>91.064638783269956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16</v>
      </c>
      <c r="G19" t="s">
        <v>30</v>
      </c>
      <c r="H19" s="2">
        <v>90.427698574338095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16</v>
      </c>
      <c r="G20" t="s">
        <v>30</v>
      </c>
      <c r="H20" s="2">
        <v>91.452991452991455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16</v>
      </c>
      <c r="G21" t="s">
        <v>30</v>
      </c>
      <c r="H21" s="2">
        <v>87.449392712550605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16</v>
      </c>
      <c r="G22" t="s">
        <v>30</v>
      </c>
      <c r="H22" s="2">
        <v>82.592592592592595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16</v>
      </c>
      <c r="G23" t="s">
        <v>30</v>
      </c>
      <c r="H23" s="2">
        <v>87.620889748549331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16</v>
      </c>
      <c r="G24" t="s">
        <v>30</v>
      </c>
      <c r="H24" s="2">
        <v>85.621970920840056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16</v>
      </c>
      <c r="G25" t="s">
        <v>30</v>
      </c>
      <c r="H25" s="2">
        <v>86.542056074766364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16</v>
      </c>
      <c r="G26" t="s">
        <v>30</v>
      </c>
      <c r="H26" s="2">
        <v>89.303904923599319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16</v>
      </c>
      <c r="G27" t="s">
        <v>30</v>
      </c>
      <c r="H27" s="2">
        <v>85.027726432532347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16</v>
      </c>
      <c r="G28" t="s">
        <v>30</v>
      </c>
      <c r="H28" s="2">
        <v>80.769230769230774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16</v>
      </c>
      <c r="G29" t="s">
        <v>30</v>
      </c>
      <c r="H29" s="2">
        <v>78.703703703703709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16</v>
      </c>
      <c r="G30" t="s">
        <v>30</v>
      </c>
      <c r="H30" s="2">
        <v>80.060422960725077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16</v>
      </c>
      <c r="G31" t="s">
        <v>30</v>
      </c>
      <c r="H31" s="2">
        <v>78.13559322033899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16</v>
      </c>
      <c r="G32" t="s">
        <v>30</v>
      </c>
      <c r="H32" s="2">
        <v>73.668188736681884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16</v>
      </c>
      <c r="G33" t="s">
        <v>30</v>
      </c>
      <c r="H33" s="2">
        <v>78.236130867709818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16</v>
      </c>
      <c r="G34" t="s">
        <v>30</v>
      </c>
      <c r="H34" s="2">
        <v>80.277349768875197</v>
      </c>
    </row>
    <row r="35" spans="1:14" x14ac:dyDescent="0.35">
      <c r="A35">
        <v>33</v>
      </c>
      <c r="B35">
        <v>2020</v>
      </c>
      <c r="C35">
        <v>1</v>
      </c>
      <c r="D35" t="s">
        <v>8</v>
      </c>
      <c r="E35" t="s">
        <v>9</v>
      </c>
      <c r="F35" t="s">
        <v>16</v>
      </c>
      <c r="G35" t="s">
        <v>30</v>
      </c>
      <c r="H35" s="2">
        <v>81.748466257668724</v>
      </c>
    </row>
    <row r="36" spans="1:14" x14ac:dyDescent="0.35">
      <c r="A36">
        <v>34</v>
      </c>
      <c r="B36">
        <v>2020</v>
      </c>
      <c r="C36">
        <v>2</v>
      </c>
      <c r="D36" t="s">
        <v>8</v>
      </c>
      <c r="E36" t="s">
        <v>9</v>
      </c>
      <c r="F36" t="s">
        <v>16</v>
      </c>
      <c r="G36" t="s">
        <v>30</v>
      </c>
      <c r="H36" s="2">
        <v>82.417582417582409</v>
      </c>
    </row>
    <row r="37" spans="1:14" x14ac:dyDescent="0.35">
      <c r="A37">
        <v>35</v>
      </c>
      <c r="B37">
        <v>2020</v>
      </c>
      <c r="C37">
        <v>3</v>
      </c>
      <c r="D37" t="s">
        <v>8</v>
      </c>
      <c r="E37" t="s">
        <v>9</v>
      </c>
      <c r="F37" t="s">
        <v>16</v>
      </c>
      <c r="G37" t="s">
        <v>30</v>
      </c>
      <c r="H37" s="2">
        <v>83.712121212121218</v>
      </c>
    </row>
    <row r="38" spans="1:14" x14ac:dyDescent="0.35">
      <c r="A38">
        <v>36</v>
      </c>
      <c r="B38">
        <v>2020</v>
      </c>
      <c r="C38">
        <v>4</v>
      </c>
      <c r="D38" t="s">
        <v>8</v>
      </c>
      <c r="E38" t="s">
        <v>9</v>
      </c>
      <c r="F38" t="s">
        <v>16</v>
      </c>
      <c r="G38" t="s">
        <v>30</v>
      </c>
      <c r="H38" s="2">
        <v>86.486486486486484</v>
      </c>
    </row>
    <row r="39" spans="1:14" x14ac:dyDescent="0.35">
      <c r="A39">
        <v>37</v>
      </c>
      <c r="B39">
        <v>2021</v>
      </c>
      <c r="C39">
        <v>1</v>
      </c>
      <c r="D39" t="s">
        <v>8</v>
      </c>
      <c r="E39" t="s">
        <v>9</v>
      </c>
      <c r="F39" t="s">
        <v>16</v>
      </c>
      <c r="G39" t="s">
        <v>30</v>
      </c>
      <c r="H39" s="2">
        <v>82.736156351791536</v>
      </c>
    </row>
    <row r="40" spans="1:14" x14ac:dyDescent="0.35">
      <c r="A40">
        <v>38</v>
      </c>
      <c r="B40">
        <v>2021</v>
      </c>
      <c r="C40">
        <v>2</v>
      </c>
      <c r="D40" t="s">
        <v>8</v>
      </c>
      <c r="E40" t="s">
        <v>9</v>
      </c>
      <c r="F40" t="s">
        <v>16</v>
      </c>
      <c r="G40" t="s">
        <v>30</v>
      </c>
      <c r="H40" s="2">
        <v>85.348506401137982</v>
      </c>
    </row>
    <row r="41" spans="1:14" x14ac:dyDescent="0.35">
      <c r="A41">
        <v>39</v>
      </c>
      <c r="B41">
        <v>2021</v>
      </c>
      <c r="C41">
        <v>3</v>
      </c>
      <c r="D41" t="s">
        <v>8</v>
      </c>
      <c r="E41" t="s">
        <v>9</v>
      </c>
      <c r="F41" t="s">
        <v>16</v>
      </c>
      <c r="G41" t="s">
        <v>30</v>
      </c>
      <c r="H41" s="2">
        <v>85.126162018592296</v>
      </c>
    </row>
    <row r="42" spans="1:14" x14ac:dyDescent="0.35">
      <c r="A42">
        <v>40</v>
      </c>
      <c r="B42">
        <v>2021</v>
      </c>
      <c r="C42">
        <v>4</v>
      </c>
      <c r="D42" t="s">
        <v>8</v>
      </c>
      <c r="E42" t="s">
        <v>9</v>
      </c>
      <c r="F42" t="s">
        <v>16</v>
      </c>
      <c r="G42" t="s">
        <v>30</v>
      </c>
      <c r="H42" s="2">
        <v>82.871536523929464</v>
      </c>
    </row>
    <row r="45" spans="1:14" x14ac:dyDescent="0.35">
      <c r="A45" t="s">
        <v>39</v>
      </c>
    </row>
    <row r="46" spans="1:14" x14ac:dyDescent="0.3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4" t="s">
        <v>7</v>
      </c>
      <c r="I46" s="3" t="s">
        <v>64</v>
      </c>
      <c r="J46" s="3" t="s">
        <v>66</v>
      </c>
      <c r="K46" s="3" t="s">
        <v>67</v>
      </c>
      <c r="M46" s="3" t="s">
        <v>68</v>
      </c>
      <c r="N46" s="2">
        <f>AVERAGE(K47:K86)</f>
        <v>11.818363399426845</v>
      </c>
    </row>
    <row r="47" spans="1:14" x14ac:dyDescent="0.35">
      <c r="A47">
        <v>1</v>
      </c>
      <c r="B47">
        <v>2012</v>
      </c>
      <c r="C47">
        <v>1</v>
      </c>
      <c r="D47" t="s">
        <v>8</v>
      </c>
      <c r="E47" t="s">
        <v>9</v>
      </c>
      <c r="F47" t="s">
        <v>16</v>
      </c>
      <c r="G47" t="s">
        <v>30</v>
      </c>
      <c r="H47" s="2">
        <v>94.642857142857139</v>
      </c>
      <c r="I47" s="2">
        <f>$I$89+$I$90*A47</f>
        <v>95.296738091675721</v>
      </c>
      <c r="J47" s="2">
        <f>H47-I47</f>
        <v>-0.65388094881858194</v>
      </c>
      <c r="K47" s="2">
        <f>J47*J47</f>
        <v>0.42756029522788896</v>
      </c>
    </row>
    <row r="48" spans="1:14" x14ac:dyDescent="0.35">
      <c r="A48">
        <v>2</v>
      </c>
      <c r="B48">
        <v>2012</v>
      </c>
      <c r="C48">
        <v>2</v>
      </c>
      <c r="D48" t="s">
        <v>8</v>
      </c>
      <c r="E48" t="s">
        <v>9</v>
      </c>
      <c r="F48" t="s">
        <v>16</v>
      </c>
      <c r="G48" t="s">
        <v>30</v>
      </c>
      <c r="H48" s="2">
        <v>92.025518341307816</v>
      </c>
      <c r="I48" s="2">
        <f t="shared" ref="I48:I86" si="0">$I$89+$I$90*A48</f>
        <v>94.892930559723084</v>
      </c>
      <c r="J48" s="2">
        <f t="shared" ref="J48:J86" si="1">H48-I48</f>
        <v>-2.8674122184152679</v>
      </c>
      <c r="K48" s="2">
        <f t="shared" ref="K48:K86" si="2">J48*J48</f>
        <v>8.2220528303171676</v>
      </c>
    </row>
    <row r="49" spans="1:11" x14ac:dyDescent="0.35">
      <c r="A49">
        <v>3</v>
      </c>
      <c r="B49">
        <v>2012</v>
      </c>
      <c r="C49">
        <v>3</v>
      </c>
      <c r="D49" t="s">
        <v>8</v>
      </c>
      <c r="E49" t="s">
        <v>9</v>
      </c>
      <c r="F49" t="s">
        <v>16</v>
      </c>
      <c r="G49" t="s">
        <v>30</v>
      </c>
      <c r="H49" s="2">
        <v>90.085470085470092</v>
      </c>
      <c r="I49" s="2">
        <f t="shared" si="0"/>
        <v>94.489123027770432</v>
      </c>
      <c r="J49" s="2">
        <f t="shared" si="1"/>
        <v>-4.4036529423003401</v>
      </c>
      <c r="K49" s="2">
        <f t="shared" si="2"/>
        <v>19.392159236230441</v>
      </c>
    </row>
    <row r="50" spans="1:11" x14ac:dyDescent="0.35">
      <c r="A50">
        <v>4</v>
      </c>
      <c r="B50">
        <v>2012</v>
      </c>
      <c r="C50">
        <v>4</v>
      </c>
      <c r="D50" t="s">
        <v>8</v>
      </c>
      <c r="E50" t="s">
        <v>9</v>
      </c>
      <c r="F50" t="s">
        <v>16</v>
      </c>
      <c r="G50" t="s">
        <v>30</v>
      </c>
      <c r="H50" s="2">
        <v>95.595432300163125</v>
      </c>
      <c r="I50" s="2">
        <f t="shared" si="0"/>
        <v>94.085315495817795</v>
      </c>
      <c r="J50" s="2">
        <f t="shared" si="1"/>
        <v>1.5101168043453299</v>
      </c>
      <c r="K50" s="2">
        <f t="shared" si="2"/>
        <v>2.2804527627661515</v>
      </c>
    </row>
    <row r="51" spans="1:11" x14ac:dyDescent="0.35">
      <c r="A51">
        <v>5</v>
      </c>
      <c r="B51">
        <v>2013</v>
      </c>
      <c r="C51">
        <v>1</v>
      </c>
      <c r="D51" t="s">
        <v>8</v>
      </c>
      <c r="E51" t="s">
        <v>9</v>
      </c>
      <c r="F51" t="s">
        <v>16</v>
      </c>
      <c r="G51" t="s">
        <v>30</v>
      </c>
      <c r="H51" s="2">
        <v>94.708029197080293</v>
      </c>
      <c r="I51" s="2">
        <f t="shared" si="0"/>
        <v>93.681507963865158</v>
      </c>
      <c r="J51" s="2">
        <f t="shared" si="1"/>
        <v>1.026521233215135</v>
      </c>
      <c r="K51" s="2">
        <f t="shared" si="2"/>
        <v>1.0537458422415216</v>
      </c>
    </row>
    <row r="52" spans="1:11" x14ac:dyDescent="0.35">
      <c r="A52">
        <v>6</v>
      </c>
      <c r="B52">
        <v>2013</v>
      </c>
      <c r="C52">
        <v>2</v>
      </c>
      <c r="D52" t="s">
        <v>8</v>
      </c>
      <c r="E52" t="s">
        <v>9</v>
      </c>
      <c r="F52" t="s">
        <v>16</v>
      </c>
      <c r="G52" t="s">
        <v>30</v>
      </c>
      <c r="H52" s="2">
        <v>94.21641791044776</v>
      </c>
      <c r="I52" s="2">
        <f t="shared" si="0"/>
        <v>93.277700431912507</v>
      </c>
      <c r="J52" s="2">
        <f t="shared" si="1"/>
        <v>0.93871747853525278</v>
      </c>
      <c r="K52" s="2">
        <f t="shared" si="2"/>
        <v>0.88119050450758274</v>
      </c>
    </row>
    <row r="53" spans="1:11" x14ac:dyDescent="0.35">
      <c r="A53">
        <v>7</v>
      </c>
      <c r="B53">
        <v>2013</v>
      </c>
      <c r="C53">
        <v>3</v>
      </c>
      <c r="D53" t="s">
        <v>8</v>
      </c>
      <c r="E53" t="s">
        <v>9</v>
      </c>
      <c r="F53" t="s">
        <v>16</v>
      </c>
      <c r="G53" t="s">
        <v>30</v>
      </c>
      <c r="H53" s="2">
        <v>95.585738539898131</v>
      </c>
      <c r="I53" s="2">
        <f t="shared" si="0"/>
        <v>92.87389289995987</v>
      </c>
      <c r="J53" s="2">
        <f t="shared" si="1"/>
        <v>2.7118456399382609</v>
      </c>
      <c r="K53" s="2">
        <f t="shared" si="2"/>
        <v>7.3541067748521556</v>
      </c>
    </row>
    <row r="54" spans="1:11" x14ac:dyDescent="0.35">
      <c r="A54">
        <v>8</v>
      </c>
      <c r="B54">
        <v>2013</v>
      </c>
      <c r="C54">
        <v>4</v>
      </c>
      <c r="D54" t="s">
        <v>8</v>
      </c>
      <c r="E54" t="s">
        <v>9</v>
      </c>
      <c r="F54" t="s">
        <v>16</v>
      </c>
      <c r="G54" t="s">
        <v>30</v>
      </c>
      <c r="H54" s="2">
        <v>94.38943894389439</v>
      </c>
      <c r="I54" s="2">
        <f t="shared" si="0"/>
        <v>92.470085368007233</v>
      </c>
      <c r="J54" s="2">
        <f t="shared" si="1"/>
        <v>1.9193535758871576</v>
      </c>
      <c r="K54" s="2">
        <f t="shared" si="2"/>
        <v>3.6839181492708191</v>
      </c>
    </row>
    <row r="55" spans="1:11" x14ac:dyDescent="0.35">
      <c r="A55">
        <v>9</v>
      </c>
      <c r="B55">
        <v>2014</v>
      </c>
      <c r="C55">
        <v>1</v>
      </c>
      <c r="D55" t="s">
        <v>8</v>
      </c>
      <c r="E55" t="s">
        <v>9</v>
      </c>
      <c r="F55" t="s">
        <v>16</v>
      </c>
      <c r="G55" t="s">
        <v>30</v>
      </c>
      <c r="H55" s="2">
        <v>90.733590733590731</v>
      </c>
      <c r="I55" s="2">
        <f t="shared" si="0"/>
        <v>92.066277836054596</v>
      </c>
      <c r="J55" s="2">
        <f t="shared" si="1"/>
        <v>-1.3326871024638649</v>
      </c>
      <c r="K55" s="2">
        <f t="shared" si="2"/>
        <v>1.7760549130735319</v>
      </c>
    </row>
    <row r="56" spans="1:11" x14ac:dyDescent="0.35">
      <c r="A56">
        <v>10</v>
      </c>
      <c r="B56">
        <v>2014</v>
      </c>
      <c r="C56">
        <v>2</v>
      </c>
      <c r="D56" t="s">
        <v>8</v>
      </c>
      <c r="E56" t="s">
        <v>9</v>
      </c>
      <c r="F56" t="s">
        <v>16</v>
      </c>
      <c r="G56" t="s">
        <v>30</v>
      </c>
      <c r="H56" s="2">
        <v>92.266187050359719</v>
      </c>
      <c r="I56" s="2">
        <f t="shared" si="0"/>
        <v>91.662470304101959</v>
      </c>
      <c r="J56" s="2">
        <f t="shared" si="1"/>
        <v>0.60371674625775995</v>
      </c>
      <c r="K56" s="2">
        <f t="shared" si="2"/>
        <v>0.36447390971205651</v>
      </c>
    </row>
    <row r="57" spans="1:11" x14ac:dyDescent="0.35">
      <c r="A57">
        <v>11</v>
      </c>
      <c r="B57">
        <v>2014</v>
      </c>
      <c r="C57">
        <v>3</v>
      </c>
      <c r="D57" t="s">
        <v>8</v>
      </c>
      <c r="E57" t="s">
        <v>9</v>
      </c>
      <c r="F57" t="s">
        <v>16</v>
      </c>
      <c r="G57" t="s">
        <v>30</v>
      </c>
      <c r="H57" s="2">
        <v>94.026974951830439</v>
      </c>
      <c r="I57" s="2">
        <f t="shared" si="0"/>
        <v>91.258662772149307</v>
      </c>
      <c r="J57" s="2">
        <f t="shared" si="1"/>
        <v>2.7683121796811321</v>
      </c>
      <c r="K57" s="2">
        <f t="shared" si="2"/>
        <v>7.6635523241709009</v>
      </c>
    </row>
    <row r="58" spans="1:11" x14ac:dyDescent="0.35">
      <c r="A58">
        <v>12</v>
      </c>
      <c r="B58">
        <v>2014</v>
      </c>
      <c r="C58">
        <v>4</v>
      </c>
      <c r="D58" t="s">
        <v>8</v>
      </c>
      <c r="E58" t="s">
        <v>9</v>
      </c>
      <c r="F58" t="s">
        <v>16</v>
      </c>
      <c r="G58" t="s">
        <v>30</v>
      </c>
      <c r="H58" s="2">
        <v>93.849206349206355</v>
      </c>
      <c r="I58" s="2">
        <f t="shared" si="0"/>
        <v>90.85485524019667</v>
      </c>
      <c r="J58" s="2">
        <f t="shared" si="1"/>
        <v>2.9943511090096848</v>
      </c>
      <c r="K58" s="2">
        <f t="shared" si="2"/>
        <v>8.9661385640275295</v>
      </c>
    </row>
    <row r="59" spans="1:11" x14ac:dyDescent="0.35">
      <c r="A59">
        <v>13</v>
      </c>
      <c r="B59">
        <v>2015</v>
      </c>
      <c r="C59">
        <v>1</v>
      </c>
      <c r="D59" t="s">
        <v>8</v>
      </c>
      <c r="E59" t="s">
        <v>9</v>
      </c>
      <c r="F59" t="s">
        <v>16</v>
      </c>
      <c r="G59" t="s">
        <v>30</v>
      </c>
      <c r="H59" s="2">
        <v>92.427184466019412</v>
      </c>
      <c r="I59" s="2">
        <f t="shared" si="0"/>
        <v>90.451047708244033</v>
      </c>
      <c r="J59" s="2">
        <f t="shared" si="1"/>
        <v>1.9761367577753788</v>
      </c>
      <c r="K59" s="2">
        <f t="shared" si="2"/>
        <v>3.9051164854309861</v>
      </c>
    </row>
    <row r="60" spans="1:11" x14ac:dyDescent="0.35">
      <c r="A60">
        <v>14</v>
      </c>
      <c r="B60">
        <v>2015</v>
      </c>
      <c r="C60">
        <v>2</v>
      </c>
      <c r="D60" t="s">
        <v>8</v>
      </c>
      <c r="E60" t="s">
        <v>9</v>
      </c>
      <c r="F60" t="s">
        <v>16</v>
      </c>
      <c r="G60" t="s">
        <v>30</v>
      </c>
      <c r="H60" s="2">
        <v>92.222222222222229</v>
      </c>
      <c r="I60" s="2">
        <f t="shared" si="0"/>
        <v>90.047240176291382</v>
      </c>
      <c r="J60" s="2">
        <f t="shared" si="1"/>
        <v>2.1749820459308467</v>
      </c>
      <c r="K60" s="2">
        <f t="shared" si="2"/>
        <v>4.7305469001215315</v>
      </c>
    </row>
    <row r="61" spans="1:11" x14ac:dyDescent="0.35">
      <c r="A61">
        <v>15</v>
      </c>
      <c r="B61">
        <v>2015</v>
      </c>
      <c r="C61">
        <v>3</v>
      </c>
      <c r="D61" t="s">
        <v>8</v>
      </c>
      <c r="E61" t="s">
        <v>9</v>
      </c>
      <c r="F61" t="s">
        <v>16</v>
      </c>
      <c r="G61" t="s">
        <v>30</v>
      </c>
      <c r="H61" s="2">
        <v>92.723880597014926</v>
      </c>
      <c r="I61" s="2">
        <f t="shared" si="0"/>
        <v>89.643432644338745</v>
      </c>
      <c r="J61" s="2">
        <f t="shared" si="1"/>
        <v>3.080447952676181</v>
      </c>
      <c r="K61" s="2">
        <f t="shared" si="2"/>
        <v>9.4891595891468743</v>
      </c>
    </row>
    <row r="62" spans="1:11" x14ac:dyDescent="0.35">
      <c r="A62">
        <v>16</v>
      </c>
      <c r="B62">
        <v>2015</v>
      </c>
      <c r="C62">
        <v>4</v>
      </c>
      <c r="D62" t="s">
        <v>8</v>
      </c>
      <c r="E62" t="s">
        <v>9</v>
      </c>
      <c r="F62" t="s">
        <v>16</v>
      </c>
      <c r="G62" t="s">
        <v>30</v>
      </c>
      <c r="H62" s="2">
        <v>91.064638783269956</v>
      </c>
      <c r="I62" s="2">
        <f t="shared" si="0"/>
        <v>89.239625112386108</v>
      </c>
      <c r="J62" s="2">
        <f t="shared" si="1"/>
        <v>1.8250136708838482</v>
      </c>
      <c r="K62" s="2">
        <f t="shared" si="2"/>
        <v>3.3306748989129393</v>
      </c>
    </row>
    <row r="63" spans="1:11" x14ac:dyDescent="0.35">
      <c r="A63">
        <v>17</v>
      </c>
      <c r="B63">
        <v>2016</v>
      </c>
      <c r="C63">
        <v>1</v>
      </c>
      <c r="D63" t="s">
        <v>8</v>
      </c>
      <c r="E63" t="s">
        <v>9</v>
      </c>
      <c r="F63" t="s">
        <v>16</v>
      </c>
      <c r="G63" t="s">
        <v>30</v>
      </c>
      <c r="H63" s="2">
        <v>90.427698574338095</v>
      </c>
      <c r="I63" s="2">
        <f t="shared" si="0"/>
        <v>88.835817580433471</v>
      </c>
      <c r="J63" s="2">
        <f t="shared" si="1"/>
        <v>1.5918809939046241</v>
      </c>
      <c r="K63" s="2">
        <f t="shared" si="2"/>
        <v>2.5340850987547738</v>
      </c>
    </row>
    <row r="64" spans="1:11" x14ac:dyDescent="0.35">
      <c r="A64">
        <v>18</v>
      </c>
      <c r="B64">
        <v>2016</v>
      </c>
      <c r="C64">
        <v>2</v>
      </c>
      <c r="D64" t="s">
        <v>8</v>
      </c>
      <c r="E64" t="s">
        <v>9</v>
      </c>
      <c r="F64" t="s">
        <v>16</v>
      </c>
      <c r="G64" t="s">
        <v>30</v>
      </c>
      <c r="H64" s="2">
        <v>91.452991452991455</v>
      </c>
      <c r="I64" s="2">
        <f t="shared" si="0"/>
        <v>88.432010048480834</v>
      </c>
      <c r="J64" s="2">
        <f t="shared" si="1"/>
        <v>3.0209814045106214</v>
      </c>
      <c r="K64" s="2">
        <f t="shared" si="2"/>
        <v>9.1263286463989672</v>
      </c>
    </row>
    <row r="65" spans="1:11" x14ac:dyDescent="0.35">
      <c r="A65">
        <v>19</v>
      </c>
      <c r="B65">
        <v>2016</v>
      </c>
      <c r="C65">
        <v>3</v>
      </c>
      <c r="D65" t="s">
        <v>8</v>
      </c>
      <c r="E65" t="s">
        <v>9</v>
      </c>
      <c r="F65" t="s">
        <v>16</v>
      </c>
      <c r="G65" t="s">
        <v>30</v>
      </c>
      <c r="H65" s="2">
        <v>87.449392712550605</v>
      </c>
      <c r="I65" s="2">
        <f t="shared" si="0"/>
        <v>88.028202516528182</v>
      </c>
      <c r="J65" s="2">
        <f t="shared" si="1"/>
        <v>-0.57880980397757753</v>
      </c>
      <c r="K65" s="2">
        <f t="shared" si="2"/>
        <v>0.33502078918056172</v>
      </c>
    </row>
    <row r="66" spans="1:11" x14ac:dyDescent="0.35">
      <c r="A66">
        <v>20</v>
      </c>
      <c r="B66">
        <v>2016</v>
      </c>
      <c r="C66">
        <v>4</v>
      </c>
      <c r="D66" t="s">
        <v>8</v>
      </c>
      <c r="E66" t="s">
        <v>9</v>
      </c>
      <c r="F66" t="s">
        <v>16</v>
      </c>
      <c r="G66" t="s">
        <v>30</v>
      </c>
      <c r="H66" s="2">
        <v>82.592592592592595</v>
      </c>
      <c r="I66" s="2">
        <f t="shared" si="0"/>
        <v>87.624394984575545</v>
      </c>
      <c r="J66" s="2">
        <f t="shared" si="1"/>
        <v>-5.03180239198295</v>
      </c>
      <c r="K66" s="2">
        <f t="shared" si="2"/>
        <v>25.319035311965337</v>
      </c>
    </row>
    <row r="67" spans="1:11" x14ac:dyDescent="0.35">
      <c r="A67">
        <v>21</v>
      </c>
      <c r="B67">
        <v>2017</v>
      </c>
      <c r="C67">
        <v>1</v>
      </c>
      <c r="D67" t="s">
        <v>8</v>
      </c>
      <c r="E67" t="s">
        <v>9</v>
      </c>
      <c r="F67" t="s">
        <v>16</v>
      </c>
      <c r="G67" t="s">
        <v>30</v>
      </c>
      <c r="H67" s="2">
        <v>87.620889748549331</v>
      </c>
      <c r="I67" s="2">
        <f t="shared" si="0"/>
        <v>87.220587452622908</v>
      </c>
      <c r="J67" s="2">
        <f t="shared" si="1"/>
        <v>0.40030229592642286</v>
      </c>
      <c r="K67" s="2">
        <f t="shared" si="2"/>
        <v>0.16024192812396543</v>
      </c>
    </row>
    <row r="68" spans="1:11" x14ac:dyDescent="0.35">
      <c r="A68">
        <v>22</v>
      </c>
      <c r="B68">
        <v>2017</v>
      </c>
      <c r="C68">
        <v>2</v>
      </c>
      <c r="D68" t="s">
        <v>8</v>
      </c>
      <c r="E68" t="s">
        <v>9</v>
      </c>
      <c r="F68" t="s">
        <v>16</v>
      </c>
      <c r="G68" t="s">
        <v>30</v>
      </c>
      <c r="H68" s="2">
        <v>85.621970920840056</v>
      </c>
      <c r="I68" s="2">
        <f t="shared" si="0"/>
        <v>86.816779920670257</v>
      </c>
      <c r="J68" s="2">
        <f t="shared" si="1"/>
        <v>-1.1948089998302009</v>
      </c>
      <c r="K68" s="2">
        <f t="shared" si="2"/>
        <v>1.4275685460752452</v>
      </c>
    </row>
    <row r="69" spans="1:11" x14ac:dyDescent="0.35">
      <c r="A69">
        <v>23</v>
      </c>
      <c r="B69">
        <v>2017</v>
      </c>
      <c r="C69">
        <v>3</v>
      </c>
      <c r="D69" t="s">
        <v>8</v>
      </c>
      <c r="E69" t="s">
        <v>9</v>
      </c>
      <c r="F69" t="s">
        <v>16</v>
      </c>
      <c r="G69" t="s">
        <v>30</v>
      </c>
      <c r="H69" s="2">
        <v>86.542056074766364</v>
      </c>
      <c r="I69" s="2">
        <f t="shared" si="0"/>
        <v>86.41297238871762</v>
      </c>
      <c r="J69" s="2">
        <f t="shared" si="1"/>
        <v>0.12908368604874454</v>
      </c>
      <c r="K69" s="2">
        <f t="shared" si="2"/>
        <v>1.6662598003930846E-2</v>
      </c>
    </row>
    <row r="70" spans="1:11" x14ac:dyDescent="0.35">
      <c r="A70">
        <v>24</v>
      </c>
      <c r="B70">
        <v>2017</v>
      </c>
      <c r="C70">
        <v>4</v>
      </c>
      <c r="D70" t="s">
        <v>8</v>
      </c>
      <c r="E70" t="s">
        <v>9</v>
      </c>
      <c r="F70" t="s">
        <v>16</v>
      </c>
      <c r="G70" t="s">
        <v>30</v>
      </c>
      <c r="H70" s="2">
        <v>89.303904923599319</v>
      </c>
      <c r="I70" s="2">
        <f t="shared" si="0"/>
        <v>86.009164856764983</v>
      </c>
      <c r="J70" s="2">
        <f t="shared" si="1"/>
        <v>3.2947400668343363</v>
      </c>
      <c r="K70" s="2">
        <f t="shared" si="2"/>
        <v>10.855312108003528</v>
      </c>
    </row>
    <row r="71" spans="1:11" x14ac:dyDescent="0.35">
      <c r="A71">
        <v>25</v>
      </c>
      <c r="B71">
        <v>2018</v>
      </c>
      <c r="C71">
        <v>1</v>
      </c>
      <c r="D71" t="s">
        <v>8</v>
      </c>
      <c r="E71" t="s">
        <v>9</v>
      </c>
      <c r="F71" t="s">
        <v>16</v>
      </c>
      <c r="G71" t="s">
        <v>30</v>
      </c>
      <c r="H71" s="2">
        <v>85.027726432532347</v>
      </c>
      <c r="I71" s="2">
        <f t="shared" si="0"/>
        <v>85.605357324812346</v>
      </c>
      <c r="J71" s="2">
        <f t="shared" si="1"/>
        <v>-0.57763089227999842</v>
      </c>
      <c r="K71" s="2">
        <f t="shared" si="2"/>
        <v>0.33365744771618716</v>
      </c>
    </row>
    <row r="72" spans="1:11" x14ac:dyDescent="0.35">
      <c r="A72">
        <v>26</v>
      </c>
      <c r="B72">
        <v>2018</v>
      </c>
      <c r="C72">
        <v>2</v>
      </c>
      <c r="D72" t="s">
        <v>8</v>
      </c>
      <c r="E72" t="s">
        <v>9</v>
      </c>
      <c r="F72" t="s">
        <v>16</v>
      </c>
      <c r="G72" t="s">
        <v>30</v>
      </c>
      <c r="H72" s="2">
        <v>80.769230769230774</v>
      </c>
      <c r="I72" s="2">
        <f t="shared" si="0"/>
        <v>85.201549792859709</v>
      </c>
      <c r="J72" s="2">
        <f t="shared" si="1"/>
        <v>-4.4323190236289349</v>
      </c>
      <c r="K72" s="2">
        <f t="shared" si="2"/>
        <v>19.645451927222954</v>
      </c>
    </row>
    <row r="73" spans="1:11" x14ac:dyDescent="0.35">
      <c r="A73">
        <v>27</v>
      </c>
      <c r="B73">
        <v>2018</v>
      </c>
      <c r="C73">
        <v>3</v>
      </c>
      <c r="D73" t="s">
        <v>8</v>
      </c>
      <c r="E73" t="s">
        <v>9</v>
      </c>
      <c r="F73" t="s">
        <v>16</v>
      </c>
      <c r="G73" t="s">
        <v>30</v>
      </c>
      <c r="H73" s="2">
        <v>78.703703703703709</v>
      </c>
      <c r="I73" s="2">
        <f t="shared" si="0"/>
        <v>84.797742260907057</v>
      </c>
      <c r="J73" s="2">
        <f t="shared" si="1"/>
        <v>-6.0940385572033478</v>
      </c>
      <c r="K73" s="2">
        <f t="shared" si="2"/>
        <v>37.137305936681059</v>
      </c>
    </row>
    <row r="74" spans="1:11" x14ac:dyDescent="0.35">
      <c r="A74">
        <v>28</v>
      </c>
      <c r="B74">
        <v>2018</v>
      </c>
      <c r="C74">
        <v>4</v>
      </c>
      <c r="D74" t="s">
        <v>8</v>
      </c>
      <c r="E74" t="s">
        <v>9</v>
      </c>
      <c r="F74" t="s">
        <v>16</v>
      </c>
      <c r="G74" t="s">
        <v>30</v>
      </c>
      <c r="H74" s="2">
        <v>80.060422960725077</v>
      </c>
      <c r="I74" s="2">
        <f t="shared" si="0"/>
        <v>84.39393472895442</v>
      </c>
      <c r="J74" s="2">
        <f t="shared" si="1"/>
        <v>-4.3335117682293429</v>
      </c>
      <c r="K74" s="2">
        <f t="shared" si="2"/>
        <v>18.779324245382206</v>
      </c>
    </row>
    <row r="75" spans="1:11" x14ac:dyDescent="0.35">
      <c r="A75">
        <v>29</v>
      </c>
      <c r="B75">
        <v>2019</v>
      </c>
      <c r="C75">
        <v>1</v>
      </c>
      <c r="D75" t="s">
        <v>8</v>
      </c>
      <c r="E75" t="s">
        <v>9</v>
      </c>
      <c r="F75" t="s">
        <v>16</v>
      </c>
      <c r="G75" t="s">
        <v>30</v>
      </c>
      <c r="H75" s="2">
        <v>78.13559322033899</v>
      </c>
      <c r="I75" s="2">
        <f t="shared" si="0"/>
        <v>83.990127197001783</v>
      </c>
      <c r="J75" s="2">
        <f t="shared" si="1"/>
        <v>-5.8545339766627933</v>
      </c>
      <c r="K75" s="2">
        <f t="shared" si="2"/>
        <v>34.27556808389906</v>
      </c>
    </row>
    <row r="76" spans="1:11" x14ac:dyDescent="0.35">
      <c r="A76">
        <v>30</v>
      </c>
      <c r="B76">
        <v>2019</v>
      </c>
      <c r="C76">
        <v>2</v>
      </c>
      <c r="D76" t="s">
        <v>8</v>
      </c>
      <c r="E76" t="s">
        <v>9</v>
      </c>
      <c r="F76" t="s">
        <v>16</v>
      </c>
      <c r="G76" t="s">
        <v>30</v>
      </c>
      <c r="H76" s="2">
        <v>73.668188736681884</v>
      </c>
      <c r="I76" s="2">
        <f t="shared" si="0"/>
        <v>83.586319665049132</v>
      </c>
      <c r="J76" s="2">
        <f t="shared" si="1"/>
        <v>-9.9181309283672476</v>
      </c>
      <c r="K76" s="2">
        <f t="shared" si="2"/>
        <v>98.369321112234957</v>
      </c>
    </row>
    <row r="77" spans="1:11" x14ac:dyDescent="0.35">
      <c r="A77">
        <v>31</v>
      </c>
      <c r="B77">
        <v>2019</v>
      </c>
      <c r="C77">
        <v>3</v>
      </c>
      <c r="D77" t="s">
        <v>8</v>
      </c>
      <c r="E77" t="s">
        <v>9</v>
      </c>
      <c r="F77" t="s">
        <v>16</v>
      </c>
      <c r="G77" t="s">
        <v>30</v>
      </c>
      <c r="H77" s="2">
        <v>78.236130867709818</v>
      </c>
      <c r="I77" s="2">
        <f t="shared" si="0"/>
        <v>83.182512133096495</v>
      </c>
      <c r="J77" s="2">
        <f t="shared" si="1"/>
        <v>-4.9463812653866768</v>
      </c>
      <c r="K77" s="2">
        <f t="shared" si="2"/>
        <v>24.466687622568301</v>
      </c>
    </row>
    <row r="78" spans="1:11" x14ac:dyDescent="0.35">
      <c r="A78">
        <v>32</v>
      </c>
      <c r="B78">
        <v>2019</v>
      </c>
      <c r="C78">
        <v>4</v>
      </c>
      <c r="D78" t="s">
        <v>8</v>
      </c>
      <c r="E78" t="s">
        <v>9</v>
      </c>
      <c r="F78" t="s">
        <v>16</v>
      </c>
      <c r="G78" t="s">
        <v>30</v>
      </c>
      <c r="H78" s="2">
        <v>80.277349768875197</v>
      </c>
      <c r="I78" s="2">
        <f t="shared" si="0"/>
        <v>82.778704601143858</v>
      </c>
      <c r="J78" s="2">
        <f t="shared" si="1"/>
        <v>-2.5013548322686603</v>
      </c>
      <c r="K78" s="2">
        <f t="shared" si="2"/>
        <v>6.2567759969137775</v>
      </c>
    </row>
    <row r="79" spans="1:11" x14ac:dyDescent="0.35">
      <c r="A79">
        <v>33</v>
      </c>
      <c r="B79">
        <v>2020</v>
      </c>
      <c r="C79">
        <v>1</v>
      </c>
      <c r="D79" t="s">
        <v>8</v>
      </c>
      <c r="E79" t="s">
        <v>9</v>
      </c>
      <c r="F79" t="s">
        <v>16</v>
      </c>
      <c r="G79" t="s">
        <v>30</v>
      </c>
      <c r="H79" s="2">
        <v>81.748466257668724</v>
      </c>
      <c r="I79" s="2">
        <f t="shared" si="0"/>
        <v>82.374897069191221</v>
      </c>
      <c r="J79" s="2">
        <f t="shared" si="1"/>
        <v>-0.62643081152249636</v>
      </c>
      <c r="K79" s="2">
        <f t="shared" si="2"/>
        <v>0.39241556162473334</v>
      </c>
    </row>
    <row r="80" spans="1:11" x14ac:dyDescent="0.35">
      <c r="A80">
        <v>34</v>
      </c>
      <c r="B80">
        <v>2020</v>
      </c>
      <c r="C80">
        <v>2</v>
      </c>
      <c r="D80" t="s">
        <v>8</v>
      </c>
      <c r="E80" t="s">
        <v>9</v>
      </c>
      <c r="F80" t="s">
        <v>16</v>
      </c>
      <c r="G80" t="s">
        <v>30</v>
      </c>
      <c r="H80" s="2">
        <v>82.417582417582409</v>
      </c>
      <c r="I80" s="2">
        <f t="shared" si="0"/>
        <v>81.971089537238583</v>
      </c>
      <c r="J80" s="2">
        <f t="shared" si="1"/>
        <v>0.4464928803438255</v>
      </c>
      <c r="K80" s="2">
        <f t="shared" si="2"/>
        <v>0.19935589219772568</v>
      </c>
    </row>
    <row r="81" spans="1:18" x14ac:dyDescent="0.35">
      <c r="A81">
        <v>35</v>
      </c>
      <c r="B81">
        <v>2020</v>
      </c>
      <c r="C81">
        <v>3</v>
      </c>
      <c r="D81" t="s">
        <v>8</v>
      </c>
      <c r="E81" t="s">
        <v>9</v>
      </c>
      <c r="F81" t="s">
        <v>16</v>
      </c>
      <c r="G81" t="s">
        <v>30</v>
      </c>
      <c r="H81" s="2">
        <v>83.712121212121218</v>
      </c>
      <c r="I81" s="2">
        <f t="shared" si="0"/>
        <v>81.567282005285932</v>
      </c>
      <c r="J81" s="2">
        <f t="shared" si="1"/>
        <v>2.1448392068352859</v>
      </c>
      <c r="K81" s="2">
        <f t="shared" si="2"/>
        <v>4.6003352231778187</v>
      </c>
    </row>
    <row r="82" spans="1:18" x14ac:dyDescent="0.35">
      <c r="A82">
        <v>36</v>
      </c>
      <c r="B82">
        <v>2020</v>
      </c>
      <c r="C82">
        <v>4</v>
      </c>
      <c r="D82" t="s">
        <v>8</v>
      </c>
      <c r="E82" t="s">
        <v>9</v>
      </c>
      <c r="F82" t="s">
        <v>16</v>
      </c>
      <c r="G82" t="s">
        <v>30</v>
      </c>
      <c r="H82" s="2">
        <v>86.486486486486484</v>
      </c>
      <c r="I82" s="2">
        <f t="shared" si="0"/>
        <v>81.163474473333295</v>
      </c>
      <c r="J82" s="2">
        <f t="shared" si="1"/>
        <v>5.3230120131531891</v>
      </c>
      <c r="K82" s="2">
        <f t="shared" si="2"/>
        <v>28.334456892173165</v>
      </c>
    </row>
    <row r="83" spans="1:18" x14ac:dyDescent="0.35">
      <c r="A83">
        <v>37</v>
      </c>
      <c r="B83">
        <v>2021</v>
      </c>
      <c r="C83">
        <v>1</v>
      </c>
      <c r="D83" t="s">
        <v>8</v>
      </c>
      <c r="E83" t="s">
        <v>9</v>
      </c>
      <c r="F83" t="s">
        <v>16</v>
      </c>
      <c r="G83" t="s">
        <v>30</v>
      </c>
      <c r="H83" s="2">
        <v>82.736156351791536</v>
      </c>
      <c r="I83" s="2">
        <f t="shared" si="0"/>
        <v>80.759666941380658</v>
      </c>
      <c r="J83" s="2">
        <f t="shared" si="1"/>
        <v>1.9764894104108777</v>
      </c>
      <c r="K83" s="2">
        <f t="shared" si="2"/>
        <v>3.9065103894663387</v>
      </c>
    </row>
    <row r="84" spans="1:18" x14ac:dyDescent="0.35">
      <c r="A84">
        <v>38</v>
      </c>
      <c r="B84">
        <v>2021</v>
      </c>
      <c r="C84">
        <v>2</v>
      </c>
      <c r="D84" t="s">
        <v>8</v>
      </c>
      <c r="E84" t="s">
        <v>9</v>
      </c>
      <c r="F84" t="s">
        <v>16</v>
      </c>
      <c r="G84" t="s">
        <v>30</v>
      </c>
      <c r="H84" s="2">
        <v>85.348506401137982</v>
      </c>
      <c r="I84" s="2">
        <f t="shared" si="0"/>
        <v>80.355859409428007</v>
      </c>
      <c r="J84" s="2">
        <f t="shared" si="1"/>
        <v>4.9926469917099752</v>
      </c>
      <c r="K84" s="2">
        <f t="shared" si="2"/>
        <v>24.926523983830666</v>
      </c>
    </row>
    <row r="85" spans="1:18" x14ac:dyDescent="0.35">
      <c r="A85">
        <v>39</v>
      </c>
      <c r="B85">
        <v>2021</v>
      </c>
      <c r="C85">
        <v>3</v>
      </c>
      <c r="D85" t="s">
        <v>8</v>
      </c>
      <c r="E85" t="s">
        <v>9</v>
      </c>
      <c r="F85" t="s">
        <v>16</v>
      </c>
      <c r="G85" t="s">
        <v>30</v>
      </c>
      <c r="H85" s="2">
        <v>85.126162018592296</v>
      </c>
      <c r="I85" s="2">
        <f t="shared" si="0"/>
        <v>79.95205187747537</v>
      </c>
      <c r="J85" s="2">
        <f t="shared" si="1"/>
        <v>5.1741101411169268</v>
      </c>
      <c r="K85" s="2">
        <f t="shared" si="2"/>
        <v>26.771415752409023</v>
      </c>
    </row>
    <row r="86" spans="1:18" x14ac:dyDescent="0.35">
      <c r="A86">
        <v>40</v>
      </c>
      <c r="B86">
        <v>2021</v>
      </c>
      <c r="C86">
        <v>4</v>
      </c>
      <c r="D86" t="s">
        <v>8</v>
      </c>
      <c r="E86" t="s">
        <v>9</v>
      </c>
      <c r="F86" t="s">
        <v>16</v>
      </c>
      <c r="G86" t="s">
        <v>30</v>
      </c>
      <c r="H86" s="2">
        <v>82.871536523929464</v>
      </c>
      <c r="I86" s="2">
        <f t="shared" si="0"/>
        <v>79.548244345522733</v>
      </c>
      <c r="J86" s="2">
        <f t="shared" si="1"/>
        <v>3.3232921784067315</v>
      </c>
      <c r="K86" s="2">
        <f t="shared" si="2"/>
        <v>11.04427090305936</v>
      </c>
    </row>
    <row r="87" spans="1:18" ht="15" thickBot="1" x14ac:dyDescent="0.4"/>
    <row r="88" spans="1:18" x14ac:dyDescent="0.35">
      <c r="H88" s="6"/>
      <c r="I88" s="6" t="s">
        <v>57</v>
      </c>
    </row>
    <row r="89" spans="1:18" x14ac:dyDescent="0.35">
      <c r="H89" t="s">
        <v>51</v>
      </c>
      <c r="I89">
        <v>95.700545623628358</v>
      </c>
    </row>
    <row r="90" spans="1:18" ht="15" thickBot="1" x14ac:dyDescent="0.4">
      <c r="H90" s="5" t="s">
        <v>0</v>
      </c>
      <c r="I90" s="5">
        <v>-0.40380753195264063</v>
      </c>
    </row>
    <row r="93" spans="1:18" x14ac:dyDescent="0.35">
      <c r="A93" t="s">
        <v>69</v>
      </c>
    </row>
    <row r="94" spans="1:18" x14ac:dyDescent="0.35">
      <c r="A94" s="3" t="s">
        <v>0</v>
      </c>
      <c r="B94" s="3" t="s">
        <v>1</v>
      </c>
      <c r="C94" s="3" t="s">
        <v>2</v>
      </c>
      <c r="D94" s="3" t="s">
        <v>3</v>
      </c>
      <c r="E94" s="3" t="s">
        <v>4</v>
      </c>
      <c r="F94" s="3" t="s">
        <v>5</v>
      </c>
      <c r="G94" s="3" t="s">
        <v>6</v>
      </c>
      <c r="H94" s="3" t="s">
        <v>0</v>
      </c>
      <c r="I94" s="3" t="s">
        <v>70</v>
      </c>
      <c r="J94" s="3" t="s">
        <v>71</v>
      </c>
      <c r="K94" s="3" t="s">
        <v>72</v>
      </c>
      <c r="L94" s="4" t="s">
        <v>7</v>
      </c>
      <c r="M94" s="3" t="s">
        <v>64</v>
      </c>
      <c r="N94" s="3" t="s">
        <v>66</v>
      </c>
      <c r="O94" s="3" t="s">
        <v>67</v>
      </c>
      <c r="Q94" s="3" t="s">
        <v>68</v>
      </c>
      <c r="R94" s="2">
        <f>AVERAGE(O95:O134)</f>
        <v>11.535572332152995</v>
      </c>
    </row>
    <row r="95" spans="1:18" x14ac:dyDescent="0.35">
      <c r="A95">
        <v>1</v>
      </c>
      <c r="B95">
        <v>2012</v>
      </c>
      <c r="C95">
        <v>1</v>
      </c>
      <c r="D95" t="s">
        <v>8</v>
      </c>
      <c r="E95" t="s">
        <v>9</v>
      </c>
      <c r="F95" t="s">
        <v>16</v>
      </c>
      <c r="G95" t="s">
        <v>30</v>
      </c>
      <c r="H95">
        <v>1</v>
      </c>
      <c r="I95">
        <v>1</v>
      </c>
      <c r="J95">
        <v>0</v>
      </c>
      <c r="K95">
        <v>0</v>
      </c>
      <c r="L95" s="2">
        <v>94.642857142857139</v>
      </c>
      <c r="M95" s="2">
        <f>$I$141+$I$142*H95+$I$143*I95+$I$144*J95+$I$145*K95</f>
        <v>95.153125276703832</v>
      </c>
      <c r="N95" s="2">
        <f>L95-M95</f>
        <v>-0.51026813384669367</v>
      </c>
      <c r="O95" s="2">
        <f>N95*N95</f>
        <v>0.2603735684193873</v>
      </c>
    </row>
    <row r="96" spans="1:18" x14ac:dyDescent="0.35">
      <c r="A96">
        <v>2</v>
      </c>
      <c r="B96">
        <v>2012</v>
      </c>
      <c r="C96">
        <v>2</v>
      </c>
      <c r="D96" t="s">
        <v>8</v>
      </c>
      <c r="E96" t="s">
        <v>9</v>
      </c>
      <c r="F96" t="s">
        <v>16</v>
      </c>
      <c r="G96" t="s">
        <v>30</v>
      </c>
      <c r="H96">
        <v>2</v>
      </c>
      <c r="I96">
        <v>0</v>
      </c>
      <c r="J96">
        <v>1</v>
      </c>
      <c r="K96">
        <v>0</v>
      </c>
      <c r="L96" s="2">
        <v>92.025518341307816</v>
      </c>
      <c r="M96" s="2">
        <f t="shared" ref="M96:M138" si="3">$I$141+$I$142*H96+$I$143*I96+$I$144*J96+$I$145*K96</f>
        <v>94.333187686507387</v>
      </c>
      <c r="N96" s="2">
        <f t="shared" ref="N96:N134" si="4">L96-M96</f>
        <v>-2.3076693451995709</v>
      </c>
      <c r="O96" s="2">
        <f t="shared" ref="O96:O134" si="5">N96*N96</f>
        <v>5.325337806773816</v>
      </c>
    </row>
    <row r="97" spans="1:15" x14ac:dyDescent="0.35">
      <c r="A97">
        <v>3</v>
      </c>
      <c r="B97">
        <v>2012</v>
      </c>
      <c r="C97">
        <v>3</v>
      </c>
      <c r="D97" t="s">
        <v>8</v>
      </c>
      <c r="E97" t="s">
        <v>9</v>
      </c>
      <c r="F97" t="s">
        <v>16</v>
      </c>
      <c r="G97" t="s">
        <v>30</v>
      </c>
      <c r="H97">
        <v>3</v>
      </c>
      <c r="I97">
        <v>0</v>
      </c>
      <c r="J97">
        <v>0</v>
      </c>
      <c r="K97">
        <v>1</v>
      </c>
      <c r="L97" s="2">
        <v>90.085470085470092</v>
      </c>
      <c r="M97" s="2">
        <f t="shared" si="3"/>
        <v>94.551469140592928</v>
      </c>
      <c r="N97" s="2">
        <f t="shared" si="4"/>
        <v>-4.4659990551228361</v>
      </c>
      <c r="O97" s="2">
        <f t="shared" si="5"/>
        <v>19.945147560358066</v>
      </c>
    </row>
    <row r="98" spans="1:15" x14ac:dyDescent="0.35">
      <c r="A98">
        <v>4</v>
      </c>
      <c r="B98">
        <v>2012</v>
      </c>
      <c r="C98">
        <v>4</v>
      </c>
      <c r="D98" t="s">
        <v>8</v>
      </c>
      <c r="E98" t="s">
        <v>9</v>
      </c>
      <c r="F98" t="s">
        <v>16</v>
      </c>
      <c r="G98" t="s">
        <v>30</v>
      </c>
      <c r="H98">
        <v>4</v>
      </c>
      <c r="I98">
        <v>0</v>
      </c>
      <c r="J98">
        <v>0</v>
      </c>
      <c r="K98">
        <v>0</v>
      </c>
      <c r="L98" s="2">
        <v>95.595432300163125</v>
      </c>
      <c r="M98" s="2">
        <f t="shared" si="3"/>
        <v>94.981407027501376</v>
      </c>
      <c r="N98" s="2">
        <f t="shared" si="4"/>
        <v>0.614025272661749</v>
      </c>
      <c r="O98" s="2">
        <f t="shared" si="5"/>
        <v>0.37702703546733518</v>
      </c>
    </row>
    <row r="99" spans="1:15" x14ac:dyDescent="0.35">
      <c r="A99">
        <v>5</v>
      </c>
      <c r="B99">
        <v>2013</v>
      </c>
      <c r="C99">
        <v>1</v>
      </c>
      <c r="D99" t="s">
        <v>8</v>
      </c>
      <c r="E99" t="s">
        <v>9</v>
      </c>
      <c r="F99" t="s">
        <v>16</v>
      </c>
      <c r="G99" t="s">
        <v>30</v>
      </c>
      <c r="H99">
        <v>5</v>
      </c>
      <c r="I99">
        <v>1</v>
      </c>
      <c r="J99">
        <v>0</v>
      </c>
      <c r="K99">
        <v>0</v>
      </c>
      <c r="L99" s="2">
        <v>94.708029197080293</v>
      </c>
      <c r="M99" s="2">
        <f t="shared" si="3"/>
        <v>93.523723929097798</v>
      </c>
      <c r="N99" s="2">
        <f t="shared" si="4"/>
        <v>1.184305267982495</v>
      </c>
      <c r="O99" s="2">
        <f t="shared" si="5"/>
        <v>1.4025789677710894</v>
      </c>
    </row>
    <row r="100" spans="1:15" x14ac:dyDescent="0.35">
      <c r="A100">
        <v>6</v>
      </c>
      <c r="B100">
        <v>2013</v>
      </c>
      <c r="C100">
        <v>2</v>
      </c>
      <c r="D100" t="s">
        <v>8</v>
      </c>
      <c r="E100" t="s">
        <v>9</v>
      </c>
      <c r="F100" t="s">
        <v>16</v>
      </c>
      <c r="G100" t="s">
        <v>30</v>
      </c>
      <c r="H100">
        <v>6</v>
      </c>
      <c r="I100">
        <v>0</v>
      </c>
      <c r="J100">
        <v>1</v>
      </c>
      <c r="K100">
        <v>0</v>
      </c>
      <c r="L100" s="2">
        <v>94.21641791044776</v>
      </c>
      <c r="M100" s="2">
        <f t="shared" si="3"/>
        <v>92.703786338901352</v>
      </c>
      <c r="N100" s="2">
        <f t="shared" si="4"/>
        <v>1.5126315715464074</v>
      </c>
      <c r="O100" s="2">
        <f t="shared" si="5"/>
        <v>2.2880542712389542</v>
      </c>
    </row>
    <row r="101" spans="1:15" x14ac:dyDescent="0.35">
      <c r="A101">
        <v>7</v>
      </c>
      <c r="B101">
        <v>2013</v>
      </c>
      <c r="C101">
        <v>3</v>
      </c>
      <c r="D101" t="s">
        <v>8</v>
      </c>
      <c r="E101" t="s">
        <v>9</v>
      </c>
      <c r="F101" t="s">
        <v>16</v>
      </c>
      <c r="G101" t="s">
        <v>30</v>
      </c>
      <c r="H101">
        <v>7</v>
      </c>
      <c r="I101">
        <v>0</v>
      </c>
      <c r="J101">
        <v>0</v>
      </c>
      <c r="K101">
        <v>1</v>
      </c>
      <c r="L101" s="2">
        <v>95.585738539898131</v>
      </c>
      <c r="M101" s="2">
        <f t="shared" si="3"/>
        <v>92.922067792986894</v>
      </c>
      <c r="N101" s="2">
        <f t="shared" si="4"/>
        <v>2.6636707469112366</v>
      </c>
      <c r="O101" s="2">
        <f t="shared" si="5"/>
        <v>7.0951418479506652</v>
      </c>
    </row>
    <row r="102" spans="1:15" x14ac:dyDescent="0.35">
      <c r="A102">
        <v>8</v>
      </c>
      <c r="B102">
        <v>2013</v>
      </c>
      <c r="C102">
        <v>4</v>
      </c>
      <c r="D102" t="s">
        <v>8</v>
      </c>
      <c r="E102" t="s">
        <v>9</v>
      </c>
      <c r="F102" t="s">
        <v>16</v>
      </c>
      <c r="G102" t="s">
        <v>30</v>
      </c>
      <c r="H102">
        <v>8</v>
      </c>
      <c r="I102">
        <v>0</v>
      </c>
      <c r="J102">
        <v>0</v>
      </c>
      <c r="K102">
        <v>0</v>
      </c>
      <c r="L102" s="2">
        <v>94.38943894389439</v>
      </c>
      <c r="M102" s="2">
        <f t="shared" si="3"/>
        <v>93.352005679895342</v>
      </c>
      <c r="N102" s="2">
        <f t="shared" si="4"/>
        <v>1.0374332639990484</v>
      </c>
      <c r="O102" s="2">
        <f t="shared" si="5"/>
        <v>1.0762677772517193</v>
      </c>
    </row>
    <row r="103" spans="1:15" x14ac:dyDescent="0.35">
      <c r="A103">
        <v>9</v>
      </c>
      <c r="B103">
        <v>2014</v>
      </c>
      <c r="C103">
        <v>1</v>
      </c>
      <c r="D103" t="s">
        <v>8</v>
      </c>
      <c r="E103" t="s">
        <v>9</v>
      </c>
      <c r="F103" t="s">
        <v>16</v>
      </c>
      <c r="G103" t="s">
        <v>30</v>
      </c>
      <c r="H103">
        <v>9</v>
      </c>
      <c r="I103">
        <v>1</v>
      </c>
      <c r="J103">
        <v>0</v>
      </c>
      <c r="K103">
        <v>0</v>
      </c>
      <c r="L103" s="2">
        <v>90.733590733590731</v>
      </c>
      <c r="M103" s="2">
        <f t="shared" si="3"/>
        <v>91.894322581491764</v>
      </c>
      <c r="N103" s="2">
        <f t="shared" si="4"/>
        <v>-1.1607318479010331</v>
      </c>
      <c r="O103" s="2">
        <f t="shared" si="5"/>
        <v>1.347298422731747</v>
      </c>
    </row>
    <row r="104" spans="1:15" x14ac:dyDescent="0.35">
      <c r="A104">
        <v>10</v>
      </c>
      <c r="B104">
        <v>2014</v>
      </c>
      <c r="C104">
        <v>2</v>
      </c>
      <c r="D104" t="s">
        <v>8</v>
      </c>
      <c r="E104" t="s">
        <v>9</v>
      </c>
      <c r="F104" t="s">
        <v>16</v>
      </c>
      <c r="G104" t="s">
        <v>30</v>
      </c>
      <c r="H104">
        <v>10</v>
      </c>
      <c r="I104">
        <v>0</v>
      </c>
      <c r="J104">
        <v>1</v>
      </c>
      <c r="K104">
        <v>0</v>
      </c>
      <c r="L104" s="2">
        <v>92.266187050359719</v>
      </c>
      <c r="M104" s="2">
        <f t="shared" si="3"/>
        <v>91.074384991295318</v>
      </c>
      <c r="N104" s="2">
        <f t="shared" si="4"/>
        <v>1.1918020590644005</v>
      </c>
      <c r="O104" s="2">
        <f t="shared" si="5"/>
        <v>1.4203921479901449</v>
      </c>
    </row>
    <row r="105" spans="1:15" x14ac:dyDescent="0.35">
      <c r="A105">
        <v>11</v>
      </c>
      <c r="B105">
        <v>2014</v>
      </c>
      <c r="C105">
        <v>3</v>
      </c>
      <c r="D105" t="s">
        <v>8</v>
      </c>
      <c r="E105" t="s">
        <v>9</v>
      </c>
      <c r="F105" t="s">
        <v>16</v>
      </c>
      <c r="G105" t="s">
        <v>30</v>
      </c>
      <c r="H105">
        <v>11</v>
      </c>
      <c r="I105">
        <v>0</v>
      </c>
      <c r="J105">
        <v>0</v>
      </c>
      <c r="K105">
        <v>1</v>
      </c>
      <c r="L105" s="2">
        <v>94.026974951830439</v>
      </c>
      <c r="M105" s="2">
        <f t="shared" si="3"/>
        <v>91.29266644538086</v>
      </c>
      <c r="N105" s="2">
        <f t="shared" si="4"/>
        <v>2.7343085064495796</v>
      </c>
      <c r="O105" s="2">
        <f t="shared" si="5"/>
        <v>7.4764430084425308</v>
      </c>
    </row>
    <row r="106" spans="1:15" x14ac:dyDescent="0.35">
      <c r="A106">
        <v>12</v>
      </c>
      <c r="B106">
        <v>2014</v>
      </c>
      <c r="C106">
        <v>4</v>
      </c>
      <c r="D106" t="s">
        <v>8</v>
      </c>
      <c r="E106" t="s">
        <v>9</v>
      </c>
      <c r="F106" t="s">
        <v>16</v>
      </c>
      <c r="G106" t="s">
        <v>30</v>
      </c>
      <c r="H106">
        <v>12</v>
      </c>
      <c r="I106">
        <v>0</v>
      </c>
      <c r="J106">
        <v>0</v>
      </c>
      <c r="K106">
        <v>0</v>
      </c>
      <c r="L106" s="2">
        <v>93.849206349206355</v>
      </c>
      <c r="M106" s="2">
        <f t="shared" si="3"/>
        <v>91.722604332289308</v>
      </c>
      <c r="N106" s="2">
        <f t="shared" si="4"/>
        <v>2.1266020169170474</v>
      </c>
      <c r="O106" s="2">
        <f t="shared" si="5"/>
        <v>4.5224361383556539</v>
      </c>
    </row>
    <row r="107" spans="1:15" x14ac:dyDescent="0.35">
      <c r="A107">
        <v>13</v>
      </c>
      <c r="B107">
        <v>2015</v>
      </c>
      <c r="C107">
        <v>1</v>
      </c>
      <c r="D107" t="s">
        <v>8</v>
      </c>
      <c r="E107" t="s">
        <v>9</v>
      </c>
      <c r="F107" t="s">
        <v>16</v>
      </c>
      <c r="G107" t="s">
        <v>30</v>
      </c>
      <c r="H107">
        <v>13</v>
      </c>
      <c r="I107">
        <v>1</v>
      </c>
      <c r="J107">
        <v>0</v>
      </c>
      <c r="K107">
        <v>0</v>
      </c>
      <c r="L107" s="2">
        <v>92.427184466019412</v>
      </c>
      <c r="M107" s="2">
        <f t="shared" si="3"/>
        <v>90.26492123388573</v>
      </c>
      <c r="N107" s="2">
        <f t="shared" si="4"/>
        <v>2.1622632321336823</v>
      </c>
      <c r="O107" s="2">
        <f t="shared" si="5"/>
        <v>4.6753822850371982</v>
      </c>
    </row>
    <row r="108" spans="1:15" x14ac:dyDescent="0.35">
      <c r="A108">
        <v>14</v>
      </c>
      <c r="B108">
        <v>2015</v>
      </c>
      <c r="C108">
        <v>2</v>
      </c>
      <c r="D108" t="s">
        <v>8</v>
      </c>
      <c r="E108" t="s">
        <v>9</v>
      </c>
      <c r="F108" t="s">
        <v>16</v>
      </c>
      <c r="G108" t="s">
        <v>30</v>
      </c>
      <c r="H108">
        <v>14</v>
      </c>
      <c r="I108">
        <v>0</v>
      </c>
      <c r="J108">
        <v>1</v>
      </c>
      <c r="K108">
        <v>0</v>
      </c>
      <c r="L108" s="2">
        <v>92.222222222222229</v>
      </c>
      <c r="M108" s="2">
        <f t="shared" si="3"/>
        <v>89.444983643689284</v>
      </c>
      <c r="N108" s="2">
        <f t="shared" si="4"/>
        <v>2.7772385785329448</v>
      </c>
      <c r="O108" s="2">
        <f t="shared" si="5"/>
        <v>7.7130541220916919</v>
      </c>
    </row>
    <row r="109" spans="1:15" x14ac:dyDescent="0.35">
      <c r="A109">
        <v>15</v>
      </c>
      <c r="B109">
        <v>2015</v>
      </c>
      <c r="C109">
        <v>3</v>
      </c>
      <c r="D109" t="s">
        <v>8</v>
      </c>
      <c r="E109" t="s">
        <v>9</v>
      </c>
      <c r="F109" t="s">
        <v>16</v>
      </c>
      <c r="G109" t="s">
        <v>30</v>
      </c>
      <c r="H109">
        <v>15</v>
      </c>
      <c r="I109">
        <v>0</v>
      </c>
      <c r="J109">
        <v>0</v>
      </c>
      <c r="K109">
        <v>1</v>
      </c>
      <c r="L109" s="2">
        <v>92.723880597014926</v>
      </c>
      <c r="M109" s="2">
        <f t="shared" si="3"/>
        <v>89.663265097774826</v>
      </c>
      <c r="N109" s="2">
        <f t="shared" si="4"/>
        <v>3.0606154992401002</v>
      </c>
      <c r="O109" s="2">
        <f t="shared" si="5"/>
        <v>9.3673672341887286</v>
      </c>
    </row>
    <row r="110" spans="1:15" x14ac:dyDescent="0.35">
      <c r="A110">
        <v>16</v>
      </c>
      <c r="B110">
        <v>2015</v>
      </c>
      <c r="C110">
        <v>4</v>
      </c>
      <c r="D110" t="s">
        <v>8</v>
      </c>
      <c r="E110" t="s">
        <v>9</v>
      </c>
      <c r="F110" t="s">
        <v>16</v>
      </c>
      <c r="G110" t="s">
        <v>30</v>
      </c>
      <c r="H110">
        <v>16</v>
      </c>
      <c r="I110">
        <v>0</v>
      </c>
      <c r="J110">
        <v>0</v>
      </c>
      <c r="K110">
        <v>0</v>
      </c>
      <c r="L110" s="2">
        <v>91.064638783269956</v>
      </c>
      <c r="M110" s="2">
        <f t="shared" si="3"/>
        <v>90.093202984683273</v>
      </c>
      <c r="N110" s="2">
        <f t="shared" si="4"/>
        <v>0.97143579858668261</v>
      </c>
      <c r="O110" s="2">
        <f t="shared" si="5"/>
        <v>0.94368751077574575</v>
      </c>
    </row>
    <row r="111" spans="1:15" x14ac:dyDescent="0.35">
      <c r="A111">
        <v>17</v>
      </c>
      <c r="B111">
        <v>2016</v>
      </c>
      <c r="C111">
        <v>1</v>
      </c>
      <c r="D111" t="s">
        <v>8</v>
      </c>
      <c r="E111" t="s">
        <v>9</v>
      </c>
      <c r="F111" t="s">
        <v>16</v>
      </c>
      <c r="G111" t="s">
        <v>30</v>
      </c>
      <c r="H111">
        <v>17</v>
      </c>
      <c r="I111">
        <v>1</v>
      </c>
      <c r="J111">
        <v>0</v>
      </c>
      <c r="K111">
        <v>0</v>
      </c>
      <c r="L111" s="2">
        <v>90.427698574338095</v>
      </c>
      <c r="M111" s="2">
        <f t="shared" si="3"/>
        <v>88.635519886279695</v>
      </c>
      <c r="N111" s="2">
        <f t="shared" si="4"/>
        <v>1.7921786880583994</v>
      </c>
      <c r="O111" s="2">
        <f t="shared" si="5"/>
        <v>3.2119044499307257</v>
      </c>
    </row>
    <row r="112" spans="1:15" x14ac:dyDescent="0.35">
      <c r="A112">
        <v>18</v>
      </c>
      <c r="B112">
        <v>2016</v>
      </c>
      <c r="C112">
        <v>2</v>
      </c>
      <c r="D112" t="s">
        <v>8</v>
      </c>
      <c r="E112" t="s">
        <v>9</v>
      </c>
      <c r="F112" t="s">
        <v>16</v>
      </c>
      <c r="G112" t="s">
        <v>30</v>
      </c>
      <c r="H112">
        <v>18</v>
      </c>
      <c r="I112">
        <v>0</v>
      </c>
      <c r="J112">
        <v>1</v>
      </c>
      <c r="K112">
        <v>0</v>
      </c>
      <c r="L112" s="2">
        <v>91.452991452991455</v>
      </c>
      <c r="M112" s="2">
        <f t="shared" si="3"/>
        <v>87.81558229608325</v>
      </c>
      <c r="N112" s="2">
        <f t="shared" si="4"/>
        <v>3.6374091569082054</v>
      </c>
      <c r="O112" s="2">
        <f t="shared" si="5"/>
        <v>13.230745374759662</v>
      </c>
    </row>
    <row r="113" spans="1:15" x14ac:dyDescent="0.35">
      <c r="A113">
        <v>19</v>
      </c>
      <c r="B113">
        <v>2016</v>
      </c>
      <c r="C113">
        <v>3</v>
      </c>
      <c r="D113" t="s">
        <v>8</v>
      </c>
      <c r="E113" t="s">
        <v>9</v>
      </c>
      <c r="F113" t="s">
        <v>16</v>
      </c>
      <c r="G113" t="s">
        <v>30</v>
      </c>
      <c r="H113">
        <v>19</v>
      </c>
      <c r="I113">
        <v>0</v>
      </c>
      <c r="J113">
        <v>0</v>
      </c>
      <c r="K113">
        <v>1</v>
      </c>
      <c r="L113" s="2">
        <v>87.449392712550605</v>
      </c>
      <c r="M113" s="2">
        <f t="shared" si="3"/>
        <v>88.033863750168791</v>
      </c>
      <c r="N113" s="2">
        <f t="shared" si="4"/>
        <v>-0.58447103761818653</v>
      </c>
      <c r="O113" s="2">
        <f t="shared" si="5"/>
        <v>0.3416063938144796</v>
      </c>
    </row>
    <row r="114" spans="1:15" x14ac:dyDescent="0.35">
      <c r="A114">
        <v>20</v>
      </c>
      <c r="B114">
        <v>2016</v>
      </c>
      <c r="C114">
        <v>4</v>
      </c>
      <c r="D114" t="s">
        <v>8</v>
      </c>
      <c r="E114" t="s">
        <v>9</v>
      </c>
      <c r="F114" t="s">
        <v>16</v>
      </c>
      <c r="G114" t="s">
        <v>30</v>
      </c>
      <c r="H114">
        <v>20</v>
      </c>
      <c r="I114">
        <v>0</v>
      </c>
      <c r="J114">
        <v>0</v>
      </c>
      <c r="K114">
        <v>0</v>
      </c>
      <c r="L114" s="2">
        <v>82.592592592592595</v>
      </c>
      <c r="M114" s="2">
        <f t="shared" si="3"/>
        <v>88.463801637077239</v>
      </c>
      <c r="N114" s="2">
        <f t="shared" si="4"/>
        <v>-5.8712090444846439</v>
      </c>
      <c r="O114" s="2">
        <f t="shared" si="5"/>
        <v>34.471095644038286</v>
      </c>
    </row>
    <row r="115" spans="1:15" x14ac:dyDescent="0.35">
      <c r="A115">
        <v>21</v>
      </c>
      <c r="B115">
        <v>2017</v>
      </c>
      <c r="C115">
        <v>1</v>
      </c>
      <c r="D115" t="s">
        <v>8</v>
      </c>
      <c r="E115" t="s">
        <v>9</v>
      </c>
      <c r="F115" t="s">
        <v>16</v>
      </c>
      <c r="G115" t="s">
        <v>30</v>
      </c>
      <c r="H115">
        <v>21</v>
      </c>
      <c r="I115">
        <v>1</v>
      </c>
      <c r="J115">
        <v>0</v>
      </c>
      <c r="K115">
        <v>0</v>
      </c>
      <c r="L115" s="2">
        <v>87.620889748549331</v>
      </c>
      <c r="M115" s="2">
        <f t="shared" si="3"/>
        <v>87.006118538673661</v>
      </c>
      <c r="N115" s="2">
        <f t="shared" si="4"/>
        <v>0.61477120987566991</v>
      </c>
      <c r="O115" s="2">
        <f t="shared" si="5"/>
        <v>0.37794364049199497</v>
      </c>
    </row>
    <row r="116" spans="1:15" x14ac:dyDescent="0.35">
      <c r="A116">
        <v>22</v>
      </c>
      <c r="B116">
        <v>2017</v>
      </c>
      <c r="C116">
        <v>2</v>
      </c>
      <c r="D116" t="s">
        <v>8</v>
      </c>
      <c r="E116" t="s">
        <v>9</v>
      </c>
      <c r="F116" t="s">
        <v>16</v>
      </c>
      <c r="G116" t="s">
        <v>30</v>
      </c>
      <c r="H116">
        <v>22</v>
      </c>
      <c r="I116">
        <v>0</v>
      </c>
      <c r="J116">
        <v>1</v>
      </c>
      <c r="K116">
        <v>0</v>
      </c>
      <c r="L116" s="2">
        <v>85.621970920840056</v>
      </c>
      <c r="M116" s="2">
        <f t="shared" si="3"/>
        <v>86.186180948477215</v>
      </c>
      <c r="N116" s="2">
        <f t="shared" si="4"/>
        <v>-0.56421002763715933</v>
      </c>
      <c r="O116" s="2">
        <f t="shared" si="5"/>
        <v>0.3183329552863241</v>
      </c>
    </row>
    <row r="117" spans="1:15" x14ac:dyDescent="0.35">
      <c r="A117">
        <v>23</v>
      </c>
      <c r="B117">
        <v>2017</v>
      </c>
      <c r="C117">
        <v>3</v>
      </c>
      <c r="D117" t="s">
        <v>8</v>
      </c>
      <c r="E117" t="s">
        <v>9</v>
      </c>
      <c r="F117" t="s">
        <v>16</v>
      </c>
      <c r="G117" t="s">
        <v>30</v>
      </c>
      <c r="H117">
        <v>23</v>
      </c>
      <c r="I117">
        <v>0</v>
      </c>
      <c r="J117">
        <v>0</v>
      </c>
      <c r="K117">
        <v>1</v>
      </c>
      <c r="L117" s="2">
        <v>86.542056074766364</v>
      </c>
      <c r="M117" s="2">
        <f t="shared" si="3"/>
        <v>86.404462402562757</v>
      </c>
      <c r="N117" s="2">
        <f t="shared" si="4"/>
        <v>0.1375936722036073</v>
      </c>
      <c r="O117" s="2">
        <f t="shared" si="5"/>
        <v>1.8932018630473734E-2</v>
      </c>
    </row>
    <row r="118" spans="1:15" x14ac:dyDescent="0.35">
      <c r="A118">
        <v>24</v>
      </c>
      <c r="B118">
        <v>2017</v>
      </c>
      <c r="C118">
        <v>4</v>
      </c>
      <c r="D118" t="s">
        <v>8</v>
      </c>
      <c r="E118" t="s">
        <v>9</v>
      </c>
      <c r="F118" t="s">
        <v>16</v>
      </c>
      <c r="G118" t="s">
        <v>30</v>
      </c>
      <c r="H118">
        <v>24</v>
      </c>
      <c r="I118">
        <v>0</v>
      </c>
      <c r="J118">
        <v>0</v>
      </c>
      <c r="K118">
        <v>0</v>
      </c>
      <c r="L118" s="2">
        <v>89.303904923599319</v>
      </c>
      <c r="M118" s="2">
        <f t="shared" si="3"/>
        <v>86.834400289471205</v>
      </c>
      <c r="N118" s="2">
        <f t="shared" si="4"/>
        <v>2.4695046341281142</v>
      </c>
      <c r="O118" s="2">
        <f t="shared" si="5"/>
        <v>6.0984531379802309</v>
      </c>
    </row>
    <row r="119" spans="1:15" x14ac:dyDescent="0.35">
      <c r="A119">
        <v>25</v>
      </c>
      <c r="B119">
        <v>2018</v>
      </c>
      <c r="C119">
        <v>1</v>
      </c>
      <c r="D119" t="s">
        <v>8</v>
      </c>
      <c r="E119" t="s">
        <v>9</v>
      </c>
      <c r="F119" t="s">
        <v>16</v>
      </c>
      <c r="G119" t="s">
        <v>30</v>
      </c>
      <c r="H119">
        <v>25</v>
      </c>
      <c r="I119">
        <v>1</v>
      </c>
      <c r="J119">
        <v>0</v>
      </c>
      <c r="K119">
        <v>0</v>
      </c>
      <c r="L119" s="2">
        <v>85.027726432532347</v>
      </c>
      <c r="M119" s="2">
        <f t="shared" si="3"/>
        <v>85.376717191067627</v>
      </c>
      <c r="N119" s="2">
        <f t="shared" si="4"/>
        <v>-0.34899075853527961</v>
      </c>
      <c r="O119" s="2">
        <f t="shared" si="5"/>
        <v>0.12179454954302983</v>
      </c>
    </row>
    <row r="120" spans="1:15" x14ac:dyDescent="0.35">
      <c r="A120">
        <v>26</v>
      </c>
      <c r="B120">
        <v>2018</v>
      </c>
      <c r="C120">
        <v>2</v>
      </c>
      <c r="D120" t="s">
        <v>8</v>
      </c>
      <c r="E120" t="s">
        <v>9</v>
      </c>
      <c r="F120" t="s">
        <v>16</v>
      </c>
      <c r="G120" t="s">
        <v>30</v>
      </c>
      <c r="H120">
        <v>26</v>
      </c>
      <c r="I120">
        <v>0</v>
      </c>
      <c r="J120">
        <v>1</v>
      </c>
      <c r="K120">
        <v>0</v>
      </c>
      <c r="L120" s="2">
        <v>80.769230769230774</v>
      </c>
      <c r="M120" s="2">
        <f t="shared" si="3"/>
        <v>84.556779600871181</v>
      </c>
      <c r="N120" s="2">
        <f t="shared" si="4"/>
        <v>-3.7875488316404073</v>
      </c>
      <c r="O120" s="2">
        <f t="shared" si="5"/>
        <v>14.345526152060614</v>
      </c>
    </row>
    <row r="121" spans="1:15" x14ac:dyDescent="0.35">
      <c r="A121">
        <v>27</v>
      </c>
      <c r="B121">
        <v>2018</v>
      </c>
      <c r="C121">
        <v>3</v>
      </c>
      <c r="D121" t="s">
        <v>8</v>
      </c>
      <c r="E121" t="s">
        <v>9</v>
      </c>
      <c r="F121" t="s">
        <v>16</v>
      </c>
      <c r="G121" t="s">
        <v>30</v>
      </c>
      <c r="H121">
        <v>27</v>
      </c>
      <c r="I121">
        <v>0</v>
      </c>
      <c r="J121">
        <v>0</v>
      </c>
      <c r="K121">
        <v>1</v>
      </c>
      <c r="L121" s="2">
        <v>78.703703703703709</v>
      </c>
      <c r="M121" s="2">
        <f t="shared" si="3"/>
        <v>84.775061054956723</v>
      </c>
      <c r="N121" s="2">
        <f t="shared" si="4"/>
        <v>-6.0713573512530132</v>
      </c>
      <c r="O121" s="2">
        <f t="shared" si="5"/>
        <v>36.861380086614005</v>
      </c>
    </row>
    <row r="122" spans="1:15" x14ac:dyDescent="0.35">
      <c r="A122">
        <v>28</v>
      </c>
      <c r="B122">
        <v>2018</v>
      </c>
      <c r="C122">
        <v>4</v>
      </c>
      <c r="D122" t="s">
        <v>8</v>
      </c>
      <c r="E122" t="s">
        <v>9</v>
      </c>
      <c r="F122" t="s">
        <v>16</v>
      </c>
      <c r="G122" t="s">
        <v>30</v>
      </c>
      <c r="H122">
        <v>28</v>
      </c>
      <c r="I122">
        <v>0</v>
      </c>
      <c r="J122">
        <v>0</v>
      </c>
      <c r="K122">
        <v>0</v>
      </c>
      <c r="L122" s="2">
        <v>80.060422960725077</v>
      </c>
      <c r="M122" s="2">
        <f t="shared" si="3"/>
        <v>85.204998941865171</v>
      </c>
      <c r="N122" s="2">
        <f t="shared" si="4"/>
        <v>-5.1445759811400933</v>
      </c>
      <c r="O122" s="2">
        <f t="shared" si="5"/>
        <v>26.466662025723554</v>
      </c>
    </row>
    <row r="123" spans="1:15" x14ac:dyDescent="0.35">
      <c r="A123">
        <v>29</v>
      </c>
      <c r="B123">
        <v>2019</v>
      </c>
      <c r="C123">
        <v>1</v>
      </c>
      <c r="D123" t="s">
        <v>8</v>
      </c>
      <c r="E123" t="s">
        <v>9</v>
      </c>
      <c r="F123" t="s">
        <v>16</v>
      </c>
      <c r="G123" t="s">
        <v>30</v>
      </c>
      <c r="H123">
        <v>29</v>
      </c>
      <c r="I123">
        <v>1</v>
      </c>
      <c r="J123">
        <v>0</v>
      </c>
      <c r="K123">
        <v>0</v>
      </c>
      <c r="L123" s="2">
        <v>78.13559322033899</v>
      </c>
      <c r="M123" s="2">
        <f t="shared" si="3"/>
        <v>83.747315843461593</v>
      </c>
      <c r="N123" s="2">
        <f t="shared" si="4"/>
        <v>-5.6117226231226027</v>
      </c>
      <c r="O123" s="2">
        <f t="shared" si="5"/>
        <v>31.491430798866023</v>
      </c>
    </row>
    <row r="124" spans="1:15" x14ac:dyDescent="0.35">
      <c r="A124">
        <v>30</v>
      </c>
      <c r="B124">
        <v>2019</v>
      </c>
      <c r="C124">
        <v>2</v>
      </c>
      <c r="D124" t="s">
        <v>8</v>
      </c>
      <c r="E124" t="s">
        <v>9</v>
      </c>
      <c r="F124" t="s">
        <v>16</v>
      </c>
      <c r="G124" t="s">
        <v>30</v>
      </c>
      <c r="H124">
        <v>30</v>
      </c>
      <c r="I124">
        <v>0</v>
      </c>
      <c r="J124">
        <v>1</v>
      </c>
      <c r="K124">
        <v>0</v>
      </c>
      <c r="L124" s="2">
        <v>73.668188736681884</v>
      </c>
      <c r="M124" s="2">
        <f t="shared" si="3"/>
        <v>82.927378253265147</v>
      </c>
      <c r="N124" s="2">
        <f t="shared" si="4"/>
        <v>-9.2591895165832625</v>
      </c>
      <c r="O124" s="2">
        <f t="shared" si="5"/>
        <v>85.732590504005387</v>
      </c>
    </row>
    <row r="125" spans="1:15" x14ac:dyDescent="0.35">
      <c r="A125">
        <v>31</v>
      </c>
      <c r="B125">
        <v>2019</v>
      </c>
      <c r="C125">
        <v>3</v>
      </c>
      <c r="D125" t="s">
        <v>8</v>
      </c>
      <c r="E125" t="s">
        <v>9</v>
      </c>
      <c r="F125" t="s">
        <v>16</v>
      </c>
      <c r="G125" t="s">
        <v>30</v>
      </c>
      <c r="H125">
        <v>31</v>
      </c>
      <c r="I125">
        <v>0</v>
      </c>
      <c r="J125">
        <v>0</v>
      </c>
      <c r="K125">
        <v>1</v>
      </c>
      <c r="L125" s="2">
        <v>78.236130867709818</v>
      </c>
      <c r="M125" s="2">
        <f t="shared" si="3"/>
        <v>83.145659707350688</v>
      </c>
      <c r="N125" s="2">
        <f t="shared" si="4"/>
        <v>-4.9095288396408705</v>
      </c>
      <c r="O125" s="2">
        <f t="shared" si="5"/>
        <v>24.103473427265431</v>
      </c>
    </row>
    <row r="126" spans="1:15" x14ac:dyDescent="0.35">
      <c r="A126">
        <v>32</v>
      </c>
      <c r="B126">
        <v>2019</v>
      </c>
      <c r="C126">
        <v>4</v>
      </c>
      <c r="D126" t="s">
        <v>8</v>
      </c>
      <c r="E126" t="s">
        <v>9</v>
      </c>
      <c r="F126" t="s">
        <v>16</v>
      </c>
      <c r="G126" t="s">
        <v>30</v>
      </c>
      <c r="H126">
        <v>32</v>
      </c>
      <c r="I126">
        <v>0</v>
      </c>
      <c r="J126">
        <v>0</v>
      </c>
      <c r="K126">
        <v>0</v>
      </c>
      <c r="L126" s="2">
        <v>80.277349768875197</v>
      </c>
      <c r="M126" s="2">
        <f t="shared" si="3"/>
        <v>83.575597594259136</v>
      </c>
      <c r="N126" s="2">
        <f t="shared" si="4"/>
        <v>-3.2982478253839389</v>
      </c>
      <c r="O126" s="2">
        <f t="shared" si="5"/>
        <v>10.878438717649882</v>
      </c>
    </row>
    <row r="127" spans="1:15" x14ac:dyDescent="0.35">
      <c r="A127">
        <v>33</v>
      </c>
      <c r="B127">
        <v>2020</v>
      </c>
      <c r="C127">
        <v>1</v>
      </c>
      <c r="D127" t="s">
        <v>8</v>
      </c>
      <c r="E127" t="s">
        <v>9</v>
      </c>
      <c r="F127" t="s">
        <v>16</v>
      </c>
      <c r="G127" t="s">
        <v>30</v>
      </c>
      <c r="H127">
        <v>33</v>
      </c>
      <c r="I127">
        <v>1</v>
      </c>
      <c r="J127">
        <v>0</v>
      </c>
      <c r="K127">
        <v>0</v>
      </c>
      <c r="L127" s="2">
        <v>81.748466257668724</v>
      </c>
      <c r="M127" s="2">
        <f t="shared" si="3"/>
        <v>82.117914495855558</v>
      </c>
      <c r="N127" s="2">
        <f t="shared" si="4"/>
        <v>-0.36944823818683403</v>
      </c>
      <c r="O127" s="2">
        <f t="shared" si="5"/>
        <v>0.13649200069935566</v>
      </c>
    </row>
    <row r="128" spans="1:15" x14ac:dyDescent="0.35">
      <c r="A128">
        <v>34</v>
      </c>
      <c r="B128">
        <v>2020</v>
      </c>
      <c r="C128">
        <v>2</v>
      </c>
      <c r="D128" t="s">
        <v>8</v>
      </c>
      <c r="E128" t="s">
        <v>9</v>
      </c>
      <c r="F128" t="s">
        <v>16</v>
      </c>
      <c r="G128" t="s">
        <v>30</v>
      </c>
      <c r="H128">
        <v>34</v>
      </c>
      <c r="I128">
        <v>0</v>
      </c>
      <c r="J128">
        <v>1</v>
      </c>
      <c r="K128">
        <v>0</v>
      </c>
      <c r="L128" s="2">
        <v>82.417582417582409</v>
      </c>
      <c r="M128" s="2">
        <f t="shared" si="3"/>
        <v>81.297976905659112</v>
      </c>
      <c r="N128" s="2">
        <f t="shared" si="4"/>
        <v>1.1196055119232966</v>
      </c>
      <c r="O128" s="2">
        <f t="shared" si="5"/>
        <v>1.2535165023290271</v>
      </c>
    </row>
    <row r="129" spans="1:15" x14ac:dyDescent="0.35">
      <c r="A129">
        <v>35</v>
      </c>
      <c r="B129">
        <v>2020</v>
      </c>
      <c r="C129">
        <v>3</v>
      </c>
      <c r="D129" t="s">
        <v>8</v>
      </c>
      <c r="E129" t="s">
        <v>9</v>
      </c>
      <c r="F129" t="s">
        <v>16</v>
      </c>
      <c r="G129" t="s">
        <v>30</v>
      </c>
      <c r="H129">
        <v>35</v>
      </c>
      <c r="I129">
        <v>0</v>
      </c>
      <c r="J129">
        <v>0</v>
      </c>
      <c r="K129">
        <v>1</v>
      </c>
      <c r="L129" s="2">
        <v>83.712121212121218</v>
      </c>
      <c r="M129" s="2">
        <f t="shared" si="3"/>
        <v>81.516258359744654</v>
      </c>
      <c r="N129" s="2">
        <f t="shared" si="4"/>
        <v>2.195862852376564</v>
      </c>
      <c r="O129" s="2">
        <f t="shared" si="5"/>
        <v>4.8218136664473397</v>
      </c>
    </row>
    <row r="130" spans="1:15" x14ac:dyDescent="0.35">
      <c r="A130">
        <v>36</v>
      </c>
      <c r="B130">
        <v>2020</v>
      </c>
      <c r="C130">
        <v>4</v>
      </c>
      <c r="D130" t="s">
        <v>8</v>
      </c>
      <c r="E130" t="s">
        <v>9</v>
      </c>
      <c r="F130" t="s">
        <v>16</v>
      </c>
      <c r="G130" t="s">
        <v>30</v>
      </c>
      <c r="H130">
        <v>36</v>
      </c>
      <c r="I130">
        <v>0</v>
      </c>
      <c r="J130">
        <v>0</v>
      </c>
      <c r="K130">
        <v>0</v>
      </c>
      <c r="L130" s="2">
        <v>86.486486486486484</v>
      </c>
      <c r="M130" s="2">
        <f t="shared" si="3"/>
        <v>81.946196246653102</v>
      </c>
      <c r="N130" s="2">
        <f t="shared" si="4"/>
        <v>4.5402902398333822</v>
      </c>
      <c r="O130" s="2">
        <f t="shared" si="5"/>
        <v>20.61423546192627</v>
      </c>
    </row>
    <row r="131" spans="1:15" x14ac:dyDescent="0.35">
      <c r="A131">
        <v>37</v>
      </c>
      <c r="B131">
        <v>2021</v>
      </c>
      <c r="C131">
        <v>1</v>
      </c>
      <c r="D131" t="s">
        <v>8</v>
      </c>
      <c r="E131" t="s">
        <v>9</v>
      </c>
      <c r="F131" t="s">
        <v>16</v>
      </c>
      <c r="G131" t="s">
        <v>30</v>
      </c>
      <c r="H131">
        <v>37</v>
      </c>
      <c r="I131">
        <v>1</v>
      </c>
      <c r="J131">
        <v>0</v>
      </c>
      <c r="K131">
        <v>0</v>
      </c>
      <c r="L131" s="2">
        <v>82.736156351791536</v>
      </c>
      <c r="M131" s="2">
        <f t="shared" si="3"/>
        <v>80.488513148249524</v>
      </c>
      <c r="N131" s="2">
        <f t="shared" si="4"/>
        <v>2.2476432035420117</v>
      </c>
      <c r="O131" s="2">
        <f t="shared" si="5"/>
        <v>5.0518999704285976</v>
      </c>
    </row>
    <row r="132" spans="1:15" x14ac:dyDescent="0.35">
      <c r="A132">
        <v>38</v>
      </c>
      <c r="B132">
        <v>2021</v>
      </c>
      <c r="C132">
        <v>2</v>
      </c>
      <c r="D132" t="s">
        <v>8</v>
      </c>
      <c r="E132" t="s">
        <v>9</v>
      </c>
      <c r="F132" t="s">
        <v>16</v>
      </c>
      <c r="G132" t="s">
        <v>30</v>
      </c>
      <c r="H132">
        <v>38</v>
      </c>
      <c r="I132">
        <v>0</v>
      </c>
      <c r="J132">
        <v>1</v>
      </c>
      <c r="K132">
        <v>0</v>
      </c>
      <c r="L132" s="2">
        <v>85.348506401137982</v>
      </c>
      <c r="M132" s="2">
        <f t="shared" si="3"/>
        <v>79.668575558053078</v>
      </c>
      <c r="N132" s="2">
        <f t="shared" si="4"/>
        <v>5.6799308430849038</v>
      </c>
      <c r="O132" s="2">
        <f t="shared" si="5"/>
        <v>32.261614382227187</v>
      </c>
    </row>
    <row r="133" spans="1:15" x14ac:dyDescent="0.35">
      <c r="A133">
        <v>39</v>
      </c>
      <c r="B133">
        <v>2021</v>
      </c>
      <c r="C133">
        <v>3</v>
      </c>
      <c r="D133" t="s">
        <v>8</v>
      </c>
      <c r="E133" t="s">
        <v>9</v>
      </c>
      <c r="F133" t="s">
        <v>16</v>
      </c>
      <c r="G133" t="s">
        <v>30</v>
      </c>
      <c r="H133">
        <v>39</v>
      </c>
      <c r="I133">
        <v>0</v>
      </c>
      <c r="J133">
        <v>0</v>
      </c>
      <c r="K133">
        <v>1</v>
      </c>
      <c r="L133" s="2">
        <v>85.126162018592296</v>
      </c>
      <c r="M133" s="2">
        <f t="shared" si="3"/>
        <v>79.88685701213862</v>
      </c>
      <c r="N133" s="2">
        <f t="shared" si="4"/>
        <v>5.2393050064536766</v>
      </c>
      <c r="O133" s="2">
        <f t="shared" si="5"/>
        <v>27.45031695065056</v>
      </c>
    </row>
    <row r="134" spans="1:15" x14ac:dyDescent="0.35">
      <c r="A134">
        <v>40</v>
      </c>
      <c r="B134">
        <v>2021</v>
      </c>
      <c r="C134">
        <v>4</v>
      </c>
      <c r="D134" t="s">
        <v>8</v>
      </c>
      <c r="E134" t="s">
        <v>9</v>
      </c>
      <c r="F134" t="s">
        <v>16</v>
      </c>
      <c r="G134" t="s">
        <v>30</v>
      </c>
      <c r="H134">
        <v>40</v>
      </c>
      <c r="I134">
        <v>0</v>
      </c>
      <c r="J134">
        <v>0</v>
      </c>
      <c r="K134">
        <v>0</v>
      </c>
      <c r="L134" s="2">
        <v>82.871536523929464</v>
      </c>
      <c r="M134" s="2">
        <f t="shared" si="3"/>
        <v>80.316794899047068</v>
      </c>
      <c r="N134" s="2">
        <f t="shared" si="4"/>
        <v>2.5547416248823964</v>
      </c>
      <c r="O134" s="2">
        <f t="shared" si="5"/>
        <v>6.5267047699067469</v>
      </c>
    </row>
    <row r="135" spans="1:15" x14ac:dyDescent="0.35">
      <c r="H135">
        <v>41</v>
      </c>
      <c r="I135">
        <v>1</v>
      </c>
      <c r="J135">
        <v>0</v>
      </c>
      <c r="K135">
        <v>0</v>
      </c>
      <c r="L135" s="2"/>
      <c r="M135" s="2">
        <f t="shared" si="3"/>
        <v>78.85911180064349</v>
      </c>
      <c r="N135" s="2"/>
      <c r="O135" s="2"/>
    </row>
    <row r="136" spans="1:15" x14ac:dyDescent="0.35">
      <c r="H136">
        <v>42</v>
      </c>
      <c r="I136">
        <v>0</v>
      </c>
      <c r="J136">
        <v>1</v>
      </c>
      <c r="K136">
        <v>0</v>
      </c>
      <c r="L136" s="2"/>
      <c r="M136" s="2">
        <f t="shared" si="3"/>
        <v>78.039174210447044</v>
      </c>
      <c r="N136" s="2"/>
      <c r="O136" s="2"/>
    </row>
    <row r="137" spans="1:15" x14ac:dyDescent="0.35">
      <c r="H137">
        <v>43</v>
      </c>
      <c r="I137">
        <v>0</v>
      </c>
      <c r="J137">
        <v>0</v>
      </c>
      <c r="K137">
        <v>1</v>
      </c>
      <c r="L137" s="2"/>
      <c r="M137" s="2">
        <f t="shared" si="3"/>
        <v>78.257455664532586</v>
      </c>
      <c r="N137" s="2"/>
      <c r="O137" s="2"/>
    </row>
    <row r="138" spans="1:15" x14ac:dyDescent="0.35">
      <c r="H138">
        <v>44</v>
      </c>
      <c r="I138">
        <v>0</v>
      </c>
      <c r="J138">
        <v>0</v>
      </c>
      <c r="K138">
        <v>0</v>
      </c>
      <c r="L138" s="2"/>
      <c r="M138" s="2">
        <f t="shared" si="3"/>
        <v>78.687393551441033</v>
      </c>
      <c r="N138" s="2"/>
      <c r="O138" s="2"/>
    </row>
    <row r="139" spans="1:15" ht="15" thickBot="1" x14ac:dyDescent="0.4"/>
    <row r="140" spans="1:15" x14ac:dyDescent="0.35">
      <c r="H140" s="6"/>
      <c r="I140" s="6" t="s">
        <v>57</v>
      </c>
    </row>
    <row r="141" spans="1:15" x14ac:dyDescent="0.35">
      <c r="H141" t="s">
        <v>51</v>
      </c>
      <c r="I141">
        <v>96.61080837510741</v>
      </c>
    </row>
    <row r="142" spans="1:15" x14ac:dyDescent="0.35">
      <c r="H142" t="s">
        <v>0</v>
      </c>
      <c r="I142">
        <v>-0.40735033690150863</v>
      </c>
    </row>
    <row r="143" spans="1:15" x14ac:dyDescent="0.35">
      <c r="H143" t="s">
        <v>70</v>
      </c>
      <c r="I143">
        <v>-1.0503327615020623</v>
      </c>
    </row>
    <row r="144" spans="1:15" x14ac:dyDescent="0.35">
      <c r="H144" t="s">
        <v>71</v>
      </c>
      <c r="I144">
        <v>-1.4629200147970052</v>
      </c>
    </row>
    <row r="145" spans="1:16" ht="15" thickBot="1" x14ac:dyDescent="0.4">
      <c r="H145" s="5" t="s">
        <v>72</v>
      </c>
      <c r="I145" s="5">
        <v>-0.83728822380994605</v>
      </c>
    </row>
    <row r="148" spans="1:16" x14ac:dyDescent="0.35">
      <c r="A148" t="s">
        <v>73</v>
      </c>
      <c r="G148" t="s">
        <v>74</v>
      </c>
      <c r="H148">
        <v>0.8</v>
      </c>
    </row>
    <row r="149" spans="1:16" x14ac:dyDescent="0.3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4</v>
      </c>
      <c r="F149" s="3" t="s">
        <v>5</v>
      </c>
      <c r="G149" s="3" t="s">
        <v>6</v>
      </c>
      <c r="H149" s="4" t="s">
        <v>7</v>
      </c>
      <c r="I149" s="3" t="s">
        <v>64</v>
      </c>
      <c r="J149" s="3" t="s">
        <v>66</v>
      </c>
      <c r="K149" s="3" t="s">
        <v>67</v>
      </c>
      <c r="M149" s="3" t="s">
        <v>68</v>
      </c>
      <c r="N149" s="2">
        <f>AVERAGE(K151:K189)</f>
        <v>6.9117120317422636</v>
      </c>
    </row>
    <row r="150" spans="1:16" x14ac:dyDescent="0.35">
      <c r="A150">
        <v>1</v>
      </c>
      <c r="B150">
        <v>2012</v>
      </c>
      <c r="C150">
        <v>1</v>
      </c>
      <c r="D150" t="s">
        <v>8</v>
      </c>
      <c r="E150" t="s">
        <v>9</v>
      </c>
      <c r="F150" t="s">
        <v>16</v>
      </c>
      <c r="G150" t="s">
        <v>30</v>
      </c>
      <c r="H150" s="2">
        <v>94.642857142857139</v>
      </c>
      <c r="I150" s="2"/>
      <c r="J150" s="2"/>
      <c r="K150" s="2"/>
    </row>
    <row r="151" spans="1:16" x14ac:dyDescent="0.35">
      <c r="A151">
        <v>2</v>
      </c>
      <c r="B151">
        <v>2012</v>
      </c>
      <c r="C151">
        <v>2</v>
      </c>
      <c r="D151" t="s">
        <v>8</v>
      </c>
      <c r="E151" t="s">
        <v>9</v>
      </c>
      <c r="F151" t="s">
        <v>16</v>
      </c>
      <c r="G151" t="s">
        <v>30</v>
      </c>
      <c r="H151" s="2">
        <v>92.025518341307816</v>
      </c>
      <c r="I151" s="2">
        <f>H150</f>
        <v>94.642857142857139</v>
      </c>
      <c r="J151" s="2">
        <f t="shared" ref="J151:J189" si="6">H151-I151</f>
        <v>-2.6173388015493231</v>
      </c>
      <c r="K151" s="2">
        <f t="shared" ref="K151:K189" si="7">J151*J151</f>
        <v>6.8504624020956468</v>
      </c>
    </row>
    <row r="152" spans="1:16" x14ac:dyDescent="0.35">
      <c r="A152">
        <v>3</v>
      </c>
      <c r="B152">
        <v>2012</v>
      </c>
      <c r="C152">
        <v>3</v>
      </c>
      <c r="D152" t="s">
        <v>8</v>
      </c>
      <c r="E152" t="s">
        <v>9</v>
      </c>
      <c r="F152" t="s">
        <v>16</v>
      </c>
      <c r="G152" t="s">
        <v>30</v>
      </c>
      <c r="H152" s="2">
        <v>90.085470085470092</v>
      </c>
      <c r="I152" s="2">
        <f>$H$148*H151+(1-$H$148)*I151</f>
        <v>92.548986101617686</v>
      </c>
      <c r="J152" s="2">
        <f t="shared" si="6"/>
        <v>-2.4635160161475937</v>
      </c>
      <c r="K152" s="2">
        <f t="shared" si="7"/>
        <v>6.068911161815711</v>
      </c>
      <c r="N152" t="s">
        <v>75</v>
      </c>
      <c r="O152" t="s">
        <v>68</v>
      </c>
    </row>
    <row r="153" spans="1:16" x14ac:dyDescent="0.35">
      <c r="A153">
        <v>4</v>
      </c>
      <c r="B153">
        <v>2012</v>
      </c>
      <c r="C153">
        <v>4</v>
      </c>
      <c r="D153" t="s">
        <v>8</v>
      </c>
      <c r="E153" t="s">
        <v>9</v>
      </c>
      <c r="F153" t="s">
        <v>16</v>
      </c>
      <c r="G153" t="s">
        <v>30</v>
      </c>
      <c r="H153" s="2">
        <v>95.595432300163125</v>
      </c>
      <c r="I153" s="2">
        <f t="shared" ref="I153:I190" si="8">$H$148*H152+(1-$H$148)*I152</f>
        <v>90.578173288699617</v>
      </c>
      <c r="J153" s="2">
        <f t="shared" si="6"/>
        <v>5.0172590114635085</v>
      </c>
      <c r="K153" s="2">
        <f t="shared" si="7"/>
        <v>25.172887988111782</v>
      </c>
      <c r="N153">
        <v>0.2</v>
      </c>
      <c r="O153">
        <v>12.29</v>
      </c>
    </row>
    <row r="154" spans="1:16" x14ac:dyDescent="0.35">
      <c r="A154">
        <v>5</v>
      </c>
      <c r="B154">
        <v>2013</v>
      </c>
      <c r="C154">
        <v>1</v>
      </c>
      <c r="D154" t="s">
        <v>8</v>
      </c>
      <c r="E154" t="s">
        <v>9</v>
      </c>
      <c r="F154" t="s">
        <v>16</v>
      </c>
      <c r="G154" t="s">
        <v>30</v>
      </c>
      <c r="H154" s="2">
        <v>94.708029197080293</v>
      </c>
      <c r="I154" s="2">
        <f t="shared" si="8"/>
        <v>94.591980497870424</v>
      </c>
      <c r="J154" s="2">
        <f t="shared" si="6"/>
        <v>0.11604869920986971</v>
      </c>
      <c r="K154" s="2">
        <f t="shared" si="7"/>
        <v>1.3467300588302814E-2</v>
      </c>
      <c r="N154">
        <v>0.4</v>
      </c>
      <c r="O154">
        <v>8.24</v>
      </c>
    </row>
    <row r="155" spans="1:16" x14ac:dyDescent="0.35">
      <c r="A155">
        <v>6</v>
      </c>
      <c r="B155">
        <v>2013</v>
      </c>
      <c r="C155">
        <v>2</v>
      </c>
      <c r="D155" t="s">
        <v>8</v>
      </c>
      <c r="E155" t="s">
        <v>9</v>
      </c>
      <c r="F155" t="s">
        <v>16</v>
      </c>
      <c r="G155" t="s">
        <v>30</v>
      </c>
      <c r="H155" s="2">
        <v>94.21641791044776</v>
      </c>
      <c r="I155" s="2">
        <f t="shared" si="8"/>
        <v>94.684819457238319</v>
      </c>
      <c r="J155" s="2">
        <f t="shared" si="6"/>
        <v>-0.46840154679055956</v>
      </c>
      <c r="K155" s="2">
        <f t="shared" si="7"/>
        <v>0.21940000903578877</v>
      </c>
      <c r="N155">
        <v>0.6</v>
      </c>
      <c r="O155">
        <v>7.15</v>
      </c>
    </row>
    <row r="156" spans="1:16" x14ac:dyDescent="0.35">
      <c r="A156">
        <v>7</v>
      </c>
      <c r="B156">
        <v>2013</v>
      </c>
      <c r="C156">
        <v>3</v>
      </c>
      <c r="D156" t="s">
        <v>8</v>
      </c>
      <c r="E156" t="s">
        <v>9</v>
      </c>
      <c r="F156" t="s">
        <v>16</v>
      </c>
      <c r="G156" t="s">
        <v>30</v>
      </c>
      <c r="H156" s="2">
        <v>95.585738539898131</v>
      </c>
      <c r="I156" s="2">
        <f t="shared" si="8"/>
        <v>94.310098219805866</v>
      </c>
      <c r="J156" s="2">
        <f t="shared" si="6"/>
        <v>1.2756403200922648</v>
      </c>
      <c r="K156" s="2">
        <f t="shared" si="7"/>
        <v>1.6272582262450959</v>
      </c>
      <c r="N156">
        <v>0.8</v>
      </c>
      <c r="O156">
        <v>6.91</v>
      </c>
      <c r="P156" t="s">
        <v>76</v>
      </c>
    </row>
    <row r="157" spans="1:16" x14ac:dyDescent="0.35">
      <c r="A157">
        <v>8</v>
      </c>
      <c r="B157">
        <v>2013</v>
      </c>
      <c r="C157">
        <v>4</v>
      </c>
      <c r="D157" t="s">
        <v>8</v>
      </c>
      <c r="E157" t="s">
        <v>9</v>
      </c>
      <c r="F157" t="s">
        <v>16</v>
      </c>
      <c r="G157" t="s">
        <v>30</v>
      </c>
      <c r="H157" s="2">
        <v>94.38943894389439</v>
      </c>
      <c r="I157" s="2">
        <f t="shared" si="8"/>
        <v>95.330610475879666</v>
      </c>
      <c r="J157" s="2">
        <f t="shared" si="6"/>
        <v>-0.94117153198527603</v>
      </c>
      <c r="K157" s="2">
        <f t="shared" si="7"/>
        <v>0.88580385261951144</v>
      </c>
    </row>
    <row r="158" spans="1:16" x14ac:dyDescent="0.35">
      <c r="A158">
        <v>9</v>
      </c>
      <c r="B158">
        <v>2014</v>
      </c>
      <c r="C158">
        <v>1</v>
      </c>
      <c r="D158" t="s">
        <v>8</v>
      </c>
      <c r="E158" t="s">
        <v>9</v>
      </c>
      <c r="F158" t="s">
        <v>16</v>
      </c>
      <c r="G158" t="s">
        <v>30</v>
      </c>
      <c r="H158" s="2">
        <v>90.733590733590731</v>
      </c>
      <c r="I158" s="2">
        <f t="shared" si="8"/>
        <v>94.57767325029144</v>
      </c>
      <c r="J158" s="2">
        <f t="shared" si="6"/>
        <v>-3.8440825167007091</v>
      </c>
      <c r="K158" s="2">
        <f t="shared" si="7"/>
        <v>14.776970395204058</v>
      </c>
    </row>
    <row r="159" spans="1:16" x14ac:dyDescent="0.35">
      <c r="A159">
        <v>10</v>
      </c>
      <c r="B159">
        <v>2014</v>
      </c>
      <c r="C159">
        <v>2</v>
      </c>
      <c r="D159" t="s">
        <v>8</v>
      </c>
      <c r="E159" t="s">
        <v>9</v>
      </c>
      <c r="F159" t="s">
        <v>16</v>
      </c>
      <c r="G159" t="s">
        <v>30</v>
      </c>
      <c r="H159" s="2">
        <v>92.266187050359719</v>
      </c>
      <c r="I159" s="2">
        <f t="shared" si="8"/>
        <v>91.502407236930878</v>
      </c>
      <c r="J159" s="2">
        <f t="shared" si="6"/>
        <v>0.76377981342884027</v>
      </c>
      <c r="K159" s="2">
        <f t="shared" si="7"/>
        <v>0.58335960340139403</v>
      </c>
    </row>
    <row r="160" spans="1:16" x14ac:dyDescent="0.35">
      <c r="A160">
        <v>11</v>
      </c>
      <c r="B160">
        <v>2014</v>
      </c>
      <c r="C160">
        <v>3</v>
      </c>
      <c r="D160" t="s">
        <v>8</v>
      </c>
      <c r="E160" t="s">
        <v>9</v>
      </c>
      <c r="F160" t="s">
        <v>16</v>
      </c>
      <c r="G160" t="s">
        <v>30</v>
      </c>
      <c r="H160" s="2">
        <v>94.026974951830439</v>
      </c>
      <c r="I160" s="2">
        <f t="shared" si="8"/>
        <v>92.113431087673959</v>
      </c>
      <c r="J160" s="2">
        <f t="shared" si="6"/>
        <v>1.9135438641564804</v>
      </c>
      <c r="K160" s="2">
        <f t="shared" si="7"/>
        <v>3.6616501200509144</v>
      </c>
    </row>
    <row r="161" spans="1:11" x14ac:dyDescent="0.35">
      <c r="A161">
        <v>12</v>
      </c>
      <c r="B161">
        <v>2014</v>
      </c>
      <c r="C161">
        <v>4</v>
      </c>
      <c r="D161" t="s">
        <v>8</v>
      </c>
      <c r="E161" t="s">
        <v>9</v>
      </c>
      <c r="F161" t="s">
        <v>16</v>
      </c>
      <c r="G161" t="s">
        <v>30</v>
      </c>
      <c r="H161" s="2">
        <v>93.849206349206355</v>
      </c>
      <c r="I161" s="2">
        <f t="shared" si="8"/>
        <v>93.644266178999146</v>
      </c>
      <c r="J161" s="2">
        <f t="shared" si="6"/>
        <v>0.20494017020720889</v>
      </c>
      <c r="K161" s="2">
        <f t="shared" si="7"/>
        <v>4.2000473364559754E-2</v>
      </c>
    </row>
    <row r="162" spans="1:11" x14ac:dyDescent="0.35">
      <c r="A162">
        <v>13</v>
      </c>
      <c r="B162">
        <v>2015</v>
      </c>
      <c r="C162">
        <v>1</v>
      </c>
      <c r="D162" t="s">
        <v>8</v>
      </c>
      <c r="E162" t="s">
        <v>9</v>
      </c>
      <c r="F162" t="s">
        <v>16</v>
      </c>
      <c r="G162" t="s">
        <v>30</v>
      </c>
      <c r="H162" s="2">
        <v>92.427184466019412</v>
      </c>
      <c r="I162" s="2">
        <f t="shared" si="8"/>
        <v>93.808218315164908</v>
      </c>
      <c r="J162" s="2">
        <f t="shared" si="6"/>
        <v>-1.3810338491454957</v>
      </c>
      <c r="K162" s="2">
        <f t="shared" si="7"/>
        <v>1.9072544924856236</v>
      </c>
    </row>
    <row r="163" spans="1:11" x14ac:dyDescent="0.35">
      <c r="A163">
        <v>14</v>
      </c>
      <c r="B163">
        <v>2015</v>
      </c>
      <c r="C163">
        <v>2</v>
      </c>
      <c r="D163" t="s">
        <v>8</v>
      </c>
      <c r="E163" t="s">
        <v>9</v>
      </c>
      <c r="F163" t="s">
        <v>16</v>
      </c>
      <c r="G163" t="s">
        <v>30</v>
      </c>
      <c r="H163" s="2">
        <v>92.222222222222229</v>
      </c>
      <c r="I163" s="2">
        <f t="shared" si="8"/>
        <v>92.7033912358485</v>
      </c>
      <c r="J163" s="2">
        <f t="shared" si="6"/>
        <v>-0.48116901362627118</v>
      </c>
      <c r="K163" s="2">
        <f t="shared" si="7"/>
        <v>0.23152361967407875</v>
      </c>
    </row>
    <row r="164" spans="1:11" x14ac:dyDescent="0.35">
      <c r="A164">
        <v>15</v>
      </c>
      <c r="B164">
        <v>2015</v>
      </c>
      <c r="C164">
        <v>3</v>
      </c>
      <c r="D164" t="s">
        <v>8</v>
      </c>
      <c r="E164" t="s">
        <v>9</v>
      </c>
      <c r="F164" t="s">
        <v>16</v>
      </c>
      <c r="G164" t="s">
        <v>30</v>
      </c>
      <c r="H164" s="2">
        <v>92.723880597014926</v>
      </c>
      <c r="I164" s="2">
        <f t="shared" si="8"/>
        <v>92.31845602494748</v>
      </c>
      <c r="J164" s="2">
        <f t="shared" si="6"/>
        <v>0.40542457206744587</v>
      </c>
      <c r="K164" s="2">
        <f t="shared" si="7"/>
        <v>0.16436908363607161</v>
      </c>
    </row>
    <row r="165" spans="1:11" x14ac:dyDescent="0.35">
      <c r="A165">
        <v>16</v>
      </c>
      <c r="B165">
        <v>2015</v>
      </c>
      <c r="C165">
        <v>4</v>
      </c>
      <c r="D165" t="s">
        <v>8</v>
      </c>
      <c r="E165" t="s">
        <v>9</v>
      </c>
      <c r="F165" t="s">
        <v>16</v>
      </c>
      <c r="G165" t="s">
        <v>30</v>
      </c>
      <c r="H165" s="2">
        <v>91.064638783269956</v>
      </c>
      <c r="I165" s="2">
        <f t="shared" si="8"/>
        <v>92.642795682601431</v>
      </c>
      <c r="J165" s="2">
        <f t="shared" si="6"/>
        <v>-1.578156899331475</v>
      </c>
      <c r="K165" s="2">
        <f t="shared" si="7"/>
        <v>2.4905791989075352</v>
      </c>
    </row>
    <row r="166" spans="1:11" x14ac:dyDescent="0.35">
      <c r="A166">
        <v>17</v>
      </c>
      <c r="B166">
        <v>2016</v>
      </c>
      <c r="C166">
        <v>1</v>
      </c>
      <c r="D166" t="s">
        <v>8</v>
      </c>
      <c r="E166" t="s">
        <v>9</v>
      </c>
      <c r="F166" t="s">
        <v>16</v>
      </c>
      <c r="G166" t="s">
        <v>30</v>
      </c>
      <c r="H166" s="2">
        <v>90.427698574338095</v>
      </c>
      <c r="I166" s="2">
        <f t="shared" si="8"/>
        <v>91.380270163136259</v>
      </c>
      <c r="J166" s="2">
        <f t="shared" si="6"/>
        <v>-0.95257158879816473</v>
      </c>
      <c r="K166" s="2">
        <f t="shared" si="7"/>
        <v>0.90739263178545981</v>
      </c>
    </row>
    <row r="167" spans="1:11" x14ac:dyDescent="0.35">
      <c r="A167">
        <v>18</v>
      </c>
      <c r="B167">
        <v>2016</v>
      </c>
      <c r="C167">
        <v>2</v>
      </c>
      <c r="D167" t="s">
        <v>8</v>
      </c>
      <c r="E167" t="s">
        <v>9</v>
      </c>
      <c r="F167" t="s">
        <v>16</v>
      </c>
      <c r="G167" t="s">
        <v>30</v>
      </c>
      <c r="H167" s="2">
        <v>91.452991452991455</v>
      </c>
      <c r="I167" s="2">
        <f t="shared" si="8"/>
        <v>90.618212892097716</v>
      </c>
      <c r="J167" s="2">
        <f t="shared" si="6"/>
        <v>0.83477856089373859</v>
      </c>
      <c r="K167" s="2">
        <f t="shared" si="7"/>
        <v>0.6968552457278212</v>
      </c>
    </row>
    <row r="168" spans="1:11" x14ac:dyDescent="0.35">
      <c r="A168">
        <v>19</v>
      </c>
      <c r="B168">
        <v>2016</v>
      </c>
      <c r="C168">
        <v>3</v>
      </c>
      <c r="D168" t="s">
        <v>8</v>
      </c>
      <c r="E168" t="s">
        <v>9</v>
      </c>
      <c r="F168" t="s">
        <v>16</v>
      </c>
      <c r="G168" t="s">
        <v>30</v>
      </c>
      <c r="H168" s="2">
        <v>87.449392712550605</v>
      </c>
      <c r="I168" s="2">
        <f t="shared" si="8"/>
        <v>91.286035740812707</v>
      </c>
      <c r="J168" s="2">
        <f t="shared" si="6"/>
        <v>-3.8366430282621025</v>
      </c>
      <c r="K168" s="2">
        <f t="shared" si="7"/>
        <v>14.719829726312195</v>
      </c>
    </row>
    <row r="169" spans="1:11" x14ac:dyDescent="0.35">
      <c r="A169">
        <v>20</v>
      </c>
      <c r="B169">
        <v>2016</v>
      </c>
      <c r="C169">
        <v>4</v>
      </c>
      <c r="D169" t="s">
        <v>8</v>
      </c>
      <c r="E169" t="s">
        <v>9</v>
      </c>
      <c r="F169" t="s">
        <v>16</v>
      </c>
      <c r="G169" t="s">
        <v>30</v>
      </c>
      <c r="H169" s="2">
        <v>82.592592592592595</v>
      </c>
      <c r="I169" s="2">
        <f t="shared" si="8"/>
        <v>88.216721318203028</v>
      </c>
      <c r="J169" s="2">
        <f t="shared" si="6"/>
        <v>-5.6241287256104329</v>
      </c>
      <c r="K169" s="2">
        <f t="shared" si="7"/>
        <v>31.630823922236431</v>
      </c>
    </row>
    <row r="170" spans="1:11" x14ac:dyDescent="0.35">
      <c r="A170">
        <v>21</v>
      </c>
      <c r="B170">
        <v>2017</v>
      </c>
      <c r="C170">
        <v>1</v>
      </c>
      <c r="D170" t="s">
        <v>8</v>
      </c>
      <c r="E170" t="s">
        <v>9</v>
      </c>
      <c r="F170" t="s">
        <v>16</v>
      </c>
      <c r="G170" t="s">
        <v>30</v>
      </c>
      <c r="H170" s="2">
        <v>87.620889748549331</v>
      </c>
      <c r="I170" s="2">
        <f t="shared" si="8"/>
        <v>83.717418337714676</v>
      </c>
      <c r="J170" s="2">
        <f t="shared" si="6"/>
        <v>3.9034714108346549</v>
      </c>
      <c r="K170" s="2">
        <f t="shared" si="7"/>
        <v>15.237089055203491</v>
      </c>
    </row>
    <row r="171" spans="1:11" x14ac:dyDescent="0.35">
      <c r="A171">
        <v>22</v>
      </c>
      <c r="B171">
        <v>2017</v>
      </c>
      <c r="C171">
        <v>2</v>
      </c>
      <c r="D171" t="s">
        <v>8</v>
      </c>
      <c r="E171" t="s">
        <v>9</v>
      </c>
      <c r="F171" t="s">
        <v>16</v>
      </c>
      <c r="G171" t="s">
        <v>30</v>
      </c>
      <c r="H171" s="2">
        <v>85.621970920840056</v>
      </c>
      <c r="I171" s="2">
        <f t="shared" si="8"/>
        <v>86.840195466382397</v>
      </c>
      <c r="J171" s="2">
        <f t="shared" si="6"/>
        <v>-1.2182245455423413</v>
      </c>
      <c r="K171" s="2">
        <f t="shared" si="7"/>
        <v>1.484071043361844</v>
      </c>
    </row>
    <row r="172" spans="1:11" x14ac:dyDescent="0.35">
      <c r="A172">
        <v>23</v>
      </c>
      <c r="B172">
        <v>2017</v>
      </c>
      <c r="C172">
        <v>3</v>
      </c>
      <c r="D172" t="s">
        <v>8</v>
      </c>
      <c r="E172" t="s">
        <v>9</v>
      </c>
      <c r="F172" t="s">
        <v>16</v>
      </c>
      <c r="G172" t="s">
        <v>30</v>
      </c>
      <c r="H172" s="2">
        <v>86.542056074766364</v>
      </c>
      <c r="I172" s="2">
        <f t="shared" si="8"/>
        <v>85.865615829948524</v>
      </c>
      <c r="J172" s="2">
        <f t="shared" si="6"/>
        <v>0.67644024481784015</v>
      </c>
      <c r="K172" s="2">
        <f t="shared" si="7"/>
        <v>0.45757140480921954</v>
      </c>
    </row>
    <row r="173" spans="1:11" x14ac:dyDescent="0.35">
      <c r="A173">
        <v>24</v>
      </c>
      <c r="B173">
        <v>2017</v>
      </c>
      <c r="C173">
        <v>4</v>
      </c>
      <c r="D173" t="s">
        <v>8</v>
      </c>
      <c r="E173" t="s">
        <v>9</v>
      </c>
      <c r="F173" t="s">
        <v>16</v>
      </c>
      <c r="G173" t="s">
        <v>30</v>
      </c>
      <c r="H173" s="2">
        <v>89.303904923599319</v>
      </c>
      <c r="I173" s="2">
        <f t="shared" si="8"/>
        <v>86.406768025802791</v>
      </c>
      <c r="J173" s="2">
        <f t="shared" si="6"/>
        <v>2.8971368977965284</v>
      </c>
      <c r="K173" s="2">
        <f t="shared" si="7"/>
        <v>8.3934022045740928</v>
      </c>
    </row>
    <row r="174" spans="1:11" x14ac:dyDescent="0.35">
      <c r="A174">
        <v>25</v>
      </c>
      <c r="B174">
        <v>2018</v>
      </c>
      <c r="C174">
        <v>1</v>
      </c>
      <c r="D174" t="s">
        <v>8</v>
      </c>
      <c r="E174" t="s">
        <v>9</v>
      </c>
      <c r="F174" t="s">
        <v>16</v>
      </c>
      <c r="G174" t="s">
        <v>30</v>
      </c>
      <c r="H174" s="2">
        <v>85.027726432532347</v>
      </c>
      <c r="I174" s="2">
        <f t="shared" si="8"/>
        <v>88.724477544040013</v>
      </c>
      <c r="J174" s="2">
        <f t="shared" si="6"/>
        <v>-3.6967511115076661</v>
      </c>
      <c r="K174" s="2">
        <f t="shared" si="7"/>
        <v>13.665968780433165</v>
      </c>
    </row>
    <row r="175" spans="1:11" x14ac:dyDescent="0.35">
      <c r="A175">
        <v>26</v>
      </c>
      <c r="B175">
        <v>2018</v>
      </c>
      <c r="C175">
        <v>2</v>
      </c>
      <c r="D175" t="s">
        <v>8</v>
      </c>
      <c r="E175" t="s">
        <v>9</v>
      </c>
      <c r="F175" t="s">
        <v>16</v>
      </c>
      <c r="G175" t="s">
        <v>30</v>
      </c>
      <c r="H175" s="2">
        <v>80.769230769230774</v>
      </c>
      <c r="I175" s="2">
        <f t="shared" si="8"/>
        <v>85.767076654833886</v>
      </c>
      <c r="J175" s="2">
        <f t="shared" si="6"/>
        <v>-4.9978458856031125</v>
      </c>
      <c r="K175" s="2">
        <f t="shared" si="7"/>
        <v>24.978463496239961</v>
      </c>
    </row>
    <row r="176" spans="1:11" x14ac:dyDescent="0.35">
      <c r="A176">
        <v>27</v>
      </c>
      <c r="B176">
        <v>2018</v>
      </c>
      <c r="C176">
        <v>3</v>
      </c>
      <c r="D176" t="s">
        <v>8</v>
      </c>
      <c r="E176" t="s">
        <v>9</v>
      </c>
      <c r="F176" t="s">
        <v>16</v>
      </c>
      <c r="G176" t="s">
        <v>30</v>
      </c>
      <c r="H176" s="2">
        <v>78.703703703703709</v>
      </c>
      <c r="I176" s="2">
        <f t="shared" si="8"/>
        <v>81.768799946351407</v>
      </c>
      <c r="J176" s="2">
        <f t="shared" si="6"/>
        <v>-3.065096242647698</v>
      </c>
      <c r="K176" s="2">
        <f t="shared" si="7"/>
        <v>9.394814976693036</v>
      </c>
    </row>
    <row r="177" spans="1:11" x14ac:dyDescent="0.35">
      <c r="A177">
        <v>28</v>
      </c>
      <c r="B177">
        <v>2018</v>
      </c>
      <c r="C177">
        <v>4</v>
      </c>
      <c r="D177" t="s">
        <v>8</v>
      </c>
      <c r="E177" t="s">
        <v>9</v>
      </c>
      <c r="F177" t="s">
        <v>16</v>
      </c>
      <c r="G177" t="s">
        <v>30</v>
      </c>
      <c r="H177" s="2">
        <v>80.060422960725077</v>
      </c>
      <c r="I177" s="2">
        <f t="shared" si="8"/>
        <v>79.316722952233249</v>
      </c>
      <c r="J177" s="2">
        <f t="shared" si="6"/>
        <v>0.74370000849182816</v>
      </c>
      <c r="K177" s="2">
        <f t="shared" si="7"/>
        <v>0.55308970263074531</v>
      </c>
    </row>
    <row r="178" spans="1:11" x14ac:dyDescent="0.35">
      <c r="A178">
        <v>29</v>
      </c>
      <c r="B178">
        <v>2019</v>
      </c>
      <c r="C178">
        <v>1</v>
      </c>
      <c r="D178" t="s">
        <v>8</v>
      </c>
      <c r="E178" t="s">
        <v>9</v>
      </c>
      <c r="F178" t="s">
        <v>16</v>
      </c>
      <c r="G178" t="s">
        <v>30</v>
      </c>
      <c r="H178" s="2">
        <v>78.13559322033899</v>
      </c>
      <c r="I178" s="2">
        <f t="shared" si="8"/>
        <v>79.911682959026706</v>
      </c>
      <c r="J178" s="2">
        <f t="shared" si="6"/>
        <v>-1.7760897386877161</v>
      </c>
      <c r="K178" s="2">
        <f t="shared" si="7"/>
        <v>3.1544947598717998</v>
      </c>
    </row>
    <row r="179" spans="1:11" x14ac:dyDescent="0.35">
      <c r="A179">
        <v>30</v>
      </c>
      <c r="B179">
        <v>2019</v>
      </c>
      <c r="C179">
        <v>2</v>
      </c>
      <c r="D179" t="s">
        <v>8</v>
      </c>
      <c r="E179" t="s">
        <v>9</v>
      </c>
      <c r="F179" t="s">
        <v>16</v>
      </c>
      <c r="G179" t="s">
        <v>30</v>
      </c>
      <c r="H179" s="2">
        <v>73.668188736681884</v>
      </c>
      <c r="I179" s="2">
        <f t="shared" si="8"/>
        <v>78.490811168076533</v>
      </c>
      <c r="J179" s="2">
        <f t="shared" si="6"/>
        <v>-4.8226224313946489</v>
      </c>
      <c r="K179" s="2">
        <f t="shared" si="7"/>
        <v>23.257687115790834</v>
      </c>
    </row>
    <row r="180" spans="1:11" x14ac:dyDescent="0.35">
      <c r="A180">
        <v>31</v>
      </c>
      <c r="B180">
        <v>2019</v>
      </c>
      <c r="C180">
        <v>3</v>
      </c>
      <c r="D180" t="s">
        <v>8</v>
      </c>
      <c r="E180" t="s">
        <v>9</v>
      </c>
      <c r="F180" t="s">
        <v>16</v>
      </c>
      <c r="G180" t="s">
        <v>30</v>
      </c>
      <c r="H180" s="2">
        <v>78.236130867709818</v>
      </c>
      <c r="I180" s="2">
        <f t="shared" si="8"/>
        <v>74.632713222960817</v>
      </c>
      <c r="J180" s="2">
        <f t="shared" si="6"/>
        <v>3.6034176447490012</v>
      </c>
      <c r="K180" s="2">
        <f t="shared" si="7"/>
        <v>12.984618722488438</v>
      </c>
    </row>
    <row r="181" spans="1:11" x14ac:dyDescent="0.35">
      <c r="A181">
        <v>32</v>
      </c>
      <c r="B181">
        <v>2019</v>
      </c>
      <c r="C181">
        <v>4</v>
      </c>
      <c r="D181" t="s">
        <v>8</v>
      </c>
      <c r="E181" t="s">
        <v>9</v>
      </c>
      <c r="F181" t="s">
        <v>16</v>
      </c>
      <c r="G181" t="s">
        <v>30</v>
      </c>
      <c r="H181" s="2">
        <v>80.277349768875197</v>
      </c>
      <c r="I181" s="2">
        <f t="shared" si="8"/>
        <v>77.515447338760026</v>
      </c>
      <c r="J181" s="2">
        <f t="shared" si="6"/>
        <v>2.7619024301151711</v>
      </c>
      <c r="K181" s="2">
        <f t="shared" si="7"/>
        <v>7.6281050334760874</v>
      </c>
    </row>
    <row r="182" spans="1:11" x14ac:dyDescent="0.35">
      <c r="A182">
        <v>33</v>
      </c>
      <c r="B182">
        <v>2020</v>
      </c>
      <c r="C182">
        <v>1</v>
      </c>
      <c r="D182" t="s">
        <v>8</v>
      </c>
      <c r="E182" t="s">
        <v>9</v>
      </c>
      <c r="F182" t="s">
        <v>16</v>
      </c>
      <c r="G182" t="s">
        <v>30</v>
      </c>
      <c r="H182" s="2">
        <v>81.748466257668724</v>
      </c>
      <c r="I182" s="2">
        <f t="shared" si="8"/>
        <v>79.724969282852172</v>
      </c>
      <c r="J182" s="2">
        <f t="shared" si="6"/>
        <v>2.0234969748165526</v>
      </c>
      <c r="K182" s="2">
        <f t="shared" si="7"/>
        <v>4.0945400070917399</v>
      </c>
    </row>
    <row r="183" spans="1:11" x14ac:dyDescent="0.35">
      <c r="A183">
        <v>34</v>
      </c>
      <c r="B183">
        <v>2020</v>
      </c>
      <c r="C183">
        <v>2</v>
      </c>
      <c r="D183" t="s">
        <v>8</v>
      </c>
      <c r="E183" t="s">
        <v>9</v>
      </c>
      <c r="F183" t="s">
        <v>16</v>
      </c>
      <c r="G183" t="s">
        <v>30</v>
      </c>
      <c r="H183" s="2">
        <v>82.417582417582409</v>
      </c>
      <c r="I183" s="2">
        <f t="shared" si="8"/>
        <v>81.343766862705422</v>
      </c>
      <c r="J183" s="2">
        <f t="shared" si="6"/>
        <v>1.0738155548769868</v>
      </c>
      <c r="K183" s="2">
        <f t="shared" si="7"/>
        <v>1.1530798458957709</v>
      </c>
    </row>
    <row r="184" spans="1:11" x14ac:dyDescent="0.35">
      <c r="A184">
        <v>35</v>
      </c>
      <c r="B184">
        <v>2020</v>
      </c>
      <c r="C184">
        <v>3</v>
      </c>
      <c r="D184" t="s">
        <v>8</v>
      </c>
      <c r="E184" t="s">
        <v>9</v>
      </c>
      <c r="F184" t="s">
        <v>16</v>
      </c>
      <c r="G184" t="s">
        <v>30</v>
      </c>
      <c r="H184" s="2">
        <v>83.712121212121218</v>
      </c>
      <c r="I184" s="2">
        <f t="shared" si="8"/>
        <v>82.202819306607012</v>
      </c>
      <c r="J184" s="2">
        <f t="shared" si="6"/>
        <v>1.5093019055142065</v>
      </c>
      <c r="K184" s="2">
        <f t="shared" si="7"/>
        <v>2.2779922419888146</v>
      </c>
    </row>
    <row r="185" spans="1:11" x14ac:dyDescent="0.35">
      <c r="A185">
        <v>36</v>
      </c>
      <c r="B185">
        <v>2020</v>
      </c>
      <c r="C185">
        <v>4</v>
      </c>
      <c r="D185" t="s">
        <v>8</v>
      </c>
      <c r="E185" t="s">
        <v>9</v>
      </c>
      <c r="F185" t="s">
        <v>16</v>
      </c>
      <c r="G185" t="s">
        <v>30</v>
      </c>
      <c r="H185" s="2">
        <v>86.486486486486484</v>
      </c>
      <c r="I185" s="2">
        <f t="shared" si="8"/>
        <v>83.410260831018377</v>
      </c>
      <c r="J185" s="2">
        <f t="shared" si="6"/>
        <v>3.0762256554681073</v>
      </c>
      <c r="K185" s="2">
        <f t="shared" si="7"/>
        <v>9.4631642833601859</v>
      </c>
    </row>
    <row r="186" spans="1:11" x14ac:dyDescent="0.35">
      <c r="A186">
        <v>37</v>
      </c>
      <c r="B186">
        <v>2021</v>
      </c>
      <c r="C186">
        <v>1</v>
      </c>
      <c r="D186" t="s">
        <v>8</v>
      </c>
      <c r="E186" t="s">
        <v>9</v>
      </c>
      <c r="F186" t="s">
        <v>16</v>
      </c>
      <c r="G186" t="s">
        <v>30</v>
      </c>
      <c r="H186" s="2">
        <v>82.736156351791536</v>
      </c>
      <c r="I186" s="2">
        <f t="shared" si="8"/>
        <v>85.871241355392868</v>
      </c>
      <c r="J186" s="2">
        <f t="shared" si="6"/>
        <v>-3.1350850036013327</v>
      </c>
      <c r="K186" s="2">
        <f t="shared" si="7"/>
        <v>9.8287579798059674</v>
      </c>
    </row>
    <row r="187" spans="1:11" x14ac:dyDescent="0.35">
      <c r="A187">
        <v>38</v>
      </c>
      <c r="B187">
        <v>2021</v>
      </c>
      <c r="C187">
        <v>2</v>
      </c>
      <c r="D187" t="s">
        <v>8</v>
      </c>
      <c r="E187" t="s">
        <v>9</v>
      </c>
      <c r="F187" t="s">
        <v>16</v>
      </c>
      <c r="G187" t="s">
        <v>30</v>
      </c>
      <c r="H187" s="2">
        <v>85.348506401137982</v>
      </c>
      <c r="I187" s="2">
        <f t="shared" si="8"/>
        <v>83.363173352511794</v>
      </c>
      <c r="J187" s="2">
        <f t="shared" si="6"/>
        <v>1.9853330486261882</v>
      </c>
      <c r="K187" s="2">
        <f t="shared" si="7"/>
        <v>3.9415473139673547</v>
      </c>
    </row>
    <row r="188" spans="1:11" x14ac:dyDescent="0.35">
      <c r="A188">
        <v>39</v>
      </c>
      <c r="B188">
        <v>2021</v>
      </c>
      <c r="C188">
        <v>3</v>
      </c>
      <c r="D188" t="s">
        <v>8</v>
      </c>
      <c r="E188" t="s">
        <v>9</v>
      </c>
      <c r="F188" t="s">
        <v>16</v>
      </c>
      <c r="G188" t="s">
        <v>30</v>
      </c>
      <c r="H188" s="2">
        <v>85.126162018592296</v>
      </c>
      <c r="I188" s="2">
        <f t="shared" si="8"/>
        <v>84.951439791412753</v>
      </c>
      <c r="J188" s="2">
        <f t="shared" si="6"/>
        <v>0.17472222717954367</v>
      </c>
      <c r="K188" s="2">
        <f t="shared" si="7"/>
        <v>3.0527856670580066E-2</v>
      </c>
    </row>
    <row r="189" spans="1:11" x14ac:dyDescent="0.35">
      <c r="A189">
        <v>40</v>
      </c>
      <c r="B189">
        <v>2021</v>
      </c>
      <c r="C189">
        <v>4</v>
      </c>
      <c r="D189" t="s">
        <v>8</v>
      </c>
      <c r="E189" t="s">
        <v>9</v>
      </c>
      <c r="F189" t="s">
        <v>16</v>
      </c>
      <c r="G189" t="s">
        <v>30</v>
      </c>
      <c r="H189" s="2">
        <v>82.871536523929464</v>
      </c>
      <c r="I189" s="2">
        <f t="shared" si="8"/>
        <v>85.091217573156385</v>
      </c>
      <c r="J189" s="2">
        <f t="shared" si="6"/>
        <v>-2.2196810492269208</v>
      </c>
      <c r="K189" s="2">
        <f t="shared" si="7"/>
        <v>4.9269839602971235</v>
      </c>
    </row>
    <row r="190" spans="1:11" x14ac:dyDescent="0.35">
      <c r="A190">
        <v>41</v>
      </c>
      <c r="I190" s="2">
        <f t="shared" si="8"/>
        <v>83.31547273377484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1A98-D716-40F6-AD1A-B454E6F3FA6D}">
  <dimension ref="A1:I18"/>
  <sheetViews>
    <sheetView workbookViewId="0">
      <selection activeCell="J16" sqref="J16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0.8047972804295197</v>
      </c>
    </row>
    <row r="5" spans="1:9" x14ac:dyDescent="0.35">
      <c r="A5" t="s">
        <v>43</v>
      </c>
      <c r="B5">
        <v>0.64769866258675102</v>
      </c>
    </row>
    <row r="6" spans="1:9" x14ac:dyDescent="0.35">
      <c r="A6" t="s">
        <v>44</v>
      </c>
      <c r="B6">
        <v>0.63842757476008649</v>
      </c>
    </row>
    <row r="7" spans="1:9" x14ac:dyDescent="0.35">
      <c r="A7" t="s">
        <v>45</v>
      </c>
      <c r="B7">
        <v>3.5270926449006792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1</v>
      </c>
      <c r="C12">
        <v>869.11258685276903</v>
      </c>
      <c r="D12">
        <v>869.11258685276903</v>
      </c>
      <c r="E12">
        <v>69.862207617526167</v>
      </c>
      <c r="F12">
        <v>3.8828405098446567E-10</v>
      </c>
    </row>
    <row r="13" spans="1:9" x14ac:dyDescent="0.35">
      <c r="A13" t="s">
        <v>49</v>
      </c>
      <c r="B13">
        <v>38</v>
      </c>
      <c r="C13">
        <v>472.73453597707379</v>
      </c>
      <c r="D13">
        <v>12.440382525712469</v>
      </c>
    </row>
    <row r="14" spans="1:9" ht="15" thickBot="1" x14ac:dyDescent="0.4">
      <c r="A14" s="5" t="s">
        <v>50</v>
      </c>
      <c r="B14" s="5">
        <v>39</v>
      </c>
      <c r="C14" s="5">
        <v>1341.8471228298429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95.700545623628358</v>
      </c>
      <c r="C17">
        <v>1.1366115773078069</v>
      </c>
      <c r="D17">
        <v>84.198109129159079</v>
      </c>
      <c r="E17">
        <v>8.3287850610309103E-45</v>
      </c>
      <c r="F17">
        <v>93.399595779891655</v>
      </c>
      <c r="G17">
        <v>98.001495467365061</v>
      </c>
      <c r="H17">
        <v>93.399595779891655</v>
      </c>
      <c r="I17">
        <v>98.001495467365061</v>
      </c>
    </row>
    <row r="18" spans="1:9" ht="15" thickBot="1" x14ac:dyDescent="0.4">
      <c r="A18" s="5" t="s">
        <v>0</v>
      </c>
      <c r="B18" s="5">
        <v>-0.40380753195264063</v>
      </c>
      <c r="C18" s="5">
        <v>4.8311804899309869E-2</v>
      </c>
      <c r="D18" s="5">
        <v>-8.3583615390533463</v>
      </c>
      <c r="E18" s="5">
        <v>3.8828405098446154E-10</v>
      </c>
      <c r="F18" s="5">
        <v>-0.5016096678388573</v>
      </c>
      <c r="G18" s="5">
        <v>-0.30600539606642402</v>
      </c>
      <c r="H18" s="5">
        <v>-0.5016096678388573</v>
      </c>
      <c r="I18" s="5">
        <v>-0.30600539606642402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8062-FA6F-46A5-BB79-5065EB955300}">
  <dimension ref="A1:I21"/>
  <sheetViews>
    <sheetView topLeftCell="A5" workbookViewId="0">
      <selection activeCell="A16" sqref="A16:B21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0.81001763362448909</v>
      </c>
    </row>
    <row r="5" spans="1:9" x14ac:dyDescent="0.35">
      <c r="A5" t="s">
        <v>43</v>
      </c>
      <c r="B5">
        <v>0.656128566782617</v>
      </c>
    </row>
    <row r="6" spans="1:9" x14ac:dyDescent="0.35">
      <c r="A6" t="s">
        <v>44</v>
      </c>
      <c r="B6">
        <v>0.61682897441491613</v>
      </c>
    </row>
    <row r="7" spans="1:9" x14ac:dyDescent="0.35">
      <c r="A7" t="s">
        <v>45</v>
      </c>
      <c r="B7">
        <v>3.6309105244754076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4</v>
      </c>
      <c r="C12">
        <v>880.42422954372307</v>
      </c>
      <c r="D12">
        <v>220.10605738593077</v>
      </c>
      <c r="E12">
        <v>16.695556550399953</v>
      </c>
      <c r="F12">
        <v>9.6210971842495816E-8</v>
      </c>
    </row>
    <row r="13" spans="1:9" x14ac:dyDescent="0.35">
      <c r="A13" t="s">
        <v>49</v>
      </c>
      <c r="B13">
        <v>35</v>
      </c>
      <c r="C13">
        <v>461.4228932861198</v>
      </c>
      <c r="D13">
        <v>13.183511236746281</v>
      </c>
    </row>
    <row r="14" spans="1:9" ht="15" thickBot="1" x14ac:dyDescent="0.4">
      <c r="A14" s="5" t="s">
        <v>50</v>
      </c>
      <c r="B14" s="5">
        <v>39</v>
      </c>
      <c r="C14" s="5">
        <v>1341.8471228298429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96.61080837510741</v>
      </c>
      <c r="C17">
        <v>1.5896036152795148</v>
      </c>
      <c r="D17">
        <v>60.776666237085422</v>
      </c>
      <c r="E17">
        <v>4.4408522528271643E-37</v>
      </c>
      <c r="F17">
        <v>93.383741472953062</v>
      </c>
      <c r="G17">
        <v>99.837875277261759</v>
      </c>
      <c r="H17">
        <v>93.383741472953062</v>
      </c>
      <c r="I17">
        <v>99.837875277261759</v>
      </c>
    </row>
    <row r="18" spans="1:9" x14ac:dyDescent="0.35">
      <c r="A18" t="s">
        <v>0</v>
      </c>
      <c r="B18">
        <v>-0.40735033690150863</v>
      </c>
      <c r="C18">
        <v>4.9968761523292174E-2</v>
      </c>
      <c r="D18">
        <v>-8.1520999217006516</v>
      </c>
      <c r="E18">
        <v>1.3303427483678765E-9</v>
      </c>
      <c r="F18">
        <v>-0.50879231583479478</v>
      </c>
      <c r="G18">
        <v>-0.30590835796822247</v>
      </c>
      <c r="H18">
        <v>-0.50879231583479478</v>
      </c>
      <c r="I18">
        <v>-0.30590835796822247</v>
      </c>
    </row>
    <row r="19" spans="1:9" x14ac:dyDescent="0.35">
      <c r="A19" t="s">
        <v>70</v>
      </c>
      <c r="B19">
        <v>-1.0503327615020623</v>
      </c>
      <c r="C19">
        <v>1.6306974402085754</v>
      </c>
      <c r="D19">
        <v>-0.64410033130837496</v>
      </c>
      <c r="E19">
        <v>0.52370926253648187</v>
      </c>
      <c r="F19">
        <v>-4.3608245634470322</v>
      </c>
      <c r="G19">
        <v>2.2601590404429075</v>
      </c>
      <c r="H19">
        <v>-4.3608245634470322</v>
      </c>
      <c r="I19">
        <v>2.2601590404429075</v>
      </c>
    </row>
    <row r="20" spans="1:9" x14ac:dyDescent="0.35">
      <c r="A20" t="s">
        <v>71</v>
      </c>
      <c r="B20">
        <v>-1.4629200147970052</v>
      </c>
      <c r="C20">
        <v>1.6268650084939262</v>
      </c>
      <c r="D20">
        <v>-0.89922643068665331</v>
      </c>
      <c r="E20">
        <v>0.37467731324352616</v>
      </c>
      <c r="F20">
        <v>-4.765631566733588</v>
      </c>
      <c r="G20">
        <v>1.8397915371395774</v>
      </c>
      <c r="H20">
        <v>-4.765631566733588</v>
      </c>
      <c r="I20">
        <v>1.8397915371395774</v>
      </c>
    </row>
    <row r="21" spans="1:9" ht="15" thickBot="1" x14ac:dyDescent="0.4">
      <c r="A21" s="5" t="s">
        <v>72</v>
      </c>
      <c r="B21" s="5">
        <v>-0.83728822380994605</v>
      </c>
      <c r="C21" s="5">
        <v>1.6245612098278805</v>
      </c>
      <c r="D21" s="5">
        <v>-0.51539346055089874</v>
      </c>
      <c r="E21" s="5">
        <v>0.60951837475442083</v>
      </c>
      <c r="F21" s="5">
        <v>-4.1353228158094968</v>
      </c>
      <c r="G21" s="5">
        <v>2.4607463681896045</v>
      </c>
      <c r="H21" s="5">
        <v>-4.1353228158094968</v>
      </c>
      <c r="I21" s="5">
        <v>2.4607463681896045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0993-171C-4CA0-9550-CCAC465B2107}">
  <dimension ref="A1:R188"/>
  <sheetViews>
    <sheetView workbookViewId="0"/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2" bestFit="1" customWidth="1"/>
  </cols>
  <sheetData>
    <row r="1" spans="1:9" ht="23.5" x14ac:dyDescent="0.55000000000000004">
      <c r="A1" s="11" t="s">
        <v>84</v>
      </c>
    </row>
    <row r="2" spans="1: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</row>
    <row r="3" spans="1:9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20</v>
      </c>
      <c r="G3" t="s">
        <v>34</v>
      </c>
      <c r="H3" s="2">
        <v>95.927601809954751</v>
      </c>
    </row>
    <row r="4" spans="1:9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20</v>
      </c>
      <c r="G4" t="s">
        <v>34</v>
      </c>
      <c r="H4" s="2">
        <v>96.832579185520359</v>
      </c>
    </row>
    <row r="5" spans="1:9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20</v>
      </c>
      <c r="G5" t="s">
        <v>34</v>
      </c>
      <c r="H5" s="2">
        <v>95.238095238095227</v>
      </c>
    </row>
    <row r="6" spans="1:9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20</v>
      </c>
      <c r="G6" t="s">
        <v>34</v>
      </c>
      <c r="H6" s="2">
        <v>95.544554455445535</v>
      </c>
    </row>
    <row r="7" spans="1:9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20</v>
      </c>
      <c r="G7" t="s">
        <v>34</v>
      </c>
      <c r="H7" s="2">
        <v>93.212669683257914</v>
      </c>
    </row>
    <row r="8" spans="1:9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20</v>
      </c>
      <c r="G8" t="s">
        <v>34</v>
      </c>
      <c r="H8" s="2">
        <v>94.468085106382986</v>
      </c>
    </row>
    <row r="9" spans="1:9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20</v>
      </c>
      <c r="G9" t="s">
        <v>34</v>
      </c>
      <c r="H9" s="2">
        <v>96</v>
      </c>
    </row>
    <row r="10" spans="1:9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20</v>
      </c>
      <c r="G10" t="s">
        <v>34</v>
      </c>
      <c r="H10" s="2">
        <v>90.366972477064223</v>
      </c>
    </row>
    <row r="11" spans="1:9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20</v>
      </c>
      <c r="G11" t="s">
        <v>34</v>
      </c>
      <c r="H11" s="2">
        <v>91.079812206572768</v>
      </c>
    </row>
    <row r="12" spans="1:9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20</v>
      </c>
      <c r="G12" t="s">
        <v>34</v>
      </c>
      <c r="H12" s="2">
        <v>94.805194805194802</v>
      </c>
    </row>
    <row r="13" spans="1:9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20</v>
      </c>
      <c r="G13" t="s">
        <v>34</v>
      </c>
      <c r="H13" s="2">
        <v>97.787610619469021</v>
      </c>
    </row>
    <row r="14" spans="1:9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20</v>
      </c>
      <c r="G14" t="s">
        <v>34</v>
      </c>
      <c r="H14" s="2">
        <v>96.943231441048042</v>
      </c>
    </row>
    <row r="15" spans="1:9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20</v>
      </c>
      <c r="G15" t="s">
        <v>34</v>
      </c>
      <c r="H15" s="2">
        <v>91.709844559585491</v>
      </c>
    </row>
    <row r="16" spans="1:9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20</v>
      </c>
      <c r="G16" t="s">
        <v>34</v>
      </c>
      <c r="H16" s="2">
        <v>92.672413793103445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20</v>
      </c>
      <c r="G17" t="s">
        <v>34</v>
      </c>
      <c r="H17" s="2">
        <v>86.142322097378283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20</v>
      </c>
      <c r="G18" t="s">
        <v>34</v>
      </c>
      <c r="H18" s="2">
        <v>88.659793814432987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20</v>
      </c>
      <c r="G19" t="s">
        <v>34</v>
      </c>
      <c r="H19" s="2">
        <v>92.410714285714292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20</v>
      </c>
      <c r="G20" t="s">
        <v>34</v>
      </c>
      <c r="H20" s="2">
        <v>89.610389610389603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20</v>
      </c>
      <c r="G21" t="s">
        <v>34</v>
      </c>
      <c r="H21" s="2">
        <v>82.969432314410483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20</v>
      </c>
      <c r="G22" t="s">
        <v>34</v>
      </c>
      <c r="H22" s="2">
        <v>87.169811320754718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20</v>
      </c>
      <c r="G23" t="s">
        <v>34</v>
      </c>
      <c r="H23" s="2">
        <v>89.88326848249028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20</v>
      </c>
      <c r="G24" t="s">
        <v>34</v>
      </c>
      <c r="H24" s="2">
        <v>90.34749034749035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20</v>
      </c>
      <c r="G25" t="s">
        <v>34</v>
      </c>
      <c r="H25" s="2">
        <v>89.642857142857153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20</v>
      </c>
      <c r="G26" t="s">
        <v>34</v>
      </c>
      <c r="H26" s="2">
        <v>89.400921658986178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20</v>
      </c>
      <c r="G27" t="s">
        <v>34</v>
      </c>
      <c r="H27" s="2">
        <v>86.419753086419746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20</v>
      </c>
      <c r="G28" t="s">
        <v>34</v>
      </c>
      <c r="H28" s="2">
        <v>87.931034482758619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20</v>
      </c>
      <c r="G29" t="s">
        <v>34</v>
      </c>
      <c r="H29" s="2">
        <v>83.467741935483872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20</v>
      </c>
      <c r="G30" t="s">
        <v>34</v>
      </c>
      <c r="H30" s="2">
        <v>82.926829268292678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20</v>
      </c>
      <c r="G31" t="s">
        <v>34</v>
      </c>
      <c r="H31" s="2">
        <v>88.60759493670885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20</v>
      </c>
      <c r="G32" t="s">
        <v>34</v>
      </c>
      <c r="H32" s="2">
        <v>89.523809523809533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20</v>
      </c>
      <c r="G33" t="s">
        <v>34</v>
      </c>
      <c r="H33" s="2">
        <v>95.238095238095227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20</v>
      </c>
      <c r="G34" t="s">
        <v>34</v>
      </c>
      <c r="H34" s="2">
        <v>94.930875576036868</v>
      </c>
    </row>
    <row r="35" spans="1:14" x14ac:dyDescent="0.35">
      <c r="A35">
        <v>33</v>
      </c>
      <c r="B35">
        <v>2020</v>
      </c>
      <c r="C35">
        <v>1</v>
      </c>
      <c r="D35" t="s">
        <v>8</v>
      </c>
      <c r="E35" t="s">
        <v>9</v>
      </c>
      <c r="F35" t="s">
        <v>20</v>
      </c>
      <c r="G35" t="s">
        <v>34</v>
      </c>
      <c r="H35" s="2">
        <v>91.904761904761898</v>
      </c>
    </row>
    <row r="36" spans="1:14" x14ac:dyDescent="0.35">
      <c r="A36">
        <v>34</v>
      </c>
      <c r="B36">
        <v>2020</v>
      </c>
      <c r="C36">
        <v>2</v>
      </c>
      <c r="D36" t="s">
        <v>8</v>
      </c>
      <c r="E36" t="s">
        <v>9</v>
      </c>
      <c r="F36" t="s">
        <v>20</v>
      </c>
      <c r="G36" t="s">
        <v>34</v>
      </c>
      <c r="H36" s="2">
        <v>89.142857142857139</v>
      </c>
    </row>
    <row r="37" spans="1:14" x14ac:dyDescent="0.35">
      <c r="A37">
        <v>35</v>
      </c>
      <c r="B37">
        <v>2020</v>
      </c>
      <c r="C37">
        <v>3</v>
      </c>
      <c r="D37" t="s">
        <v>8</v>
      </c>
      <c r="E37" t="s">
        <v>9</v>
      </c>
      <c r="F37" t="s">
        <v>20</v>
      </c>
      <c r="G37" t="s">
        <v>34</v>
      </c>
      <c r="H37" s="2">
        <v>97.252747252747255</v>
      </c>
    </row>
    <row r="38" spans="1:14" x14ac:dyDescent="0.35">
      <c r="A38">
        <v>36</v>
      </c>
      <c r="B38">
        <v>2020</v>
      </c>
      <c r="C38">
        <v>4</v>
      </c>
      <c r="D38" t="s">
        <v>8</v>
      </c>
      <c r="E38" t="s">
        <v>9</v>
      </c>
      <c r="F38" t="s">
        <v>20</v>
      </c>
      <c r="G38" t="s">
        <v>34</v>
      </c>
      <c r="H38" s="2">
        <v>97.560975609756099</v>
      </c>
    </row>
    <row r="39" spans="1:14" x14ac:dyDescent="0.35">
      <c r="A39">
        <v>37</v>
      </c>
      <c r="B39">
        <v>2021</v>
      </c>
      <c r="C39">
        <v>1</v>
      </c>
      <c r="D39" t="s">
        <v>8</v>
      </c>
      <c r="E39" t="s">
        <v>9</v>
      </c>
      <c r="F39" t="s">
        <v>20</v>
      </c>
      <c r="G39" t="s">
        <v>34</v>
      </c>
      <c r="H39" s="2">
        <v>93.782383419689126</v>
      </c>
    </row>
    <row r="40" spans="1:14" x14ac:dyDescent="0.35">
      <c r="A40">
        <v>38</v>
      </c>
      <c r="B40">
        <v>2021</v>
      </c>
      <c r="C40">
        <v>2</v>
      </c>
      <c r="D40" t="s">
        <v>8</v>
      </c>
      <c r="E40" t="s">
        <v>9</v>
      </c>
      <c r="F40" t="s">
        <v>20</v>
      </c>
      <c r="G40" t="s">
        <v>34</v>
      </c>
      <c r="H40" s="2">
        <v>90.909090909090907</v>
      </c>
    </row>
    <row r="41" spans="1:14" x14ac:dyDescent="0.35">
      <c r="A41">
        <v>39</v>
      </c>
      <c r="B41">
        <v>2021</v>
      </c>
      <c r="C41">
        <v>3</v>
      </c>
      <c r="D41" t="s">
        <v>8</v>
      </c>
      <c r="E41" t="s">
        <v>9</v>
      </c>
      <c r="F41" t="s">
        <v>20</v>
      </c>
      <c r="G41" t="s">
        <v>34</v>
      </c>
      <c r="H41" s="2">
        <v>92.857142857142861</v>
      </c>
    </row>
    <row r="42" spans="1:14" x14ac:dyDescent="0.35">
      <c r="A42">
        <v>40</v>
      </c>
      <c r="B42">
        <v>2021</v>
      </c>
      <c r="C42">
        <v>4</v>
      </c>
      <c r="D42" t="s">
        <v>8</v>
      </c>
      <c r="E42" t="s">
        <v>9</v>
      </c>
      <c r="F42" t="s">
        <v>20</v>
      </c>
      <c r="G42" t="s">
        <v>34</v>
      </c>
      <c r="H42" s="2">
        <v>88.185654008438817</v>
      </c>
    </row>
    <row r="45" spans="1:14" x14ac:dyDescent="0.35">
      <c r="A45" t="s">
        <v>65</v>
      </c>
    </row>
    <row r="46" spans="1:14" x14ac:dyDescent="0.3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4" t="s">
        <v>7</v>
      </c>
      <c r="I46" s="3" t="s">
        <v>64</v>
      </c>
      <c r="J46" s="3" t="s">
        <v>66</v>
      </c>
      <c r="K46" s="3" t="s">
        <v>67</v>
      </c>
      <c r="M46" s="3" t="s">
        <v>68</v>
      </c>
      <c r="N46" s="2">
        <f>AVERAGE(K47:K86)</f>
        <v>14.892694091147339</v>
      </c>
    </row>
    <row r="47" spans="1:14" x14ac:dyDescent="0.35">
      <c r="A47">
        <v>1</v>
      </c>
      <c r="B47">
        <v>2012</v>
      </c>
      <c r="C47">
        <v>1</v>
      </c>
      <c r="D47" t="s">
        <v>8</v>
      </c>
      <c r="E47" t="s">
        <v>9</v>
      </c>
      <c r="F47" t="s">
        <v>20</v>
      </c>
      <c r="G47" t="s">
        <v>34</v>
      </c>
      <c r="H47" s="2">
        <v>95.927601809954751</v>
      </c>
      <c r="I47" s="2">
        <f>$I$89+$I$90*A47</f>
        <v>93.38699440303337</v>
      </c>
      <c r="J47" s="2">
        <f>H47-I47</f>
        <v>2.5406074069213815</v>
      </c>
      <c r="K47" s="2">
        <f>J47*J47</f>
        <v>6.4546859961037866</v>
      </c>
    </row>
    <row r="48" spans="1:14" x14ac:dyDescent="0.35">
      <c r="A48">
        <v>2</v>
      </c>
      <c r="B48">
        <v>2012</v>
      </c>
      <c r="C48">
        <v>2</v>
      </c>
      <c r="D48" t="s">
        <v>8</v>
      </c>
      <c r="E48" t="s">
        <v>9</v>
      </c>
      <c r="F48" t="s">
        <v>20</v>
      </c>
      <c r="G48" t="s">
        <v>34</v>
      </c>
      <c r="H48" s="2">
        <v>96.832579185520359</v>
      </c>
      <c r="I48" s="2">
        <f t="shared" ref="I48:I86" si="0">$I$89+$I$90*A48</f>
        <v>93.289542143400482</v>
      </c>
      <c r="J48" s="2">
        <f t="shared" ref="J48:J86" si="1">H48-I48</f>
        <v>3.5430370421198774</v>
      </c>
      <c r="K48" s="2">
        <f t="shared" ref="K48:K86" si="2">J48*J48</f>
        <v>12.55311148183357</v>
      </c>
    </row>
    <row r="49" spans="1:11" x14ac:dyDescent="0.35">
      <c r="A49">
        <v>3</v>
      </c>
      <c r="B49">
        <v>2012</v>
      </c>
      <c r="C49">
        <v>3</v>
      </c>
      <c r="D49" t="s">
        <v>8</v>
      </c>
      <c r="E49" t="s">
        <v>9</v>
      </c>
      <c r="F49" t="s">
        <v>20</v>
      </c>
      <c r="G49" t="s">
        <v>34</v>
      </c>
      <c r="H49" s="2">
        <v>95.238095238095227</v>
      </c>
      <c r="I49" s="2">
        <f t="shared" si="0"/>
        <v>93.192089883767608</v>
      </c>
      <c r="J49" s="2">
        <f t="shared" si="1"/>
        <v>2.0460053543276189</v>
      </c>
      <c r="K49" s="2">
        <f t="shared" si="2"/>
        <v>4.1861379099372851</v>
      </c>
    </row>
    <row r="50" spans="1:11" x14ac:dyDescent="0.35">
      <c r="A50">
        <v>4</v>
      </c>
      <c r="B50">
        <v>2012</v>
      </c>
      <c r="C50">
        <v>4</v>
      </c>
      <c r="D50" t="s">
        <v>8</v>
      </c>
      <c r="E50" t="s">
        <v>9</v>
      </c>
      <c r="F50" t="s">
        <v>20</v>
      </c>
      <c r="G50" t="s">
        <v>34</v>
      </c>
      <c r="H50" s="2">
        <v>95.544554455445535</v>
      </c>
      <c r="I50" s="2">
        <f t="shared" si="0"/>
        <v>93.094637624134734</v>
      </c>
      <c r="J50" s="2">
        <f t="shared" si="1"/>
        <v>2.4499168313108015</v>
      </c>
      <c r="K50" s="2">
        <f t="shared" si="2"/>
        <v>6.0020924803399582</v>
      </c>
    </row>
    <row r="51" spans="1:11" x14ac:dyDescent="0.35">
      <c r="A51">
        <v>5</v>
      </c>
      <c r="B51">
        <v>2013</v>
      </c>
      <c r="C51">
        <v>1</v>
      </c>
      <c r="D51" t="s">
        <v>8</v>
      </c>
      <c r="E51" t="s">
        <v>9</v>
      </c>
      <c r="F51" t="s">
        <v>20</v>
      </c>
      <c r="G51" t="s">
        <v>34</v>
      </c>
      <c r="H51" s="2">
        <v>93.212669683257914</v>
      </c>
      <c r="I51" s="2">
        <f t="shared" si="0"/>
        <v>92.997185364501846</v>
      </c>
      <c r="J51" s="2">
        <f t="shared" si="1"/>
        <v>0.21548431875606866</v>
      </c>
      <c r="K51" s="2">
        <f t="shared" si="2"/>
        <v>4.6433491629767003E-2</v>
      </c>
    </row>
    <row r="52" spans="1:11" x14ac:dyDescent="0.35">
      <c r="A52">
        <v>6</v>
      </c>
      <c r="B52">
        <v>2013</v>
      </c>
      <c r="C52">
        <v>2</v>
      </c>
      <c r="D52" t="s">
        <v>8</v>
      </c>
      <c r="E52" t="s">
        <v>9</v>
      </c>
      <c r="F52" t="s">
        <v>20</v>
      </c>
      <c r="G52" t="s">
        <v>34</v>
      </c>
      <c r="H52" s="2">
        <v>94.468085106382986</v>
      </c>
      <c r="I52" s="2">
        <f t="shared" si="0"/>
        <v>92.899733104868972</v>
      </c>
      <c r="J52" s="2">
        <f t="shared" si="1"/>
        <v>1.5683520015140147</v>
      </c>
      <c r="K52" s="2">
        <f t="shared" si="2"/>
        <v>2.459728000653016</v>
      </c>
    </row>
    <row r="53" spans="1:11" x14ac:dyDescent="0.35">
      <c r="A53">
        <v>7</v>
      </c>
      <c r="B53">
        <v>2013</v>
      </c>
      <c r="C53">
        <v>3</v>
      </c>
      <c r="D53" t="s">
        <v>8</v>
      </c>
      <c r="E53" t="s">
        <v>9</v>
      </c>
      <c r="F53" t="s">
        <v>20</v>
      </c>
      <c r="G53" t="s">
        <v>34</v>
      </c>
      <c r="H53" s="2">
        <v>96</v>
      </c>
      <c r="I53" s="2">
        <f t="shared" si="0"/>
        <v>92.802280845236098</v>
      </c>
      <c r="J53" s="2">
        <f t="shared" si="1"/>
        <v>3.1977191547639023</v>
      </c>
      <c r="K53" s="2">
        <f t="shared" si="2"/>
        <v>10.225407792743965</v>
      </c>
    </row>
    <row r="54" spans="1:11" x14ac:dyDescent="0.35">
      <c r="A54">
        <v>8</v>
      </c>
      <c r="B54">
        <v>2013</v>
      </c>
      <c r="C54">
        <v>4</v>
      </c>
      <c r="D54" t="s">
        <v>8</v>
      </c>
      <c r="E54" t="s">
        <v>9</v>
      </c>
      <c r="F54" t="s">
        <v>20</v>
      </c>
      <c r="G54" t="s">
        <v>34</v>
      </c>
      <c r="H54" s="2">
        <v>90.366972477064223</v>
      </c>
      <c r="I54" s="2">
        <f t="shared" si="0"/>
        <v>92.704828585603209</v>
      </c>
      <c r="J54" s="2">
        <f t="shared" si="1"/>
        <v>-2.3378561085389862</v>
      </c>
      <c r="K54" s="2">
        <f t="shared" si="2"/>
        <v>5.4655711842330517</v>
      </c>
    </row>
    <row r="55" spans="1:11" x14ac:dyDescent="0.35">
      <c r="A55">
        <v>9</v>
      </c>
      <c r="B55">
        <v>2014</v>
      </c>
      <c r="C55">
        <v>1</v>
      </c>
      <c r="D55" t="s">
        <v>8</v>
      </c>
      <c r="E55" t="s">
        <v>9</v>
      </c>
      <c r="F55" t="s">
        <v>20</v>
      </c>
      <c r="G55" t="s">
        <v>34</v>
      </c>
      <c r="H55" s="2">
        <v>91.079812206572768</v>
      </c>
      <c r="I55" s="2">
        <f t="shared" si="0"/>
        <v>92.607376325970336</v>
      </c>
      <c r="J55" s="2">
        <f t="shared" si="1"/>
        <v>-1.5275641193975673</v>
      </c>
      <c r="K55" s="2">
        <f t="shared" si="2"/>
        <v>2.3334521388708653</v>
      </c>
    </row>
    <row r="56" spans="1:11" x14ac:dyDescent="0.35">
      <c r="A56">
        <v>10</v>
      </c>
      <c r="B56">
        <v>2014</v>
      </c>
      <c r="C56">
        <v>2</v>
      </c>
      <c r="D56" t="s">
        <v>8</v>
      </c>
      <c r="E56" t="s">
        <v>9</v>
      </c>
      <c r="F56" t="s">
        <v>20</v>
      </c>
      <c r="G56" t="s">
        <v>34</v>
      </c>
      <c r="H56" s="2">
        <v>94.805194805194802</v>
      </c>
      <c r="I56" s="2">
        <f t="shared" si="0"/>
        <v>92.509924066337462</v>
      </c>
      <c r="J56" s="2">
        <f t="shared" si="1"/>
        <v>2.2952707388573401</v>
      </c>
      <c r="K56" s="2">
        <f t="shared" si="2"/>
        <v>5.2682677646547198</v>
      </c>
    </row>
    <row r="57" spans="1:11" x14ac:dyDescent="0.35">
      <c r="A57">
        <v>11</v>
      </c>
      <c r="B57">
        <v>2014</v>
      </c>
      <c r="C57">
        <v>3</v>
      </c>
      <c r="D57" t="s">
        <v>8</v>
      </c>
      <c r="E57" t="s">
        <v>9</v>
      </c>
      <c r="F57" t="s">
        <v>20</v>
      </c>
      <c r="G57" t="s">
        <v>34</v>
      </c>
      <c r="H57" s="2">
        <v>97.787610619469021</v>
      </c>
      <c r="I57" s="2">
        <f t="shared" si="0"/>
        <v>92.412471806704573</v>
      </c>
      <c r="J57" s="2">
        <f t="shared" si="1"/>
        <v>5.3751388127644475</v>
      </c>
      <c r="K57" s="2">
        <f t="shared" si="2"/>
        <v>28.892117256486795</v>
      </c>
    </row>
    <row r="58" spans="1:11" x14ac:dyDescent="0.35">
      <c r="A58">
        <v>12</v>
      </c>
      <c r="B58">
        <v>2014</v>
      </c>
      <c r="C58">
        <v>4</v>
      </c>
      <c r="D58" t="s">
        <v>8</v>
      </c>
      <c r="E58" t="s">
        <v>9</v>
      </c>
      <c r="F58" t="s">
        <v>20</v>
      </c>
      <c r="G58" t="s">
        <v>34</v>
      </c>
      <c r="H58" s="2">
        <v>96.943231441048042</v>
      </c>
      <c r="I58" s="2">
        <f t="shared" si="0"/>
        <v>92.315019547071699</v>
      </c>
      <c r="J58" s="2">
        <f t="shared" si="1"/>
        <v>4.6282118939763421</v>
      </c>
      <c r="K58" s="2">
        <f t="shared" si="2"/>
        <v>21.420345335544081</v>
      </c>
    </row>
    <row r="59" spans="1:11" x14ac:dyDescent="0.35">
      <c r="A59">
        <v>13</v>
      </c>
      <c r="B59">
        <v>2015</v>
      </c>
      <c r="C59">
        <v>1</v>
      </c>
      <c r="D59" t="s">
        <v>8</v>
      </c>
      <c r="E59" t="s">
        <v>9</v>
      </c>
      <c r="F59" t="s">
        <v>20</v>
      </c>
      <c r="G59" t="s">
        <v>34</v>
      </c>
      <c r="H59" s="2">
        <v>91.709844559585491</v>
      </c>
      <c r="I59" s="2">
        <f t="shared" si="0"/>
        <v>92.217567287438811</v>
      </c>
      <c r="J59" s="2">
        <f t="shared" si="1"/>
        <v>-0.50772272785332007</v>
      </c>
      <c r="K59" s="2">
        <f t="shared" si="2"/>
        <v>0.25778236837881652</v>
      </c>
    </row>
    <row r="60" spans="1:11" x14ac:dyDescent="0.35">
      <c r="A60">
        <v>14</v>
      </c>
      <c r="B60">
        <v>2015</v>
      </c>
      <c r="C60">
        <v>2</v>
      </c>
      <c r="D60" t="s">
        <v>8</v>
      </c>
      <c r="E60" t="s">
        <v>9</v>
      </c>
      <c r="F60" t="s">
        <v>20</v>
      </c>
      <c r="G60" t="s">
        <v>34</v>
      </c>
      <c r="H60" s="2">
        <v>92.672413793103445</v>
      </c>
      <c r="I60" s="2">
        <f t="shared" si="0"/>
        <v>92.120115027805937</v>
      </c>
      <c r="J60" s="2">
        <f t="shared" si="1"/>
        <v>0.55229876529750754</v>
      </c>
      <c r="K60" s="2">
        <f t="shared" si="2"/>
        <v>0.30503392614915131</v>
      </c>
    </row>
    <row r="61" spans="1:11" x14ac:dyDescent="0.35">
      <c r="A61">
        <v>15</v>
      </c>
      <c r="B61">
        <v>2015</v>
      </c>
      <c r="C61">
        <v>3</v>
      </c>
      <c r="D61" t="s">
        <v>8</v>
      </c>
      <c r="E61" t="s">
        <v>9</v>
      </c>
      <c r="F61" t="s">
        <v>20</v>
      </c>
      <c r="G61" t="s">
        <v>34</v>
      </c>
      <c r="H61" s="2">
        <v>86.142322097378283</v>
      </c>
      <c r="I61" s="2">
        <f t="shared" si="0"/>
        <v>92.022662768173063</v>
      </c>
      <c r="J61" s="2">
        <f t="shared" si="1"/>
        <v>-5.8803406707947801</v>
      </c>
      <c r="K61" s="2">
        <f t="shared" si="2"/>
        <v>34.578406404603207</v>
      </c>
    </row>
    <row r="62" spans="1:11" x14ac:dyDescent="0.35">
      <c r="A62">
        <v>16</v>
      </c>
      <c r="B62">
        <v>2015</v>
      </c>
      <c r="C62">
        <v>4</v>
      </c>
      <c r="D62" t="s">
        <v>8</v>
      </c>
      <c r="E62" t="s">
        <v>9</v>
      </c>
      <c r="F62" t="s">
        <v>20</v>
      </c>
      <c r="G62" t="s">
        <v>34</v>
      </c>
      <c r="H62" s="2">
        <v>88.659793814432987</v>
      </c>
      <c r="I62" s="2">
        <f t="shared" si="0"/>
        <v>91.925210508540175</v>
      </c>
      <c r="J62" s="2">
        <f t="shared" si="1"/>
        <v>-3.2654166941071878</v>
      </c>
      <c r="K62" s="2">
        <f t="shared" si="2"/>
        <v>10.662946186153915</v>
      </c>
    </row>
    <row r="63" spans="1:11" x14ac:dyDescent="0.35">
      <c r="A63">
        <v>17</v>
      </c>
      <c r="B63">
        <v>2016</v>
      </c>
      <c r="C63">
        <v>1</v>
      </c>
      <c r="D63" t="s">
        <v>8</v>
      </c>
      <c r="E63" t="s">
        <v>9</v>
      </c>
      <c r="F63" t="s">
        <v>20</v>
      </c>
      <c r="G63" t="s">
        <v>34</v>
      </c>
      <c r="H63" s="2">
        <v>92.410714285714292</v>
      </c>
      <c r="I63" s="2">
        <f t="shared" si="0"/>
        <v>91.827758248907301</v>
      </c>
      <c r="J63" s="2">
        <f t="shared" si="1"/>
        <v>0.5829560368069906</v>
      </c>
      <c r="K63" s="2">
        <f t="shared" si="2"/>
        <v>0.33983774084971335</v>
      </c>
    </row>
    <row r="64" spans="1:11" x14ac:dyDescent="0.35">
      <c r="A64">
        <v>18</v>
      </c>
      <c r="B64">
        <v>2016</v>
      </c>
      <c r="C64">
        <v>2</v>
      </c>
      <c r="D64" t="s">
        <v>8</v>
      </c>
      <c r="E64" t="s">
        <v>9</v>
      </c>
      <c r="F64" t="s">
        <v>20</v>
      </c>
      <c r="G64" t="s">
        <v>34</v>
      </c>
      <c r="H64" s="2">
        <v>89.610389610389603</v>
      </c>
      <c r="I64" s="2">
        <f t="shared" si="0"/>
        <v>91.730305989274427</v>
      </c>
      <c r="J64" s="2">
        <f t="shared" si="1"/>
        <v>-2.1199163788848239</v>
      </c>
      <c r="K64" s="2">
        <f t="shared" si="2"/>
        <v>4.4940454534641443</v>
      </c>
    </row>
    <row r="65" spans="1:11" x14ac:dyDescent="0.35">
      <c r="A65">
        <v>19</v>
      </c>
      <c r="B65">
        <v>2016</v>
      </c>
      <c r="C65">
        <v>3</v>
      </c>
      <c r="D65" t="s">
        <v>8</v>
      </c>
      <c r="E65" t="s">
        <v>9</v>
      </c>
      <c r="F65" t="s">
        <v>20</v>
      </c>
      <c r="G65" t="s">
        <v>34</v>
      </c>
      <c r="H65" s="2">
        <v>82.969432314410483</v>
      </c>
      <c r="I65" s="2">
        <f t="shared" si="0"/>
        <v>91.632853729641539</v>
      </c>
      <c r="J65" s="2">
        <f t="shared" si="1"/>
        <v>-8.6634214152310562</v>
      </c>
      <c r="K65" s="2">
        <f t="shared" si="2"/>
        <v>75.054870617884077</v>
      </c>
    </row>
    <row r="66" spans="1:11" x14ac:dyDescent="0.35">
      <c r="A66">
        <v>20</v>
      </c>
      <c r="B66">
        <v>2016</v>
      </c>
      <c r="C66">
        <v>4</v>
      </c>
      <c r="D66" t="s">
        <v>8</v>
      </c>
      <c r="E66" t="s">
        <v>9</v>
      </c>
      <c r="F66" t="s">
        <v>20</v>
      </c>
      <c r="G66" t="s">
        <v>34</v>
      </c>
      <c r="H66" s="2">
        <v>87.169811320754718</v>
      </c>
      <c r="I66" s="2">
        <f t="shared" si="0"/>
        <v>91.535401470008665</v>
      </c>
      <c r="J66" s="2">
        <f t="shared" si="1"/>
        <v>-4.3655901492539471</v>
      </c>
      <c r="K66" s="2">
        <f t="shared" si="2"/>
        <v>19.058377351263101</v>
      </c>
    </row>
    <row r="67" spans="1:11" x14ac:dyDescent="0.35">
      <c r="A67">
        <v>21</v>
      </c>
      <c r="B67">
        <v>2017</v>
      </c>
      <c r="C67">
        <v>1</v>
      </c>
      <c r="D67" t="s">
        <v>8</v>
      </c>
      <c r="E67" t="s">
        <v>9</v>
      </c>
      <c r="F67" t="s">
        <v>20</v>
      </c>
      <c r="G67" t="s">
        <v>34</v>
      </c>
      <c r="H67" s="2">
        <v>89.88326848249028</v>
      </c>
      <c r="I67" s="2">
        <f t="shared" si="0"/>
        <v>91.437949210375791</v>
      </c>
      <c r="J67" s="2">
        <f t="shared" si="1"/>
        <v>-1.5546807278855113</v>
      </c>
      <c r="K67" s="2">
        <f t="shared" si="2"/>
        <v>2.4170321656586231</v>
      </c>
    </row>
    <row r="68" spans="1:11" x14ac:dyDescent="0.35">
      <c r="A68">
        <v>22</v>
      </c>
      <c r="B68">
        <v>2017</v>
      </c>
      <c r="C68">
        <v>2</v>
      </c>
      <c r="D68" t="s">
        <v>8</v>
      </c>
      <c r="E68" t="s">
        <v>9</v>
      </c>
      <c r="F68" t="s">
        <v>20</v>
      </c>
      <c r="G68" t="s">
        <v>34</v>
      </c>
      <c r="H68" s="2">
        <v>90.34749034749035</v>
      </c>
      <c r="I68" s="2">
        <f t="shared" si="0"/>
        <v>91.340496950742903</v>
      </c>
      <c r="J68" s="2">
        <f t="shared" si="1"/>
        <v>-0.99300660325255308</v>
      </c>
      <c r="K68" s="2">
        <f t="shared" si="2"/>
        <v>0.98606211410317335</v>
      </c>
    </row>
    <row r="69" spans="1:11" x14ac:dyDescent="0.35">
      <c r="A69">
        <v>23</v>
      </c>
      <c r="B69">
        <v>2017</v>
      </c>
      <c r="C69">
        <v>3</v>
      </c>
      <c r="D69" t="s">
        <v>8</v>
      </c>
      <c r="E69" t="s">
        <v>9</v>
      </c>
      <c r="F69" t="s">
        <v>20</v>
      </c>
      <c r="G69" t="s">
        <v>34</v>
      </c>
      <c r="H69" s="2">
        <v>89.642857142857153</v>
      </c>
      <c r="I69" s="2">
        <f t="shared" si="0"/>
        <v>91.243044691110029</v>
      </c>
      <c r="J69" s="2">
        <f t="shared" si="1"/>
        <v>-1.600187548252876</v>
      </c>
      <c r="K69" s="2">
        <f t="shared" si="2"/>
        <v>2.5606001895835502</v>
      </c>
    </row>
    <row r="70" spans="1:11" x14ac:dyDescent="0.35">
      <c r="A70">
        <v>24</v>
      </c>
      <c r="B70">
        <v>2017</v>
      </c>
      <c r="C70">
        <v>4</v>
      </c>
      <c r="D70" t="s">
        <v>8</v>
      </c>
      <c r="E70" t="s">
        <v>9</v>
      </c>
      <c r="F70" t="s">
        <v>20</v>
      </c>
      <c r="G70" t="s">
        <v>34</v>
      </c>
      <c r="H70" s="2">
        <v>89.400921658986178</v>
      </c>
      <c r="I70" s="2">
        <f t="shared" si="0"/>
        <v>91.145592431477155</v>
      </c>
      <c r="J70" s="2">
        <f t="shared" si="1"/>
        <v>-1.7446707724909771</v>
      </c>
      <c r="K70" s="2">
        <f t="shared" si="2"/>
        <v>3.043876104384263</v>
      </c>
    </row>
    <row r="71" spans="1:11" x14ac:dyDescent="0.35">
      <c r="A71">
        <v>25</v>
      </c>
      <c r="B71">
        <v>2018</v>
      </c>
      <c r="C71">
        <v>1</v>
      </c>
      <c r="D71" t="s">
        <v>8</v>
      </c>
      <c r="E71" t="s">
        <v>9</v>
      </c>
      <c r="F71" t="s">
        <v>20</v>
      </c>
      <c r="G71" t="s">
        <v>34</v>
      </c>
      <c r="H71" s="2">
        <v>86.419753086419746</v>
      </c>
      <c r="I71" s="2">
        <f t="shared" si="0"/>
        <v>91.048140171844267</v>
      </c>
      <c r="J71" s="2">
        <f t="shared" si="1"/>
        <v>-4.6283870854245208</v>
      </c>
      <c r="K71" s="2">
        <f t="shared" si="2"/>
        <v>21.42196701252449</v>
      </c>
    </row>
    <row r="72" spans="1:11" x14ac:dyDescent="0.35">
      <c r="A72">
        <v>26</v>
      </c>
      <c r="B72">
        <v>2018</v>
      </c>
      <c r="C72">
        <v>2</v>
      </c>
      <c r="D72" t="s">
        <v>8</v>
      </c>
      <c r="E72" t="s">
        <v>9</v>
      </c>
      <c r="F72" t="s">
        <v>20</v>
      </c>
      <c r="G72" t="s">
        <v>34</v>
      </c>
      <c r="H72" s="2">
        <v>87.931034482758619</v>
      </c>
      <c r="I72" s="2">
        <f t="shared" si="0"/>
        <v>90.950687912211393</v>
      </c>
      <c r="J72" s="2">
        <f t="shared" si="1"/>
        <v>-3.0196534294527737</v>
      </c>
      <c r="K72" s="2">
        <f t="shared" si="2"/>
        <v>9.1183068340058977</v>
      </c>
    </row>
    <row r="73" spans="1:11" x14ac:dyDescent="0.35">
      <c r="A73">
        <v>27</v>
      </c>
      <c r="B73">
        <v>2018</v>
      </c>
      <c r="C73">
        <v>3</v>
      </c>
      <c r="D73" t="s">
        <v>8</v>
      </c>
      <c r="E73" t="s">
        <v>9</v>
      </c>
      <c r="F73" t="s">
        <v>20</v>
      </c>
      <c r="G73" t="s">
        <v>34</v>
      </c>
      <c r="H73" s="2">
        <v>83.467741935483872</v>
      </c>
      <c r="I73" s="2">
        <f t="shared" si="0"/>
        <v>90.853235652578519</v>
      </c>
      <c r="J73" s="2">
        <f t="shared" si="1"/>
        <v>-7.3854937170946471</v>
      </c>
      <c r="K73" s="2">
        <f t="shared" si="2"/>
        <v>54.545517445244506</v>
      </c>
    </row>
    <row r="74" spans="1:11" x14ac:dyDescent="0.35">
      <c r="A74">
        <v>28</v>
      </c>
      <c r="B74">
        <v>2018</v>
      </c>
      <c r="C74">
        <v>4</v>
      </c>
      <c r="D74" t="s">
        <v>8</v>
      </c>
      <c r="E74" t="s">
        <v>9</v>
      </c>
      <c r="F74" t="s">
        <v>20</v>
      </c>
      <c r="G74" t="s">
        <v>34</v>
      </c>
      <c r="H74" s="2">
        <v>82.926829268292678</v>
      </c>
      <c r="I74" s="2">
        <f t="shared" si="0"/>
        <v>90.755783392945631</v>
      </c>
      <c r="J74" s="2">
        <f t="shared" si="1"/>
        <v>-7.8289541246529524</v>
      </c>
      <c r="K74" s="2">
        <f t="shared" si="2"/>
        <v>61.292522685920474</v>
      </c>
    </row>
    <row r="75" spans="1:11" x14ac:dyDescent="0.35">
      <c r="A75">
        <v>29</v>
      </c>
      <c r="B75">
        <v>2019</v>
      </c>
      <c r="C75">
        <v>1</v>
      </c>
      <c r="D75" t="s">
        <v>8</v>
      </c>
      <c r="E75" t="s">
        <v>9</v>
      </c>
      <c r="F75" t="s">
        <v>20</v>
      </c>
      <c r="G75" t="s">
        <v>34</v>
      </c>
      <c r="H75" s="2">
        <v>88.60759493670885</v>
      </c>
      <c r="I75" s="2">
        <f t="shared" si="0"/>
        <v>90.658331133312757</v>
      </c>
      <c r="J75" s="2">
        <f t="shared" si="1"/>
        <v>-2.050736196603907</v>
      </c>
      <c r="K75" s="2">
        <f t="shared" si="2"/>
        <v>4.2055189480614583</v>
      </c>
    </row>
    <row r="76" spans="1:11" x14ac:dyDescent="0.35">
      <c r="A76">
        <v>30</v>
      </c>
      <c r="B76">
        <v>2019</v>
      </c>
      <c r="C76">
        <v>2</v>
      </c>
      <c r="D76" t="s">
        <v>8</v>
      </c>
      <c r="E76" t="s">
        <v>9</v>
      </c>
      <c r="F76" t="s">
        <v>20</v>
      </c>
      <c r="G76" t="s">
        <v>34</v>
      </c>
      <c r="H76" s="2">
        <v>89.523809523809533</v>
      </c>
      <c r="I76" s="2">
        <f t="shared" si="0"/>
        <v>90.560878873679883</v>
      </c>
      <c r="J76" s="2">
        <f t="shared" si="1"/>
        <v>-1.0370693498703503</v>
      </c>
      <c r="K76" s="2">
        <f t="shared" si="2"/>
        <v>1.0755128364405109</v>
      </c>
    </row>
    <row r="77" spans="1:11" x14ac:dyDescent="0.35">
      <c r="A77">
        <v>31</v>
      </c>
      <c r="B77">
        <v>2019</v>
      </c>
      <c r="C77">
        <v>3</v>
      </c>
      <c r="D77" t="s">
        <v>8</v>
      </c>
      <c r="E77" t="s">
        <v>9</v>
      </c>
      <c r="F77" t="s">
        <v>20</v>
      </c>
      <c r="G77" t="s">
        <v>34</v>
      </c>
      <c r="H77" s="2">
        <v>95.238095238095227</v>
      </c>
      <c r="I77" s="2">
        <f t="shared" si="0"/>
        <v>90.463426614046995</v>
      </c>
      <c r="J77" s="2">
        <f t="shared" si="1"/>
        <v>4.7746686240482319</v>
      </c>
      <c r="K77" s="2">
        <f t="shared" si="2"/>
        <v>22.797460469470636</v>
      </c>
    </row>
    <row r="78" spans="1:11" x14ac:dyDescent="0.35">
      <c r="A78">
        <v>32</v>
      </c>
      <c r="B78">
        <v>2019</v>
      </c>
      <c r="C78">
        <v>4</v>
      </c>
      <c r="D78" t="s">
        <v>8</v>
      </c>
      <c r="E78" t="s">
        <v>9</v>
      </c>
      <c r="F78" t="s">
        <v>20</v>
      </c>
      <c r="G78" t="s">
        <v>34</v>
      </c>
      <c r="H78" s="2">
        <v>94.930875576036868</v>
      </c>
      <c r="I78" s="2">
        <f t="shared" si="0"/>
        <v>90.365974354414121</v>
      </c>
      <c r="J78" s="2">
        <f t="shared" si="1"/>
        <v>4.5649012216227476</v>
      </c>
      <c r="K78" s="2">
        <f t="shared" si="2"/>
        <v>20.838323163172852</v>
      </c>
    </row>
    <row r="79" spans="1:11" x14ac:dyDescent="0.35">
      <c r="A79">
        <v>33</v>
      </c>
      <c r="B79">
        <v>2020</v>
      </c>
      <c r="C79">
        <v>1</v>
      </c>
      <c r="D79" t="s">
        <v>8</v>
      </c>
      <c r="E79" t="s">
        <v>9</v>
      </c>
      <c r="F79" t="s">
        <v>20</v>
      </c>
      <c r="G79" t="s">
        <v>34</v>
      </c>
      <c r="H79" s="2">
        <v>91.904761904761898</v>
      </c>
      <c r="I79" s="2">
        <f t="shared" si="0"/>
        <v>90.268522094781247</v>
      </c>
      <c r="J79" s="2">
        <f t="shared" si="1"/>
        <v>1.6362398099806512</v>
      </c>
      <c r="K79" s="2">
        <f t="shared" si="2"/>
        <v>2.6772807157655176</v>
      </c>
    </row>
    <row r="80" spans="1:11" x14ac:dyDescent="0.35">
      <c r="A80">
        <v>34</v>
      </c>
      <c r="B80">
        <v>2020</v>
      </c>
      <c r="C80">
        <v>2</v>
      </c>
      <c r="D80" t="s">
        <v>8</v>
      </c>
      <c r="E80" t="s">
        <v>9</v>
      </c>
      <c r="F80" t="s">
        <v>20</v>
      </c>
      <c r="G80" t="s">
        <v>34</v>
      </c>
      <c r="H80" s="2">
        <v>89.142857142857139</v>
      </c>
      <c r="I80" s="2">
        <f t="shared" si="0"/>
        <v>90.171069835148359</v>
      </c>
      <c r="J80" s="2">
        <f t="shared" si="1"/>
        <v>-1.0282126922912198</v>
      </c>
      <c r="K80" s="2">
        <f t="shared" si="2"/>
        <v>1.0572213405887587</v>
      </c>
    </row>
    <row r="81" spans="1:18" x14ac:dyDescent="0.35">
      <c r="A81">
        <v>35</v>
      </c>
      <c r="B81">
        <v>2020</v>
      </c>
      <c r="C81">
        <v>3</v>
      </c>
      <c r="D81" t="s">
        <v>8</v>
      </c>
      <c r="E81" t="s">
        <v>9</v>
      </c>
      <c r="F81" t="s">
        <v>20</v>
      </c>
      <c r="G81" t="s">
        <v>34</v>
      </c>
      <c r="H81" s="2">
        <v>97.252747252747255</v>
      </c>
      <c r="I81" s="2">
        <f t="shared" si="0"/>
        <v>90.073617575515485</v>
      </c>
      <c r="J81" s="2">
        <f t="shared" si="1"/>
        <v>7.1791296772317708</v>
      </c>
      <c r="K81" s="2">
        <f t="shared" si="2"/>
        <v>51.539902922509945</v>
      </c>
    </row>
    <row r="82" spans="1:18" x14ac:dyDescent="0.35">
      <c r="A82">
        <v>36</v>
      </c>
      <c r="B82">
        <v>2020</v>
      </c>
      <c r="C82">
        <v>4</v>
      </c>
      <c r="D82" t="s">
        <v>8</v>
      </c>
      <c r="E82" t="s">
        <v>9</v>
      </c>
      <c r="F82" t="s">
        <v>20</v>
      </c>
      <c r="G82" t="s">
        <v>34</v>
      </c>
      <c r="H82" s="2">
        <v>97.560975609756099</v>
      </c>
      <c r="I82" s="2">
        <f t="shared" si="0"/>
        <v>89.976165315882611</v>
      </c>
      <c r="J82" s="2">
        <f t="shared" si="1"/>
        <v>7.5848102938734883</v>
      </c>
      <c r="K82" s="2">
        <f t="shared" si="2"/>
        <v>57.52934719404923</v>
      </c>
    </row>
    <row r="83" spans="1:18" x14ac:dyDescent="0.35">
      <c r="A83">
        <v>37</v>
      </c>
      <c r="B83">
        <v>2021</v>
      </c>
      <c r="C83">
        <v>1</v>
      </c>
      <c r="D83" t="s">
        <v>8</v>
      </c>
      <c r="E83" t="s">
        <v>9</v>
      </c>
      <c r="F83" t="s">
        <v>20</v>
      </c>
      <c r="G83" t="s">
        <v>34</v>
      </c>
      <c r="H83" s="2">
        <v>93.782383419689126</v>
      </c>
      <c r="I83" s="2">
        <f t="shared" si="0"/>
        <v>89.878713056249723</v>
      </c>
      <c r="J83" s="2">
        <f t="shared" si="1"/>
        <v>3.903670363439403</v>
      </c>
      <c r="K83" s="2">
        <f t="shared" si="2"/>
        <v>15.238642306395121</v>
      </c>
    </row>
    <row r="84" spans="1:18" x14ac:dyDescent="0.35">
      <c r="A84">
        <v>38</v>
      </c>
      <c r="B84">
        <v>2021</v>
      </c>
      <c r="C84">
        <v>2</v>
      </c>
      <c r="D84" t="s">
        <v>8</v>
      </c>
      <c r="E84" t="s">
        <v>9</v>
      </c>
      <c r="F84" t="s">
        <v>20</v>
      </c>
      <c r="G84" t="s">
        <v>34</v>
      </c>
      <c r="H84" s="2">
        <v>90.909090909090907</v>
      </c>
      <c r="I84" s="2">
        <f t="shared" si="0"/>
        <v>89.781260796616849</v>
      </c>
      <c r="J84" s="2">
        <f t="shared" si="1"/>
        <v>1.127830112474058</v>
      </c>
      <c r="K84" s="2">
        <f t="shared" si="2"/>
        <v>1.2720007626032461</v>
      </c>
    </row>
    <row r="85" spans="1:18" x14ac:dyDescent="0.35">
      <c r="A85">
        <v>39</v>
      </c>
      <c r="B85">
        <v>2021</v>
      </c>
      <c r="C85">
        <v>3</v>
      </c>
      <c r="D85" t="s">
        <v>8</v>
      </c>
      <c r="E85" t="s">
        <v>9</v>
      </c>
      <c r="F85" t="s">
        <v>20</v>
      </c>
      <c r="G85" t="s">
        <v>34</v>
      </c>
      <c r="H85" s="2">
        <v>92.857142857142861</v>
      </c>
      <c r="I85" s="2">
        <f t="shared" si="0"/>
        <v>89.68380853698396</v>
      </c>
      <c r="J85" s="2">
        <f t="shared" si="1"/>
        <v>3.1733343201589008</v>
      </c>
      <c r="K85" s="2">
        <f t="shared" si="2"/>
        <v>10.070050707498353</v>
      </c>
    </row>
    <row r="86" spans="1:18" x14ac:dyDescent="0.35">
      <c r="A86">
        <v>40</v>
      </c>
      <c r="B86">
        <v>2021</v>
      </c>
      <c r="C86">
        <v>4</v>
      </c>
      <c r="D86" t="s">
        <v>8</v>
      </c>
      <c r="E86" t="s">
        <v>9</v>
      </c>
      <c r="F86" t="s">
        <v>20</v>
      </c>
      <c r="G86" t="s">
        <v>34</v>
      </c>
      <c r="H86" s="2">
        <v>88.185654008438817</v>
      </c>
      <c r="I86" s="2">
        <f t="shared" si="0"/>
        <v>89.586356277351086</v>
      </c>
      <c r="J86" s="2">
        <f t="shared" si="1"/>
        <v>-1.4007022689122692</v>
      </c>
      <c r="K86" s="2">
        <f t="shared" si="2"/>
        <v>1.9619668461359789</v>
      </c>
    </row>
    <row r="87" spans="1:18" ht="15" thickBot="1" x14ac:dyDescent="0.4"/>
    <row r="88" spans="1:18" x14ac:dyDescent="0.35">
      <c r="H88" s="6"/>
      <c r="I88" s="6" t="s">
        <v>57</v>
      </c>
    </row>
    <row r="89" spans="1:18" x14ac:dyDescent="0.35">
      <c r="H89" t="s">
        <v>51</v>
      </c>
      <c r="I89">
        <v>93.484446662666244</v>
      </c>
    </row>
    <row r="90" spans="1:18" ht="15" thickBot="1" x14ac:dyDescent="0.4">
      <c r="H90" s="5" t="s">
        <v>0</v>
      </c>
      <c r="I90" s="5">
        <v>-9.7452259632878901E-2</v>
      </c>
    </row>
    <row r="92" spans="1:18" x14ac:dyDescent="0.35">
      <c r="A92" t="s">
        <v>69</v>
      </c>
    </row>
    <row r="93" spans="1:18" x14ac:dyDescent="0.35">
      <c r="A93" s="3" t="s">
        <v>0</v>
      </c>
      <c r="B93" s="3" t="s">
        <v>1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  <c r="H93" s="3" t="s">
        <v>0</v>
      </c>
      <c r="I93" s="3" t="s">
        <v>70</v>
      </c>
      <c r="J93" s="3" t="s">
        <v>71</v>
      </c>
      <c r="K93" s="3" t="s">
        <v>72</v>
      </c>
      <c r="L93" s="4" t="s">
        <v>7</v>
      </c>
      <c r="M93" s="3" t="s">
        <v>64</v>
      </c>
      <c r="N93" s="3" t="s">
        <v>66</v>
      </c>
      <c r="O93" s="3" t="s">
        <v>67</v>
      </c>
      <c r="Q93" s="3" t="s">
        <v>68</v>
      </c>
      <c r="R93" s="2">
        <f>AVERAGE(O94:O133)</f>
        <v>14.866248451892682</v>
      </c>
    </row>
    <row r="94" spans="1:18" x14ac:dyDescent="0.35">
      <c r="A94">
        <v>1</v>
      </c>
      <c r="B94">
        <v>2012</v>
      </c>
      <c r="C94">
        <v>1</v>
      </c>
      <c r="D94" t="s">
        <v>8</v>
      </c>
      <c r="E94" t="s">
        <v>9</v>
      </c>
      <c r="F94" t="s">
        <v>20</v>
      </c>
      <c r="G94" t="s">
        <v>34</v>
      </c>
      <c r="H94">
        <v>1</v>
      </c>
      <c r="I94">
        <v>1</v>
      </c>
      <c r="J94">
        <v>0</v>
      </c>
      <c r="K94">
        <v>0</v>
      </c>
      <c r="L94" s="2">
        <v>95.927601809954751</v>
      </c>
      <c r="M94" s="2">
        <f t="shared" ref="M94:M133" si="3">$I$140+$I$141*H94+$I$142*I94+$I$143*J94+$I$144*K94</f>
        <v>93.248581062357914</v>
      </c>
      <c r="N94" s="2">
        <f>L94-M94</f>
        <v>2.6790207475968373</v>
      </c>
      <c r="O94" s="2">
        <f>N94*N94</f>
        <v>7.1771521660543165</v>
      </c>
    </row>
    <row r="95" spans="1:18" x14ac:dyDescent="0.35">
      <c r="A95">
        <v>2</v>
      </c>
      <c r="B95">
        <v>2012</v>
      </c>
      <c r="C95">
        <v>2</v>
      </c>
      <c r="D95" t="s">
        <v>8</v>
      </c>
      <c r="E95" t="s">
        <v>9</v>
      </c>
      <c r="F95" t="s">
        <v>20</v>
      </c>
      <c r="G95" t="s">
        <v>34</v>
      </c>
      <c r="H95">
        <v>2</v>
      </c>
      <c r="I95">
        <v>0</v>
      </c>
      <c r="J95">
        <v>1</v>
      </c>
      <c r="K95">
        <v>0</v>
      </c>
      <c r="L95" s="2">
        <v>96.832579185520359</v>
      </c>
      <c r="M95" s="2">
        <f t="shared" si="3"/>
        <v>93.379035115502177</v>
      </c>
      <c r="N95" s="2">
        <f t="shared" ref="N95:N133" si="4">L95-M95</f>
        <v>3.4535440700181823</v>
      </c>
      <c r="O95" s="2">
        <f t="shared" ref="O95:O133" si="5">N95*N95</f>
        <v>11.926966643557751</v>
      </c>
    </row>
    <row r="96" spans="1:18" x14ac:dyDescent="0.35">
      <c r="A96">
        <v>3</v>
      </c>
      <c r="B96">
        <v>2012</v>
      </c>
      <c r="C96">
        <v>3</v>
      </c>
      <c r="D96" t="s">
        <v>8</v>
      </c>
      <c r="E96" t="s">
        <v>9</v>
      </c>
      <c r="F96" t="s">
        <v>20</v>
      </c>
      <c r="G96" t="s">
        <v>34</v>
      </c>
      <c r="H96">
        <v>3</v>
      </c>
      <c r="I96">
        <v>0</v>
      </c>
      <c r="J96">
        <v>0</v>
      </c>
      <c r="K96">
        <v>1</v>
      </c>
      <c r="L96" s="2">
        <v>95.238095238095227</v>
      </c>
      <c r="M96" s="2">
        <f t="shared" si="3"/>
        <v>93.414345094410336</v>
      </c>
      <c r="N96" s="2">
        <f t="shared" si="4"/>
        <v>1.8237501436848902</v>
      </c>
      <c r="O96" s="2">
        <f t="shared" si="5"/>
        <v>3.3260645865906575</v>
      </c>
    </row>
    <row r="97" spans="1:15" x14ac:dyDescent="0.35">
      <c r="A97">
        <v>4</v>
      </c>
      <c r="B97">
        <v>2012</v>
      </c>
      <c r="C97">
        <v>4</v>
      </c>
      <c r="D97" t="s">
        <v>8</v>
      </c>
      <c r="E97" t="s">
        <v>9</v>
      </c>
      <c r="F97" t="s">
        <v>20</v>
      </c>
      <c r="G97" t="s">
        <v>34</v>
      </c>
      <c r="H97">
        <v>4</v>
      </c>
      <c r="I97">
        <v>0</v>
      </c>
      <c r="J97">
        <v>0</v>
      </c>
      <c r="K97">
        <v>0</v>
      </c>
      <c r="L97" s="2">
        <v>95.544554455445535</v>
      </c>
      <c r="M97" s="2">
        <f t="shared" si="3"/>
        <v>92.923702587868007</v>
      </c>
      <c r="N97" s="2">
        <f t="shared" si="4"/>
        <v>2.6208518675775281</v>
      </c>
      <c r="O97" s="2">
        <f t="shared" si="5"/>
        <v>6.8688645117846168</v>
      </c>
    </row>
    <row r="98" spans="1:15" x14ac:dyDescent="0.35">
      <c r="A98">
        <v>5</v>
      </c>
      <c r="B98">
        <v>2013</v>
      </c>
      <c r="C98">
        <v>1</v>
      </c>
      <c r="D98" t="s">
        <v>8</v>
      </c>
      <c r="E98" t="s">
        <v>9</v>
      </c>
      <c r="F98" t="s">
        <v>20</v>
      </c>
      <c r="G98" t="s">
        <v>34</v>
      </c>
      <c r="H98">
        <v>5</v>
      </c>
      <c r="I98">
        <v>1</v>
      </c>
      <c r="J98">
        <v>0</v>
      </c>
      <c r="K98">
        <v>0</v>
      </c>
      <c r="L98" s="2">
        <v>93.212669683257914</v>
      </c>
      <c r="M98" s="2">
        <f t="shared" si="3"/>
        <v>92.858638701281819</v>
      </c>
      <c r="N98" s="2">
        <f t="shared" si="4"/>
        <v>0.35403098197609495</v>
      </c>
      <c r="O98" s="2">
        <f t="shared" si="5"/>
        <v>0.12533793619895806</v>
      </c>
    </row>
    <row r="99" spans="1:15" x14ac:dyDescent="0.35">
      <c r="A99">
        <v>6</v>
      </c>
      <c r="B99">
        <v>2013</v>
      </c>
      <c r="C99">
        <v>2</v>
      </c>
      <c r="D99" t="s">
        <v>8</v>
      </c>
      <c r="E99" t="s">
        <v>9</v>
      </c>
      <c r="F99" t="s">
        <v>20</v>
      </c>
      <c r="G99" t="s">
        <v>34</v>
      </c>
      <c r="H99">
        <v>6</v>
      </c>
      <c r="I99">
        <v>0</v>
      </c>
      <c r="J99">
        <v>1</v>
      </c>
      <c r="K99">
        <v>0</v>
      </c>
      <c r="L99" s="2">
        <v>94.468085106382986</v>
      </c>
      <c r="M99" s="2">
        <f t="shared" si="3"/>
        <v>92.989092754426096</v>
      </c>
      <c r="N99" s="2">
        <f t="shared" si="4"/>
        <v>1.4789923519568902</v>
      </c>
      <c r="O99" s="2">
        <f t="shared" si="5"/>
        <v>2.1874183771469737</v>
      </c>
    </row>
    <row r="100" spans="1:15" x14ac:dyDescent="0.35">
      <c r="A100">
        <v>7</v>
      </c>
      <c r="B100">
        <v>2013</v>
      </c>
      <c r="C100">
        <v>3</v>
      </c>
      <c r="D100" t="s">
        <v>8</v>
      </c>
      <c r="E100" t="s">
        <v>9</v>
      </c>
      <c r="F100" t="s">
        <v>20</v>
      </c>
      <c r="G100" t="s">
        <v>34</v>
      </c>
      <c r="H100">
        <v>7</v>
      </c>
      <c r="I100">
        <v>0</v>
      </c>
      <c r="J100">
        <v>0</v>
      </c>
      <c r="K100">
        <v>1</v>
      </c>
      <c r="L100" s="2">
        <v>96</v>
      </c>
      <c r="M100" s="2">
        <f t="shared" si="3"/>
        <v>93.024402733334242</v>
      </c>
      <c r="N100" s="2">
        <f t="shared" si="4"/>
        <v>2.9755972666657584</v>
      </c>
      <c r="O100" s="2">
        <f t="shared" si="5"/>
        <v>8.8541790933887334</v>
      </c>
    </row>
    <row r="101" spans="1:15" x14ac:dyDescent="0.35">
      <c r="A101">
        <v>8</v>
      </c>
      <c r="B101">
        <v>2013</v>
      </c>
      <c r="C101">
        <v>4</v>
      </c>
      <c r="D101" t="s">
        <v>8</v>
      </c>
      <c r="E101" t="s">
        <v>9</v>
      </c>
      <c r="F101" t="s">
        <v>20</v>
      </c>
      <c r="G101" t="s">
        <v>34</v>
      </c>
      <c r="H101">
        <v>8</v>
      </c>
      <c r="I101">
        <v>0</v>
      </c>
      <c r="J101">
        <v>0</v>
      </c>
      <c r="K101">
        <v>0</v>
      </c>
      <c r="L101" s="2">
        <v>90.366972477064223</v>
      </c>
      <c r="M101" s="2">
        <f t="shared" si="3"/>
        <v>92.533760226791927</v>
      </c>
      <c r="N101" s="2">
        <f t="shared" si="4"/>
        <v>-2.1667877497277033</v>
      </c>
      <c r="O101" s="2">
        <f t="shared" si="5"/>
        <v>4.6949691523700441</v>
      </c>
    </row>
    <row r="102" spans="1:15" x14ac:dyDescent="0.35">
      <c r="A102">
        <v>9</v>
      </c>
      <c r="B102">
        <v>2014</v>
      </c>
      <c r="C102">
        <v>1</v>
      </c>
      <c r="D102" t="s">
        <v>8</v>
      </c>
      <c r="E102" t="s">
        <v>9</v>
      </c>
      <c r="F102" t="s">
        <v>20</v>
      </c>
      <c r="G102" t="s">
        <v>34</v>
      </c>
      <c r="H102">
        <v>9</v>
      </c>
      <c r="I102">
        <v>1</v>
      </c>
      <c r="J102">
        <v>0</v>
      </c>
      <c r="K102">
        <v>0</v>
      </c>
      <c r="L102" s="2">
        <v>91.079812206572768</v>
      </c>
      <c r="M102" s="2">
        <f t="shared" si="3"/>
        <v>92.468696340205724</v>
      </c>
      <c r="N102" s="2">
        <f t="shared" si="4"/>
        <v>-1.3888841336329563</v>
      </c>
      <c r="O102" s="2">
        <f t="shared" si="5"/>
        <v>1.9289991366573676</v>
      </c>
    </row>
    <row r="103" spans="1:15" x14ac:dyDescent="0.35">
      <c r="A103">
        <v>10</v>
      </c>
      <c r="B103">
        <v>2014</v>
      </c>
      <c r="C103">
        <v>2</v>
      </c>
      <c r="D103" t="s">
        <v>8</v>
      </c>
      <c r="E103" t="s">
        <v>9</v>
      </c>
      <c r="F103" t="s">
        <v>20</v>
      </c>
      <c r="G103" t="s">
        <v>34</v>
      </c>
      <c r="H103">
        <v>10</v>
      </c>
      <c r="I103">
        <v>0</v>
      </c>
      <c r="J103">
        <v>1</v>
      </c>
      <c r="K103">
        <v>0</v>
      </c>
      <c r="L103" s="2">
        <v>94.805194805194802</v>
      </c>
      <c r="M103" s="2">
        <f t="shared" si="3"/>
        <v>92.599150393350001</v>
      </c>
      <c r="N103" s="2">
        <f t="shared" si="4"/>
        <v>2.2060444118448004</v>
      </c>
      <c r="O103" s="2">
        <f t="shared" si="5"/>
        <v>4.8666319470316708</v>
      </c>
    </row>
    <row r="104" spans="1:15" x14ac:dyDescent="0.35">
      <c r="A104">
        <v>11</v>
      </c>
      <c r="B104">
        <v>2014</v>
      </c>
      <c r="C104">
        <v>3</v>
      </c>
      <c r="D104" t="s">
        <v>8</v>
      </c>
      <c r="E104" t="s">
        <v>9</v>
      </c>
      <c r="F104" t="s">
        <v>20</v>
      </c>
      <c r="G104" t="s">
        <v>34</v>
      </c>
      <c r="H104">
        <v>11</v>
      </c>
      <c r="I104">
        <v>0</v>
      </c>
      <c r="J104">
        <v>0</v>
      </c>
      <c r="K104">
        <v>1</v>
      </c>
      <c r="L104" s="2">
        <v>97.787610619469021</v>
      </c>
      <c r="M104" s="2">
        <f t="shared" si="3"/>
        <v>92.634460372258161</v>
      </c>
      <c r="N104" s="2">
        <f t="shared" si="4"/>
        <v>5.1531502472108599</v>
      </c>
      <c r="O104" s="2">
        <f t="shared" si="5"/>
        <v>26.554957470329345</v>
      </c>
    </row>
    <row r="105" spans="1:15" x14ac:dyDescent="0.35">
      <c r="A105">
        <v>12</v>
      </c>
      <c r="B105">
        <v>2014</v>
      </c>
      <c r="C105">
        <v>4</v>
      </c>
      <c r="D105" t="s">
        <v>8</v>
      </c>
      <c r="E105" t="s">
        <v>9</v>
      </c>
      <c r="F105" t="s">
        <v>20</v>
      </c>
      <c r="G105" t="s">
        <v>34</v>
      </c>
      <c r="H105">
        <v>12</v>
      </c>
      <c r="I105">
        <v>0</v>
      </c>
      <c r="J105">
        <v>0</v>
      </c>
      <c r="K105">
        <v>0</v>
      </c>
      <c r="L105" s="2">
        <v>96.943231441048042</v>
      </c>
      <c r="M105" s="2">
        <f t="shared" si="3"/>
        <v>92.143817865715832</v>
      </c>
      <c r="N105" s="2">
        <f t="shared" si="4"/>
        <v>4.7994135753322098</v>
      </c>
      <c r="O105" s="2">
        <f t="shared" si="5"/>
        <v>23.034370667083106</v>
      </c>
    </row>
    <row r="106" spans="1:15" x14ac:dyDescent="0.35">
      <c r="A106">
        <v>13</v>
      </c>
      <c r="B106">
        <v>2015</v>
      </c>
      <c r="C106">
        <v>1</v>
      </c>
      <c r="D106" t="s">
        <v>8</v>
      </c>
      <c r="E106" t="s">
        <v>9</v>
      </c>
      <c r="F106" t="s">
        <v>20</v>
      </c>
      <c r="G106" t="s">
        <v>34</v>
      </c>
      <c r="H106">
        <v>13</v>
      </c>
      <c r="I106">
        <v>1</v>
      </c>
      <c r="J106">
        <v>0</v>
      </c>
      <c r="K106">
        <v>0</v>
      </c>
      <c r="L106" s="2">
        <v>91.709844559585491</v>
      </c>
      <c r="M106" s="2">
        <f t="shared" si="3"/>
        <v>92.078753979129644</v>
      </c>
      <c r="N106" s="2">
        <f t="shared" si="4"/>
        <v>-0.36890941954415268</v>
      </c>
      <c r="O106" s="2">
        <f t="shared" si="5"/>
        <v>0.13609415982840367</v>
      </c>
    </row>
    <row r="107" spans="1:15" x14ac:dyDescent="0.35">
      <c r="A107">
        <v>14</v>
      </c>
      <c r="B107">
        <v>2015</v>
      </c>
      <c r="C107">
        <v>2</v>
      </c>
      <c r="D107" t="s">
        <v>8</v>
      </c>
      <c r="E107" t="s">
        <v>9</v>
      </c>
      <c r="F107" t="s">
        <v>20</v>
      </c>
      <c r="G107" t="s">
        <v>34</v>
      </c>
      <c r="H107">
        <v>14</v>
      </c>
      <c r="I107">
        <v>0</v>
      </c>
      <c r="J107">
        <v>1</v>
      </c>
      <c r="K107">
        <v>0</v>
      </c>
      <c r="L107" s="2">
        <v>92.672413793103445</v>
      </c>
      <c r="M107" s="2">
        <f t="shared" si="3"/>
        <v>92.209208032273921</v>
      </c>
      <c r="N107" s="2">
        <f t="shared" si="4"/>
        <v>0.46320576082952414</v>
      </c>
      <c r="O107" s="2">
        <f t="shared" si="5"/>
        <v>0.21455957686565832</v>
      </c>
    </row>
    <row r="108" spans="1:15" x14ac:dyDescent="0.35">
      <c r="A108">
        <v>15</v>
      </c>
      <c r="B108">
        <v>2015</v>
      </c>
      <c r="C108">
        <v>3</v>
      </c>
      <c r="D108" t="s">
        <v>8</v>
      </c>
      <c r="E108" t="s">
        <v>9</v>
      </c>
      <c r="F108" t="s">
        <v>20</v>
      </c>
      <c r="G108" t="s">
        <v>34</v>
      </c>
      <c r="H108">
        <v>15</v>
      </c>
      <c r="I108">
        <v>0</v>
      </c>
      <c r="J108">
        <v>0</v>
      </c>
      <c r="K108">
        <v>1</v>
      </c>
      <c r="L108" s="2">
        <v>86.142322097378283</v>
      </c>
      <c r="M108" s="2">
        <f t="shared" si="3"/>
        <v>92.244518011182066</v>
      </c>
      <c r="N108" s="2">
        <f t="shared" si="4"/>
        <v>-6.1021959138037829</v>
      </c>
      <c r="O108" s="2">
        <f t="shared" si="5"/>
        <v>37.236794970443583</v>
      </c>
    </row>
    <row r="109" spans="1:15" x14ac:dyDescent="0.35">
      <c r="A109">
        <v>16</v>
      </c>
      <c r="B109">
        <v>2015</v>
      </c>
      <c r="C109">
        <v>4</v>
      </c>
      <c r="D109" t="s">
        <v>8</v>
      </c>
      <c r="E109" t="s">
        <v>9</v>
      </c>
      <c r="F109" t="s">
        <v>20</v>
      </c>
      <c r="G109" t="s">
        <v>34</v>
      </c>
      <c r="H109">
        <v>16</v>
      </c>
      <c r="I109">
        <v>0</v>
      </c>
      <c r="J109">
        <v>0</v>
      </c>
      <c r="K109">
        <v>0</v>
      </c>
      <c r="L109" s="2">
        <v>88.659793814432987</v>
      </c>
      <c r="M109" s="2">
        <f t="shared" si="3"/>
        <v>91.753875504639751</v>
      </c>
      <c r="N109" s="2">
        <f t="shared" si="4"/>
        <v>-3.0940816902067638</v>
      </c>
      <c r="O109" s="2">
        <f t="shared" si="5"/>
        <v>9.5733415056727438</v>
      </c>
    </row>
    <row r="110" spans="1:15" x14ac:dyDescent="0.35">
      <c r="A110">
        <v>17</v>
      </c>
      <c r="B110">
        <v>2016</v>
      </c>
      <c r="C110">
        <v>1</v>
      </c>
      <c r="D110" t="s">
        <v>8</v>
      </c>
      <c r="E110" t="s">
        <v>9</v>
      </c>
      <c r="F110" t="s">
        <v>20</v>
      </c>
      <c r="G110" t="s">
        <v>34</v>
      </c>
      <c r="H110">
        <v>17</v>
      </c>
      <c r="I110">
        <v>1</v>
      </c>
      <c r="J110">
        <v>0</v>
      </c>
      <c r="K110">
        <v>0</v>
      </c>
      <c r="L110" s="2">
        <v>92.410714285714292</v>
      </c>
      <c r="M110" s="2">
        <f t="shared" si="3"/>
        <v>91.688811618053549</v>
      </c>
      <c r="N110" s="2">
        <f t="shared" si="4"/>
        <v>0.72190266766074274</v>
      </c>
      <c r="O110" s="2">
        <f t="shared" si="5"/>
        <v>0.5211434615756968</v>
      </c>
    </row>
    <row r="111" spans="1:15" x14ac:dyDescent="0.35">
      <c r="A111">
        <v>18</v>
      </c>
      <c r="B111">
        <v>2016</v>
      </c>
      <c r="C111">
        <v>2</v>
      </c>
      <c r="D111" t="s">
        <v>8</v>
      </c>
      <c r="E111" t="s">
        <v>9</v>
      </c>
      <c r="F111" t="s">
        <v>20</v>
      </c>
      <c r="G111" t="s">
        <v>34</v>
      </c>
      <c r="H111">
        <v>18</v>
      </c>
      <c r="I111">
        <v>0</v>
      </c>
      <c r="J111">
        <v>1</v>
      </c>
      <c r="K111">
        <v>0</v>
      </c>
      <c r="L111" s="2">
        <v>89.610389610389603</v>
      </c>
      <c r="M111" s="2">
        <f t="shared" si="3"/>
        <v>91.819265671197826</v>
      </c>
      <c r="N111" s="2">
        <f t="shared" si="4"/>
        <v>-2.2088760608082225</v>
      </c>
      <c r="O111" s="2">
        <f t="shared" si="5"/>
        <v>4.8791334520116507</v>
      </c>
    </row>
    <row r="112" spans="1:15" x14ac:dyDescent="0.35">
      <c r="A112">
        <v>19</v>
      </c>
      <c r="B112">
        <v>2016</v>
      </c>
      <c r="C112">
        <v>3</v>
      </c>
      <c r="D112" t="s">
        <v>8</v>
      </c>
      <c r="E112" t="s">
        <v>9</v>
      </c>
      <c r="F112" t="s">
        <v>20</v>
      </c>
      <c r="G112" t="s">
        <v>34</v>
      </c>
      <c r="H112">
        <v>19</v>
      </c>
      <c r="I112">
        <v>0</v>
      </c>
      <c r="J112">
        <v>0</v>
      </c>
      <c r="K112">
        <v>1</v>
      </c>
      <c r="L112" s="2">
        <v>82.969432314410483</v>
      </c>
      <c r="M112" s="2">
        <f t="shared" si="3"/>
        <v>91.854575650105986</v>
      </c>
      <c r="N112" s="2">
        <f t="shared" si="4"/>
        <v>-8.8851433356955027</v>
      </c>
      <c r="O112" s="2">
        <f t="shared" si="5"/>
        <v>78.94577209585421</v>
      </c>
    </row>
    <row r="113" spans="1:15" x14ac:dyDescent="0.35">
      <c r="A113">
        <v>20</v>
      </c>
      <c r="B113">
        <v>2016</v>
      </c>
      <c r="C113">
        <v>4</v>
      </c>
      <c r="D113" t="s">
        <v>8</v>
      </c>
      <c r="E113" t="s">
        <v>9</v>
      </c>
      <c r="F113" t="s">
        <v>20</v>
      </c>
      <c r="G113" t="s">
        <v>34</v>
      </c>
      <c r="H113">
        <v>20</v>
      </c>
      <c r="I113">
        <v>0</v>
      </c>
      <c r="J113">
        <v>0</v>
      </c>
      <c r="K113">
        <v>0</v>
      </c>
      <c r="L113" s="2">
        <v>87.169811320754718</v>
      </c>
      <c r="M113" s="2">
        <f t="shared" si="3"/>
        <v>91.363933143563656</v>
      </c>
      <c r="N113" s="2">
        <f t="shared" si="4"/>
        <v>-4.1941218228089383</v>
      </c>
      <c r="O113" s="2">
        <f t="shared" si="5"/>
        <v>17.590657864562171</v>
      </c>
    </row>
    <row r="114" spans="1:15" x14ac:dyDescent="0.35">
      <c r="A114">
        <v>21</v>
      </c>
      <c r="B114">
        <v>2017</v>
      </c>
      <c r="C114">
        <v>1</v>
      </c>
      <c r="D114" t="s">
        <v>8</v>
      </c>
      <c r="E114" t="s">
        <v>9</v>
      </c>
      <c r="F114" t="s">
        <v>20</v>
      </c>
      <c r="G114" t="s">
        <v>34</v>
      </c>
      <c r="H114">
        <v>21</v>
      </c>
      <c r="I114">
        <v>1</v>
      </c>
      <c r="J114">
        <v>0</v>
      </c>
      <c r="K114">
        <v>0</v>
      </c>
      <c r="L114" s="2">
        <v>89.88326848249028</v>
      </c>
      <c r="M114" s="2">
        <f t="shared" si="3"/>
        <v>91.298869256977468</v>
      </c>
      <c r="N114" s="2">
        <f t="shared" si="4"/>
        <v>-1.4156007744871886</v>
      </c>
      <c r="O114" s="2">
        <f t="shared" si="5"/>
        <v>2.0039255527287283</v>
      </c>
    </row>
    <row r="115" spans="1:15" x14ac:dyDescent="0.35">
      <c r="A115">
        <v>22</v>
      </c>
      <c r="B115">
        <v>2017</v>
      </c>
      <c r="C115">
        <v>2</v>
      </c>
      <c r="D115" t="s">
        <v>8</v>
      </c>
      <c r="E115" t="s">
        <v>9</v>
      </c>
      <c r="F115" t="s">
        <v>20</v>
      </c>
      <c r="G115" t="s">
        <v>34</v>
      </c>
      <c r="H115">
        <v>22</v>
      </c>
      <c r="I115">
        <v>0</v>
      </c>
      <c r="J115">
        <v>1</v>
      </c>
      <c r="K115">
        <v>0</v>
      </c>
      <c r="L115" s="2">
        <v>90.34749034749035</v>
      </c>
      <c r="M115" s="2">
        <f t="shared" si="3"/>
        <v>91.429323310121731</v>
      </c>
      <c r="N115" s="2">
        <f t="shared" si="4"/>
        <v>-1.0818329626313812</v>
      </c>
      <c r="O115" s="2">
        <f t="shared" si="5"/>
        <v>1.1703625590357913</v>
      </c>
    </row>
    <row r="116" spans="1:15" x14ac:dyDescent="0.35">
      <c r="A116">
        <v>23</v>
      </c>
      <c r="B116">
        <v>2017</v>
      </c>
      <c r="C116">
        <v>3</v>
      </c>
      <c r="D116" t="s">
        <v>8</v>
      </c>
      <c r="E116" t="s">
        <v>9</v>
      </c>
      <c r="F116" t="s">
        <v>20</v>
      </c>
      <c r="G116" t="s">
        <v>34</v>
      </c>
      <c r="H116">
        <v>23</v>
      </c>
      <c r="I116">
        <v>0</v>
      </c>
      <c r="J116">
        <v>0</v>
      </c>
      <c r="K116">
        <v>1</v>
      </c>
      <c r="L116" s="2">
        <v>89.642857142857153</v>
      </c>
      <c r="M116" s="2">
        <f t="shared" si="3"/>
        <v>91.464633289029891</v>
      </c>
      <c r="N116" s="2">
        <f t="shared" si="4"/>
        <v>-1.8217761461727378</v>
      </c>
      <c r="O116" s="2">
        <f t="shared" si="5"/>
        <v>3.3188683267639925</v>
      </c>
    </row>
    <row r="117" spans="1:15" x14ac:dyDescent="0.35">
      <c r="A117">
        <v>24</v>
      </c>
      <c r="B117">
        <v>2017</v>
      </c>
      <c r="C117">
        <v>4</v>
      </c>
      <c r="D117" t="s">
        <v>8</v>
      </c>
      <c r="E117" t="s">
        <v>9</v>
      </c>
      <c r="F117" t="s">
        <v>20</v>
      </c>
      <c r="G117" t="s">
        <v>34</v>
      </c>
      <c r="H117">
        <v>24</v>
      </c>
      <c r="I117">
        <v>0</v>
      </c>
      <c r="J117">
        <v>0</v>
      </c>
      <c r="K117">
        <v>0</v>
      </c>
      <c r="L117" s="2">
        <v>89.400921658986178</v>
      </c>
      <c r="M117" s="2">
        <f t="shared" si="3"/>
        <v>90.973990782487576</v>
      </c>
      <c r="N117" s="2">
        <f t="shared" si="4"/>
        <v>-1.5730691235013978</v>
      </c>
      <c r="O117" s="2">
        <f t="shared" si="5"/>
        <v>2.4745464673134561</v>
      </c>
    </row>
    <row r="118" spans="1:15" x14ac:dyDescent="0.35">
      <c r="A118">
        <v>25</v>
      </c>
      <c r="B118">
        <v>2018</v>
      </c>
      <c r="C118">
        <v>1</v>
      </c>
      <c r="D118" t="s">
        <v>8</v>
      </c>
      <c r="E118" t="s">
        <v>9</v>
      </c>
      <c r="F118" t="s">
        <v>20</v>
      </c>
      <c r="G118" t="s">
        <v>34</v>
      </c>
      <c r="H118">
        <v>25</v>
      </c>
      <c r="I118">
        <v>1</v>
      </c>
      <c r="J118">
        <v>0</v>
      </c>
      <c r="K118">
        <v>0</v>
      </c>
      <c r="L118" s="2">
        <v>86.419753086419746</v>
      </c>
      <c r="M118" s="2">
        <f t="shared" si="3"/>
        <v>90.908926895901374</v>
      </c>
      <c r="N118" s="2">
        <f t="shared" si="4"/>
        <v>-4.4891738094816276</v>
      </c>
      <c r="O118" s="2">
        <f t="shared" si="5"/>
        <v>20.152681491735787</v>
      </c>
    </row>
    <row r="119" spans="1:15" x14ac:dyDescent="0.35">
      <c r="A119">
        <v>26</v>
      </c>
      <c r="B119">
        <v>2018</v>
      </c>
      <c r="C119">
        <v>2</v>
      </c>
      <c r="D119" t="s">
        <v>8</v>
      </c>
      <c r="E119" t="s">
        <v>9</v>
      </c>
      <c r="F119" t="s">
        <v>20</v>
      </c>
      <c r="G119" t="s">
        <v>34</v>
      </c>
      <c r="H119">
        <v>26</v>
      </c>
      <c r="I119">
        <v>0</v>
      </c>
      <c r="J119">
        <v>1</v>
      </c>
      <c r="K119">
        <v>0</v>
      </c>
      <c r="L119" s="2">
        <v>87.931034482758619</v>
      </c>
      <c r="M119" s="2">
        <f t="shared" si="3"/>
        <v>91.03938094904565</v>
      </c>
      <c r="N119" s="2">
        <f t="shared" si="4"/>
        <v>-3.1083464662870313</v>
      </c>
      <c r="O119" s="2">
        <f t="shared" si="5"/>
        <v>9.661817754479074</v>
      </c>
    </row>
    <row r="120" spans="1:15" x14ac:dyDescent="0.35">
      <c r="A120">
        <v>27</v>
      </c>
      <c r="B120">
        <v>2018</v>
      </c>
      <c r="C120">
        <v>3</v>
      </c>
      <c r="D120" t="s">
        <v>8</v>
      </c>
      <c r="E120" t="s">
        <v>9</v>
      </c>
      <c r="F120" t="s">
        <v>20</v>
      </c>
      <c r="G120" t="s">
        <v>34</v>
      </c>
      <c r="H120">
        <v>27</v>
      </c>
      <c r="I120">
        <v>0</v>
      </c>
      <c r="J120">
        <v>0</v>
      </c>
      <c r="K120">
        <v>1</v>
      </c>
      <c r="L120" s="2">
        <v>83.467741935483872</v>
      </c>
      <c r="M120" s="2">
        <f t="shared" si="3"/>
        <v>91.074690927953796</v>
      </c>
      <c r="N120" s="2">
        <f t="shared" si="4"/>
        <v>-7.6069489924699241</v>
      </c>
      <c r="O120" s="2">
        <f t="shared" si="5"/>
        <v>57.865672974039192</v>
      </c>
    </row>
    <row r="121" spans="1:15" x14ac:dyDescent="0.35">
      <c r="A121">
        <v>28</v>
      </c>
      <c r="B121">
        <v>2018</v>
      </c>
      <c r="C121">
        <v>4</v>
      </c>
      <c r="D121" t="s">
        <v>8</v>
      </c>
      <c r="E121" t="s">
        <v>9</v>
      </c>
      <c r="F121" t="s">
        <v>20</v>
      </c>
      <c r="G121" t="s">
        <v>34</v>
      </c>
      <c r="H121">
        <v>28</v>
      </c>
      <c r="I121">
        <v>0</v>
      </c>
      <c r="J121">
        <v>0</v>
      </c>
      <c r="K121">
        <v>0</v>
      </c>
      <c r="L121" s="2">
        <v>82.926829268292678</v>
      </c>
      <c r="M121" s="2">
        <f t="shared" si="3"/>
        <v>90.584048421411481</v>
      </c>
      <c r="N121" s="2">
        <f t="shared" si="4"/>
        <v>-7.6572191531188025</v>
      </c>
      <c r="O121" s="2">
        <f t="shared" si="5"/>
        <v>58.633005158889432</v>
      </c>
    </row>
    <row r="122" spans="1:15" x14ac:dyDescent="0.35">
      <c r="A122">
        <v>29</v>
      </c>
      <c r="B122">
        <v>2019</v>
      </c>
      <c r="C122">
        <v>1</v>
      </c>
      <c r="D122" t="s">
        <v>8</v>
      </c>
      <c r="E122" t="s">
        <v>9</v>
      </c>
      <c r="F122" t="s">
        <v>20</v>
      </c>
      <c r="G122" t="s">
        <v>34</v>
      </c>
      <c r="H122">
        <v>29</v>
      </c>
      <c r="I122">
        <v>1</v>
      </c>
      <c r="J122">
        <v>0</v>
      </c>
      <c r="K122">
        <v>0</v>
      </c>
      <c r="L122" s="2">
        <v>88.60759493670885</v>
      </c>
      <c r="M122" s="2">
        <f t="shared" si="3"/>
        <v>90.518984534825293</v>
      </c>
      <c r="N122" s="2">
        <f t="shared" si="4"/>
        <v>-1.9113895981164433</v>
      </c>
      <c r="O122" s="2">
        <f t="shared" si="5"/>
        <v>3.6534101957877385</v>
      </c>
    </row>
    <row r="123" spans="1:15" x14ac:dyDescent="0.35">
      <c r="A123">
        <v>30</v>
      </c>
      <c r="B123">
        <v>2019</v>
      </c>
      <c r="C123">
        <v>2</v>
      </c>
      <c r="D123" t="s">
        <v>8</v>
      </c>
      <c r="E123" t="s">
        <v>9</v>
      </c>
      <c r="F123" t="s">
        <v>20</v>
      </c>
      <c r="G123" t="s">
        <v>34</v>
      </c>
      <c r="H123">
        <v>30</v>
      </c>
      <c r="I123">
        <v>0</v>
      </c>
      <c r="J123">
        <v>1</v>
      </c>
      <c r="K123">
        <v>0</v>
      </c>
      <c r="L123" s="2">
        <v>89.523809523809533</v>
      </c>
      <c r="M123" s="2">
        <f t="shared" si="3"/>
        <v>90.649438587969556</v>
      </c>
      <c r="N123" s="2">
        <f t="shared" si="4"/>
        <v>-1.1256290641600231</v>
      </c>
      <c r="O123" s="2">
        <f t="shared" si="5"/>
        <v>1.2670407900817693</v>
      </c>
    </row>
    <row r="124" spans="1:15" x14ac:dyDescent="0.35">
      <c r="A124">
        <v>31</v>
      </c>
      <c r="B124">
        <v>2019</v>
      </c>
      <c r="C124">
        <v>3</v>
      </c>
      <c r="D124" t="s">
        <v>8</v>
      </c>
      <c r="E124" t="s">
        <v>9</v>
      </c>
      <c r="F124" t="s">
        <v>20</v>
      </c>
      <c r="G124" t="s">
        <v>34</v>
      </c>
      <c r="H124">
        <v>31</v>
      </c>
      <c r="I124">
        <v>0</v>
      </c>
      <c r="J124">
        <v>0</v>
      </c>
      <c r="K124">
        <v>1</v>
      </c>
      <c r="L124" s="2">
        <v>95.238095238095227</v>
      </c>
      <c r="M124" s="2">
        <f t="shared" si="3"/>
        <v>90.684748566877715</v>
      </c>
      <c r="N124" s="2">
        <f t="shared" si="4"/>
        <v>4.5533466712175112</v>
      </c>
      <c r="O124" s="2">
        <f t="shared" si="5"/>
        <v>20.732965908287589</v>
      </c>
    </row>
    <row r="125" spans="1:15" x14ac:dyDescent="0.35">
      <c r="A125">
        <v>32</v>
      </c>
      <c r="B125">
        <v>2019</v>
      </c>
      <c r="C125">
        <v>4</v>
      </c>
      <c r="D125" t="s">
        <v>8</v>
      </c>
      <c r="E125" t="s">
        <v>9</v>
      </c>
      <c r="F125" t="s">
        <v>20</v>
      </c>
      <c r="G125" t="s">
        <v>34</v>
      </c>
      <c r="H125">
        <v>32</v>
      </c>
      <c r="I125">
        <v>0</v>
      </c>
      <c r="J125">
        <v>0</v>
      </c>
      <c r="K125">
        <v>0</v>
      </c>
      <c r="L125" s="2">
        <v>94.930875576036868</v>
      </c>
      <c r="M125" s="2">
        <f t="shared" si="3"/>
        <v>90.1941060603354</v>
      </c>
      <c r="N125" s="2">
        <f t="shared" si="4"/>
        <v>4.736769515701468</v>
      </c>
      <c r="O125" s="2">
        <f t="shared" si="5"/>
        <v>22.436985444878719</v>
      </c>
    </row>
    <row r="126" spans="1:15" x14ac:dyDescent="0.35">
      <c r="A126">
        <v>33</v>
      </c>
      <c r="B126">
        <v>2020</v>
      </c>
      <c r="C126">
        <v>1</v>
      </c>
      <c r="D126" t="s">
        <v>8</v>
      </c>
      <c r="E126" t="s">
        <v>9</v>
      </c>
      <c r="F126" t="s">
        <v>20</v>
      </c>
      <c r="G126" t="s">
        <v>34</v>
      </c>
      <c r="H126">
        <v>33</v>
      </c>
      <c r="I126">
        <v>1</v>
      </c>
      <c r="J126">
        <v>0</v>
      </c>
      <c r="K126">
        <v>0</v>
      </c>
      <c r="L126" s="2">
        <v>91.904761904761898</v>
      </c>
      <c r="M126" s="2">
        <f t="shared" si="3"/>
        <v>90.129042173749198</v>
      </c>
      <c r="N126" s="2">
        <f t="shared" si="4"/>
        <v>1.7757197310126998</v>
      </c>
      <c r="O126" s="2">
        <f t="shared" si="5"/>
        <v>3.1531805631078149</v>
      </c>
    </row>
    <row r="127" spans="1:15" x14ac:dyDescent="0.35">
      <c r="A127">
        <v>34</v>
      </c>
      <c r="B127">
        <v>2020</v>
      </c>
      <c r="C127">
        <v>2</v>
      </c>
      <c r="D127" t="s">
        <v>8</v>
      </c>
      <c r="E127" t="s">
        <v>9</v>
      </c>
      <c r="F127" t="s">
        <v>20</v>
      </c>
      <c r="G127" t="s">
        <v>34</v>
      </c>
      <c r="H127">
        <v>34</v>
      </c>
      <c r="I127">
        <v>0</v>
      </c>
      <c r="J127">
        <v>1</v>
      </c>
      <c r="K127">
        <v>0</v>
      </c>
      <c r="L127" s="2">
        <v>89.142857142857139</v>
      </c>
      <c r="M127" s="2">
        <f t="shared" si="3"/>
        <v>90.259496226893475</v>
      </c>
      <c r="N127" s="2">
        <f t="shared" si="4"/>
        <v>-1.1166390840363363</v>
      </c>
      <c r="O127" s="2">
        <f t="shared" si="5"/>
        <v>1.2468828439975082</v>
      </c>
    </row>
    <row r="128" spans="1:15" x14ac:dyDescent="0.35">
      <c r="A128">
        <v>35</v>
      </c>
      <c r="B128">
        <v>2020</v>
      </c>
      <c r="C128">
        <v>3</v>
      </c>
      <c r="D128" t="s">
        <v>8</v>
      </c>
      <c r="E128" t="s">
        <v>9</v>
      </c>
      <c r="F128" t="s">
        <v>20</v>
      </c>
      <c r="G128" t="s">
        <v>34</v>
      </c>
      <c r="H128">
        <v>35</v>
      </c>
      <c r="I128">
        <v>0</v>
      </c>
      <c r="J128">
        <v>0</v>
      </c>
      <c r="K128">
        <v>1</v>
      </c>
      <c r="L128" s="2">
        <v>97.252747252747255</v>
      </c>
      <c r="M128" s="2">
        <f t="shared" si="3"/>
        <v>90.294806205801621</v>
      </c>
      <c r="N128" s="2">
        <f t="shared" si="4"/>
        <v>6.9579410469456349</v>
      </c>
      <c r="O128" s="2">
        <f t="shared" si="5"/>
        <v>48.412943612770917</v>
      </c>
    </row>
    <row r="129" spans="1:15" x14ac:dyDescent="0.35">
      <c r="A129">
        <v>36</v>
      </c>
      <c r="B129">
        <v>2020</v>
      </c>
      <c r="C129">
        <v>4</v>
      </c>
      <c r="D129" t="s">
        <v>8</v>
      </c>
      <c r="E129" t="s">
        <v>9</v>
      </c>
      <c r="F129" t="s">
        <v>20</v>
      </c>
      <c r="G129" t="s">
        <v>34</v>
      </c>
      <c r="H129">
        <v>36</v>
      </c>
      <c r="I129">
        <v>0</v>
      </c>
      <c r="J129">
        <v>0</v>
      </c>
      <c r="K129">
        <v>0</v>
      </c>
      <c r="L129" s="2">
        <v>97.560975609756099</v>
      </c>
      <c r="M129" s="2">
        <f t="shared" si="3"/>
        <v>89.804163699259306</v>
      </c>
      <c r="N129" s="2">
        <f t="shared" si="4"/>
        <v>7.7568119104967934</v>
      </c>
      <c r="O129" s="2">
        <f t="shared" si="5"/>
        <v>60.168131014824915</v>
      </c>
    </row>
    <row r="130" spans="1:15" x14ac:dyDescent="0.35">
      <c r="A130">
        <v>37</v>
      </c>
      <c r="B130">
        <v>2021</v>
      </c>
      <c r="C130">
        <v>1</v>
      </c>
      <c r="D130" t="s">
        <v>8</v>
      </c>
      <c r="E130" t="s">
        <v>9</v>
      </c>
      <c r="F130" t="s">
        <v>20</v>
      </c>
      <c r="G130" t="s">
        <v>34</v>
      </c>
      <c r="H130">
        <v>37</v>
      </c>
      <c r="I130">
        <v>1</v>
      </c>
      <c r="J130">
        <v>0</v>
      </c>
      <c r="K130">
        <v>0</v>
      </c>
      <c r="L130" s="2">
        <v>93.782383419689126</v>
      </c>
      <c r="M130" s="2">
        <f t="shared" si="3"/>
        <v>89.739099812673118</v>
      </c>
      <c r="N130" s="2">
        <f t="shared" si="4"/>
        <v>4.0432836070160079</v>
      </c>
      <c r="O130" s="2">
        <f t="shared" si="5"/>
        <v>16.348142326764378</v>
      </c>
    </row>
    <row r="131" spans="1:15" x14ac:dyDescent="0.35">
      <c r="A131">
        <v>38</v>
      </c>
      <c r="B131">
        <v>2021</v>
      </c>
      <c r="C131">
        <v>2</v>
      </c>
      <c r="D131" t="s">
        <v>8</v>
      </c>
      <c r="E131" t="s">
        <v>9</v>
      </c>
      <c r="F131" t="s">
        <v>20</v>
      </c>
      <c r="G131" t="s">
        <v>34</v>
      </c>
      <c r="H131">
        <v>38</v>
      </c>
      <c r="I131">
        <v>0</v>
      </c>
      <c r="J131">
        <v>1</v>
      </c>
      <c r="K131">
        <v>0</v>
      </c>
      <c r="L131" s="2">
        <v>90.909090909090907</v>
      </c>
      <c r="M131" s="2">
        <f t="shared" si="3"/>
        <v>89.86955386581738</v>
      </c>
      <c r="N131" s="2">
        <f t="shared" si="4"/>
        <v>1.0395370432735263</v>
      </c>
      <c r="O131" s="2">
        <f t="shared" si="5"/>
        <v>1.0806372643378652</v>
      </c>
    </row>
    <row r="132" spans="1:15" x14ac:dyDescent="0.35">
      <c r="A132">
        <v>39</v>
      </c>
      <c r="B132">
        <v>2021</v>
      </c>
      <c r="C132">
        <v>3</v>
      </c>
      <c r="D132" t="s">
        <v>8</v>
      </c>
      <c r="E132" t="s">
        <v>9</v>
      </c>
      <c r="F132" t="s">
        <v>20</v>
      </c>
      <c r="G132" t="s">
        <v>34</v>
      </c>
      <c r="H132">
        <v>39</v>
      </c>
      <c r="I132">
        <v>0</v>
      </c>
      <c r="J132">
        <v>0</v>
      </c>
      <c r="K132">
        <v>1</v>
      </c>
      <c r="L132" s="2">
        <v>92.857142857142861</v>
      </c>
      <c r="M132" s="2">
        <f t="shared" si="3"/>
        <v>89.90486384472554</v>
      </c>
      <c r="N132" s="2">
        <f t="shared" si="4"/>
        <v>2.9522790124173213</v>
      </c>
      <c r="O132" s="2">
        <f t="shared" si="5"/>
        <v>8.7159513671597946</v>
      </c>
    </row>
    <row r="133" spans="1:15" x14ac:dyDescent="0.35">
      <c r="A133">
        <v>40</v>
      </c>
      <c r="B133">
        <v>2021</v>
      </c>
      <c r="C133">
        <v>4</v>
      </c>
      <c r="D133" t="s">
        <v>8</v>
      </c>
      <c r="E133" t="s">
        <v>9</v>
      </c>
      <c r="F133" t="s">
        <v>20</v>
      </c>
      <c r="G133" t="s">
        <v>34</v>
      </c>
      <c r="H133">
        <v>40</v>
      </c>
      <c r="I133">
        <v>0</v>
      </c>
      <c r="J133">
        <v>0</v>
      </c>
      <c r="K133">
        <v>0</v>
      </c>
      <c r="L133" s="2">
        <v>88.185654008438817</v>
      </c>
      <c r="M133" s="2">
        <f t="shared" si="3"/>
        <v>89.414221338183211</v>
      </c>
      <c r="N133" s="2">
        <f t="shared" si="4"/>
        <v>-1.2285673297443935</v>
      </c>
      <c r="O133" s="2">
        <f t="shared" si="5"/>
        <v>1.5093776837152695</v>
      </c>
    </row>
    <row r="134" spans="1:15" x14ac:dyDescent="0.35">
      <c r="H134">
        <v>41</v>
      </c>
      <c r="I134">
        <v>1</v>
      </c>
      <c r="J134">
        <v>0</v>
      </c>
      <c r="K134">
        <v>0</v>
      </c>
      <c r="L134" s="2"/>
      <c r="M134" s="2">
        <f t="shared" ref="M134:M137" si="6">$I$140+$I$141*H134+$I$142*I134+$I$143*J134+$I$144*K134</f>
        <v>89.349157451597023</v>
      </c>
      <c r="N134" s="2"/>
      <c r="O134" s="2"/>
    </row>
    <row r="135" spans="1:15" x14ac:dyDescent="0.35">
      <c r="H135">
        <v>42</v>
      </c>
      <c r="I135">
        <v>0</v>
      </c>
      <c r="J135">
        <v>1</v>
      </c>
      <c r="K135">
        <v>0</v>
      </c>
      <c r="L135" s="2"/>
      <c r="M135" s="2">
        <f t="shared" si="6"/>
        <v>89.4796115047413</v>
      </c>
      <c r="N135" s="2"/>
      <c r="O135" s="2"/>
    </row>
    <row r="136" spans="1:15" x14ac:dyDescent="0.35">
      <c r="H136">
        <v>43</v>
      </c>
      <c r="I136">
        <v>0</v>
      </c>
      <c r="J136">
        <v>0</v>
      </c>
      <c r="K136">
        <v>1</v>
      </c>
      <c r="L136" s="2"/>
      <c r="M136" s="2">
        <f t="shared" si="6"/>
        <v>89.514921483649445</v>
      </c>
      <c r="N136" s="2"/>
      <c r="O136" s="2"/>
    </row>
    <row r="137" spans="1:15" x14ac:dyDescent="0.35">
      <c r="H137">
        <v>44</v>
      </c>
      <c r="I137">
        <v>0</v>
      </c>
      <c r="J137">
        <v>0</v>
      </c>
      <c r="K137">
        <v>0</v>
      </c>
      <c r="L137" s="2"/>
      <c r="M137" s="2">
        <f t="shared" si="6"/>
        <v>89.02427897710713</v>
      </c>
      <c r="N137" s="2"/>
      <c r="O137" s="2"/>
    </row>
    <row r="138" spans="1:15" ht="15" thickBot="1" x14ac:dyDescent="0.4"/>
    <row r="139" spans="1:15" x14ac:dyDescent="0.35">
      <c r="H139" s="6"/>
      <c r="I139" s="6" t="s">
        <v>57</v>
      </c>
    </row>
    <row r="140" spans="1:15" x14ac:dyDescent="0.35">
      <c r="H140" t="s">
        <v>51</v>
      </c>
      <c r="I140">
        <v>93.313644948944102</v>
      </c>
    </row>
    <row r="141" spans="1:15" x14ac:dyDescent="0.35">
      <c r="H141" t="s">
        <v>0</v>
      </c>
      <c r="I141">
        <v>-9.7485590269022149E-2</v>
      </c>
    </row>
    <row r="142" spans="1:15" x14ac:dyDescent="0.35">
      <c r="H142" t="s">
        <v>70</v>
      </c>
      <c r="I142">
        <v>3.2421703682830386E-2</v>
      </c>
    </row>
    <row r="143" spans="1:15" x14ac:dyDescent="0.35">
      <c r="H143" t="s">
        <v>71</v>
      </c>
      <c r="I143">
        <v>0.26036134709611553</v>
      </c>
    </row>
    <row r="144" spans="1:15" ht="15" thickBot="1" x14ac:dyDescent="0.4">
      <c r="H144" s="5" t="s">
        <v>72</v>
      </c>
      <c r="I144" s="5">
        <v>0.39315691627330096</v>
      </c>
    </row>
    <row r="145" spans="1:15" x14ac:dyDescent="0.35">
      <c r="H145"/>
    </row>
    <row r="146" spans="1:15" x14ac:dyDescent="0.35">
      <c r="A146" t="s">
        <v>73</v>
      </c>
      <c r="G146" t="s">
        <v>77</v>
      </c>
      <c r="H146" s="2">
        <v>0.7</v>
      </c>
    </row>
    <row r="147" spans="1:15" x14ac:dyDescent="0.35">
      <c r="A147" s="3" t="s">
        <v>0</v>
      </c>
      <c r="B147" s="3" t="s">
        <v>1</v>
      </c>
      <c r="C147" s="3" t="s">
        <v>2</v>
      </c>
      <c r="D147" s="3" t="s">
        <v>3</v>
      </c>
      <c r="E147" s="3" t="s">
        <v>4</v>
      </c>
      <c r="F147" s="3" t="s">
        <v>5</v>
      </c>
      <c r="G147" s="3" t="s">
        <v>6</v>
      </c>
      <c r="H147" s="4" t="s">
        <v>7</v>
      </c>
      <c r="I147" s="3" t="s">
        <v>64</v>
      </c>
      <c r="J147" s="3" t="s">
        <v>66</v>
      </c>
      <c r="K147" s="3" t="s">
        <v>67</v>
      </c>
      <c r="M147" s="3" t="s">
        <v>68</v>
      </c>
      <c r="N147" s="2">
        <f>AVERAGE(K149:K187)</f>
        <v>11.575198704679332</v>
      </c>
    </row>
    <row r="148" spans="1:15" x14ac:dyDescent="0.35">
      <c r="A148">
        <v>1</v>
      </c>
      <c r="B148">
        <v>2012</v>
      </c>
      <c r="C148">
        <v>1</v>
      </c>
      <c r="D148" t="s">
        <v>8</v>
      </c>
      <c r="E148" t="s">
        <v>9</v>
      </c>
      <c r="F148" t="s">
        <v>20</v>
      </c>
      <c r="G148" t="s">
        <v>34</v>
      </c>
      <c r="H148" s="2">
        <v>95.927601809954751</v>
      </c>
      <c r="I148" s="2"/>
      <c r="J148" s="2"/>
      <c r="K148" s="2"/>
    </row>
    <row r="149" spans="1:15" x14ac:dyDescent="0.35">
      <c r="A149">
        <v>2</v>
      </c>
      <c r="B149">
        <v>2012</v>
      </c>
      <c r="C149">
        <v>2</v>
      </c>
      <c r="D149" t="s">
        <v>8</v>
      </c>
      <c r="E149" t="s">
        <v>9</v>
      </c>
      <c r="F149" t="s">
        <v>20</v>
      </c>
      <c r="G149" t="s">
        <v>34</v>
      </c>
      <c r="H149" s="2">
        <v>96.832579185520359</v>
      </c>
      <c r="I149" s="2">
        <f>H148</f>
        <v>95.927601809954751</v>
      </c>
      <c r="J149" s="2">
        <f t="shared" ref="J149:J187" si="7">H149-I149</f>
        <v>0.90497737556560764</v>
      </c>
      <c r="K149" s="2">
        <f t="shared" ref="K149:K187" si="8">J149*J149</f>
        <v>0.81898405028561483</v>
      </c>
    </row>
    <row r="150" spans="1:15" x14ac:dyDescent="0.35">
      <c r="A150">
        <v>3</v>
      </c>
      <c r="B150">
        <v>2012</v>
      </c>
      <c r="C150">
        <v>3</v>
      </c>
      <c r="D150" t="s">
        <v>8</v>
      </c>
      <c r="E150" t="s">
        <v>9</v>
      </c>
      <c r="F150" t="s">
        <v>20</v>
      </c>
      <c r="G150" t="s">
        <v>34</v>
      </c>
      <c r="H150" s="2">
        <v>95.238095238095227</v>
      </c>
      <c r="I150" s="2">
        <f>$H$146*H149+(1-$H$146)*I149</f>
        <v>96.561085972850663</v>
      </c>
      <c r="J150" s="2">
        <f t="shared" si="7"/>
        <v>-1.3229907347554359</v>
      </c>
      <c r="K150" s="2">
        <f t="shared" si="8"/>
        <v>1.7503044842487283</v>
      </c>
      <c r="M150" t="s">
        <v>75</v>
      </c>
      <c r="N150" t="s">
        <v>68</v>
      </c>
    </row>
    <row r="151" spans="1:15" x14ac:dyDescent="0.35">
      <c r="A151">
        <v>4</v>
      </c>
      <c r="B151">
        <v>2012</v>
      </c>
      <c r="C151">
        <v>4</v>
      </c>
      <c r="D151" t="s">
        <v>8</v>
      </c>
      <c r="E151" t="s">
        <v>9</v>
      </c>
      <c r="F151" t="s">
        <v>20</v>
      </c>
      <c r="G151" t="s">
        <v>34</v>
      </c>
      <c r="H151" s="2">
        <v>95.544554455445535</v>
      </c>
      <c r="I151" s="2">
        <f t="shared" ref="I151:I188" si="9">$H$146*H150+(1-$H$146)*I150</f>
        <v>95.634992458521864</v>
      </c>
      <c r="J151" s="2">
        <f t="shared" si="7"/>
        <v>-9.043800307632921E-2</v>
      </c>
      <c r="K151" s="2">
        <f t="shared" si="8"/>
        <v>8.1790324004341313E-3</v>
      </c>
      <c r="M151">
        <v>0.2</v>
      </c>
      <c r="N151">
        <v>13.34</v>
      </c>
    </row>
    <row r="152" spans="1:15" x14ac:dyDescent="0.35">
      <c r="A152">
        <v>5</v>
      </c>
      <c r="B152">
        <v>2013</v>
      </c>
      <c r="C152">
        <v>1</v>
      </c>
      <c r="D152" t="s">
        <v>8</v>
      </c>
      <c r="E152" t="s">
        <v>9</v>
      </c>
      <c r="F152" t="s">
        <v>20</v>
      </c>
      <c r="G152" t="s">
        <v>34</v>
      </c>
      <c r="H152" s="2">
        <v>93.212669683257914</v>
      </c>
      <c r="I152" s="2">
        <f t="shared" si="9"/>
        <v>95.571685856368447</v>
      </c>
      <c r="J152" s="2">
        <f t="shared" si="7"/>
        <v>-2.3590161731105326</v>
      </c>
      <c r="K152" s="2">
        <f t="shared" si="8"/>
        <v>5.564957304997062</v>
      </c>
      <c r="M152">
        <v>0.4</v>
      </c>
      <c r="N152">
        <v>11.9</v>
      </c>
    </row>
    <row r="153" spans="1:15" x14ac:dyDescent="0.35">
      <c r="A153">
        <v>6</v>
      </c>
      <c r="B153">
        <v>2013</v>
      </c>
      <c r="C153">
        <v>2</v>
      </c>
      <c r="D153" t="s">
        <v>8</v>
      </c>
      <c r="E153" t="s">
        <v>9</v>
      </c>
      <c r="F153" t="s">
        <v>20</v>
      </c>
      <c r="G153" t="s">
        <v>34</v>
      </c>
      <c r="H153" s="2">
        <v>94.468085106382986</v>
      </c>
      <c r="I153" s="2">
        <f t="shared" si="9"/>
        <v>93.920374535191073</v>
      </c>
      <c r="J153" s="2">
        <f t="shared" si="7"/>
        <v>0.54771057119191369</v>
      </c>
      <c r="K153" s="2">
        <f t="shared" si="8"/>
        <v>0.29998686979537237</v>
      </c>
      <c r="M153">
        <v>0.6</v>
      </c>
      <c r="N153">
        <v>11.59</v>
      </c>
    </row>
    <row r="154" spans="1:15" x14ac:dyDescent="0.35">
      <c r="A154">
        <v>7</v>
      </c>
      <c r="B154">
        <v>2013</v>
      </c>
      <c r="C154">
        <v>3</v>
      </c>
      <c r="D154" t="s">
        <v>8</v>
      </c>
      <c r="E154" t="s">
        <v>9</v>
      </c>
      <c r="F154" t="s">
        <v>20</v>
      </c>
      <c r="G154" t="s">
        <v>34</v>
      </c>
      <c r="H154" s="2">
        <v>96</v>
      </c>
      <c r="I154" s="2">
        <f t="shared" si="9"/>
        <v>94.303771935025409</v>
      </c>
      <c r="J154" s="2">
        <f t="shared" si="7"/>
        <v>1.6962280649745907</v>
      </c>
      <c r="K154" s="2">
        <f t="shared" si="8"/>
        <v>2.8771896484074442</v>
      </c>
      <c r="M154">
        <v>0.8</v>
      </c>
      <c r="N154">
        <v>11.63</v>
      </c>
    </row>
    <row r="155" spans="1:15" x14ac:dyDescent="0.35">
      <c r="A155">
        <v>8</v>
      </c>
      <c r="B155">
        <v>2013</v>
      </c>
      <c r="C155">
        <v>4</v>
      </c>
      <c r="D155" t="s">
        <v>8</v>
      </c>
      <c r="E155" t="s">
        <v>9</v>
      </c>
      <c r="F155" t="s">
        <v>20</v>
      </c>
      <c r="G155" t="s">
        <v>34</v>
      </c>
      <c r="H155" s="2">
        <v>90.366972477064223</v>
      </c>
      <c r="I155" s="2">
        <f t="shared" si="9"/>
        <v>95.491131580507613</v>
      </c>
      <c r="J155" s="2">
        <f t="shared" si="7"/>
        <v>-5.1241591034433895</v>
      </c>
      <c r="K155" s="2">
        <f t="shared" si="8"/>
        <v>26.257006517401763</v>
      </c>
      <c r="M155">
        <v>0.7</v>
      </c>
      <c r="N155">
        <v>11.58</v>
      </c>
      <c r="O155" t="s">
        <v>76</v>
      </c>
    </row>
    <row r="156" spans="1:15" x14ac:dyDescent="0.35">
      <c r="A156">
        <v>9</v>
      </c>
      <c r="B156">
        <v>2014</v>
      </c>
      <c r="C156">
        <v>1</v>
      </c>
      <c r="D156" t="s">
        <v>8</v>
      </c>
      <c r="E156" t="s">
        <v>9</v>
      </c>
      <c r="F156" t="s">
        <v>20</v>
      </c>
      <c r="G156" t="s">
        <v>34</v>
      </c>
      <c r="H156" s="2">
        <v>91.079812206572768</v>
      </c>
      <c r="I156" s="2">
        <f t="shared" si="9"/>
        <v>91.904220208097243</v>
      </c>
      <c r="J156" s="2">
        <f t="shared" si="7"/>
        <v>-0.8244080015244748</v>
      </c>
      <c r="K156" s="2">
        <f t="shared" si="8"/>
        <v>0.67964855297757842</v>
      </c>
    </row>
    <row r="157" spans="1:15" x14ac:dyDescent="0.35">
      <c r="A157">
        <v>10</v>
      </c>
      <c r="B157">
        <v>2014</v>
      </c>
      <c r="C157">
        <v>2</v>
      </c>
      <c r="D157" t="s">
        <v>8</v>
      </c>
      <c r="E157" t="s">
        <v>9</v>
      </c>
      <c r="F157" t="s">
        <v>20</v>
      </c>
      <c r="G157" t="s">
        <v>34</v>
      </c>
      <c r="H157" s="2">
        <v>94.805194805194802</v>
      </c>
      <c r="I157" s="2">
        <f t="shared" si="9"/>
        <v>91.327134607030118</v>
      </c>
      <c r="J157" s="2">
        <f t="shared" si="7"/>
        <v>3.4780601981646839</v>
      </c>
      <c r="K157" s="2">
        <f t="shared" si="8"/>
        <v>12.09690274205736</v>
      </c>
    </row>
    <row r="158" spans="1:15" x14ac:dyDescent="0.35">
      <c r="A158">
        <v>11</v>
      </c>
      <c r="B158">
        <v>2014</v>
      </c>
      <c r="C158">
        <v>3</v>
      </c>
      <c r="D158" t="s">
        <v>8</v>
      </c>
      <c r="E158" t="s">
        <v>9</v>
      </c>
      <c r="F158" t="s">
        <v>20</v>
      </c>
      <c r="G158" t="s">
        <v>34</v>
      </c>
      <c r="H158" s="2">
        <v>97.787610619469021</v>
      </c>
      <c r="I158" s="2">
        <f t="shared" si="9"/>
        <v>93.761776745745408</v>
      </c>
      <c r="J158" s="2">
        <f t="shared" si="7"/>
        <v>4.025833873723613</v>
      </c>
      <c r="K158" s="2">
        <f t="shared" si="8"/>
        <v>16.20733837882047</v>
      </c>
    </row>
    <row r="159" spans="1:15" x14ac:dyDescent="0.35">
      <c r="A159">
        <v>12</v>
      </c>
      <c r="B159">
        <v>2014</v>
      </c>
      <c r="C159">
        <v>4</v>
      </c>
      <c r="D159" t="s">
        <v>8</v>
      </c>
      <c r="E159" t="s">
        <v>9</v>
      </c>
      <c r="F159" t="s">
        <v>20</v>
      </c>
      <c r="G159" t="s">
        <v>34</v>
      </c>
      <c r="H159" s="2">
        <v>96.943231441048042</v>
      </c>
      <c r="I159" s="2">
        <f t="shared" si="9"/>
        <v>96.579860457351941</v>
      </c>
      <c r="J159" s="2">
        <f t="shared" si="7"/>
        <v>0.36337098369610032</v>
      </c>
      <c r="K159" s="2">
        <f t="shared" si="8"/>
        <v>0.1320384717922716</v>
      </c>
    </row>
    <row r="160" spans="1:15" x14ac:dyDescent="0.35">
      <c r="A160">
        <v>13</v>
      </c>
      <c r="B160">
        <v>2015</v>
      </c>
      <c r="C160">
        <v>1</v>
      </c>
      <c r="D160" t="s">
        <v>8</v>
      </c>
      <c r="E160" t="s">
        <v>9</v>
      </c>
      <c r="F160" t="s">
        <v>20</v>
      </c>
      <c r="G160" t="s">
        <v>34</v>
      </c>
      <c r="H160" s="2">
        <v>91.709844559585491</v>
      </c>
      <c r="I160" s="2">
        <f t="shared" si="9"/>
        <v>96.834220145939213</v>
      </c>
      <c r="J160" s="2">
        <f t="shared" si="7"/>
        <v>-5.1243755863537217</v>
      </c>
      <c r="K160" s="2">
        <f t="shared" si="8"/>
        <v>26.25922515001805</v>
      </c>
    </row>
    <row r="161" spans="1:11" x14ac:dyDescent="0.35">
      <c r="A161">
        <v>14</v>
      </c>
      <c r="B161">
        <v>2015</v>
      </c>
      <c r="C161">
        <v>2</v>
      </c>
      <c r="D161" t="s">
        <v>8</v>
      </c>
      <c r="E161" t="s">
        <v>9</v>
      </c>
      <c r="F161" t="s">
        <v>20</v>
      </c>
      <c r="G161" t="s">
        <v>34</v>
      </c>
      <c r="H161" s="2">
        <v>92.672413793103445</v>
      </c>
      <c r="I161" s="2">
        <f t="shared" si="9"/>
        <v>93.247157235491613</v>
      </c>
      <c r="J161" s="2">
        <f t="shared" si="7"/>
        <v>-0.57474344238816855</v>
      </c>
      <c r="K161" s="2">
        <f t="shared" si="8"/>
        <v>0.33033002456820204</v>
      </c>
    </row>
    <row r="162" spans="1:11" x14ac:dyDescent="0.35">
      <c r="A162">
        <v>15</v>
      </c>
      <c r="B162">
        <v>2015</v>
      </c>
      <c r="C162">
        <v>3</v>
      </c>
      <c r="D162" t="s">
        <v>8</v>
      </c>
      <c r="E162" t="s">
        <v>9</v>
      </c>
      <c r="F162" t="s">
        <v>20</v>
      </c>
      <c r="G162" t="s">
        <v>34</v>
      </c>
      <c r="H162" s="2">
        <v>86.142322097378283</v>
      </c>
      <c r="I162" s="2">
        <f t="shared" si="9"/>
        <v>92.844836825819897</v>
      </c>
      <c r="J162" s="2">
        <f t="shared" si="7"/>
        <v>-6.7025147284416136</v>
      </c>
      <c r="K162" s="2">
        <f t="shared" si="8"/>
        <v>44.923703684976758</v>
      </c>
    </row>
    <row r="163" spans="1:11" x14ac:dyDescent="0.35">
      <c r="A163">
        <v>16</v>
      </c>
      <c r="B163">
        <v>2015</v>
      </c>
      <c r="C163">
        <v>4</v>
      </c>
      <c r="D163" t="s">
        <v>8</v>
      </c>
      <c r="E163" t="s">
        <v>9</v>
      </c>
      <c r="F163" t="s">
        <v>20</v>
      </c>
      <c r="G163" t="s">
        <v>34</v>
      </c>
      <c r="H163" s="2">
        <v>88.659793814432987</v>
      </c>
      <c r="I163" s="2">
        <f t="shared" si="9"/>
        <v>88.153076515910769</v>
      </c>
      <c r="J163" s="2">
        <f t="shared" si="7"/>
        <v>0.50671729852221858</v>
      </c>
      <c r="K163" s="2">
        <f t="shared" si="8"/>
        <v>0.25676242062165516</v>
      </c>
    </row>
    <row r="164" spans="1:11" x14ac:dyDescent="0.35">
      <c r="A164">
        <v>17</v>
      </c>
      <c r="B164">
        <v>2016</v>
      </c>
      <c r="C164">
        <v>1</v>
      </c>
      <c r="D164" t="s">
        <v>8</v>
      </c>
      <c r="E164" t="s">
        <v>9</v>
      </c>
      <c r="F164" t="s">
        <v>20</v>
      </c>
      <c r="G164" t="s">
        <v>34</v>
      </c>
      <c r="H164" s="2">
        <v>92.410714285714292</v>
      </c>
      <c r="I164" s="2">
        <f t="shared" si="9"/>
        <v>88.507778624876323</v>
      </c>
      <c r="J164" s="2">
        <f t="shared" si="7"/>
        <v>3.9029356608379686</v>
      </c>
      <c r="K164" s="2">
        <f t="shared" si="8"/>
        <v>15.23290677264071</v>
      </c>
    </row>
    <row r="165" spans="1:11" x14ac:dyDescent="0.35">
      <c r="A165">
        <v>18</v>
      </c>
      <c r="B165">
        <v>2016</v>
      </c>
      <c r="C165">
        <v>2</v>
      </c>
      <c r="D165" t="s">
        <v>8</v>
      </c>
      <c r="E165" t="s">
        <v>9</v>
      </c>
      <c r="F165" t="s">
        <v>20</v>
      </c>
      <c r="G165" t="s">
        <v>34</v>
      </c>
      <c r="H165" s="2">
        <v>89.610389610389603</v>
      </c>
      <c r="I165" s="2">
        <f t="shared" si="9"/>
        <v>91.239833587462897</v>
      </c>
      <c r="J165" s="2">
        <f t="shared" si="7"/>
        <v>-1.6294439770732936</v>
      </c>
      <c r="K165" s="2">
        <f t="shared" si="8"/>
        <v>2.6550876744204319</v>
      </c>
    </row>
    <row r="166" spans="1:11" x14ac:dyDescent="0.35">
      <c r="A166">
        <v>19</v>
      </c>
      <c r="B166">
        <v>2016</v>
      </c>
      <c r="C166">
        <v>3</v>
      </c>
      <c r="D166" t="s">
        <v>8</v>
      </c>
      <c r="E166" t="s">
        <v>9</v>
      </c>
      <c r="F166" t="s">
        <v>20</v>
      </c>
      <c r="G166" t="s">
        <v>34</v>
      </c>
      <c r="H166" s="2">
        <v>82.969432314410483</v>
      </c>
      <c r="I166" s="2">
        <f t="shared" si="9"/>
        <v>90.099222803511594</v>
      </c>
      <c r="J166" s="2">
        <f t="shared" si="7"/>
        <v>-7.1297904891011115</v>
      </c>
      <c r="K166" s="2">
        <f t="shared" si="8"/>
        <v>50.833912418476665</v>
      </c>
    </row>
    <row r="167" spans="1:11" x14ac:dyDescent="0.35">
      <c r="A167">
        <v>20</v>
      </c>
      <c r="B167">
        <v>2016</v>
      </c>
      <c r="C167">
        <v>4</v>
      </c>
      <c r="D167" t="s">
        <v>8</v>
      </c>
      <c r="E167" t="s">
        <v>9</v>
      </c>
      <c r="F167" t="s">
        <v>20</v>
      </c>
      <c r="G167" t="s">
        <v>34</v>
      </c>
      <c r="H167" s="2">
        <v>87.169811320754718</v>
      </c>
      <c r="I167" s="2">
        <f t="shared" si="9"/>
        <v>85.108369461140811</v>
      </c>
      <c r="J167" s="2">
        <f t="shared" si="7"/>
        <v>2.0614418596139075</v>
      </c>
      <c r="K167" s="2">
        <f t="shared" si="8"/>
        <v>4.249542540568445</v>
      </c>
    </row>
    <row r="168" spans="1:11" x14ac:dyDescent="0.35">
      <c r="A168">
        <v>21</v>
      </c>
      <c r="B168">
        <v>2017</v>
      </c>
      <c r="C168">
        <v>1</v>
      </c>
      <c r="D168" t="s">
        <v>8</v>
      </c>
      <c r="E168" t="s">
        <v>9</v>
      </c>
      <c r="F168" t="s">
        <v>20</v>
      </c>
      <c r="G168" t="s">
        <v>34</v>
      </c>
      <c r="H168" s="2">
        <v>89.88326848249028</v>
      </c>
      <c r="I168" s="2">
        <f t="shared" si="9"/>
        <v>86.551378762870542</v>
      </c>
      <c r="J168" s="2">
        <f t="shared" si="7"/>
        <v>3.3318897196197383</v>
      </c>
      <c r="K168" s="2">
        <f t="shared" si="8"/>
        <v>11.101489103707699</v>
      </c>
    </row>
    <row r="169" spans="1:11" x14ac:dyDescent="0.35">
      <c r="A169">
        <v>22</v>
      </c>
      <c r="B169">
        <v>2017</v>
      </c>
      <c r="C169">
        <v>2</v>
      </c>
      <c r="D169" t="s">
        <v>8</v>
      </c>
      <c r="E169" t="s">
        <v>9</v>
      </c>
      <c r="F169" t="s">
        <v>20</v>
      </c>
      <c r="G169" t="s">
        <v>34</v>
      </c>
      <c r="H169" s="2">
        <v>90.34749034749035</v>
      </c>
      <c r="I169" s="2">
        <f t="shared" si="9"/>
        <v>88.883701566604358</v>
      </c>
      <c r="J169" s="2">
        <f t="shared" si="7"/>
        <v>1.4637887808859915</v>
      </c>
      <c r="K169" s="2">
        <f t="shared" si="8"/>
        <v>2.1426775950476973</v>
      </c>
    </row>
    <row r="170" spans="1:11" x14ac:dyDescent="0.35">
      <c r="A170">
        <v>23</v>
      </c>
      <c r="B170">
        <v>2017</v>
      </c>
      <c r="C170">
        <v>3</v>
      </c>
      <c r="D170" t="s">
        <v>8</v>
      </c>
      <c r="E170" t="s">
        <v>9</v>
      </c>
      <c r="F170" t="s">
        <v>20</v>
      </c>
      <c r="G170" t="s">
        <v>34</v>
      </c>
      <c r="H170" s="2">
        <v>89.642857142857153</v>
      </c>
      <c r="I170" s="2">
        <f t="shared" si="9"/>
        <v>89.908353713224557</v>
      </c>
      <c r="J170" s="2">
        <f t="shared" si="7"/>
        <v>-0.26549657036740371</v>
      </c>
      <c r="K170" s="2">
        <f t="shared" si="8"/>
        <v>7.0488428876853748E-2</v>
      </c>
    </row>
    <row r="171" spans="1:11" x14ac:dyDescent="0.35">
      <c r="A171">
        <v>24</v>
      </c>
      <c r="B171">
        <v>2017</v>
      </c>
      <c r="C171">
        <v>4</v>
      </c>
      <c r="D171" t="s">
        <v>8</v>
      </c>
      <c r="E171" t="s">
        <v>9</v>
      </c>
      <c r="F171" t="s">
        <v>20</v>
      </c>
      <c r="G171" t="s">
        <v>34</v>
      </c>
      <c r="H171" s="2">
        <v>89.400921658986178</v>
      </c>
      <c r="I171" s="2">
        <f t="shared" si="9"/>
        <v>89.72250611396737</v>
      </c>
      <c r="J171" s="2">
        <f t="shared" si="7"/>
        <v>-0.32158445498119193</v>
      </c>
      <c r="K171" s="2">
        <f t="shared" si="8"/>
        <v>0.10341656168555026</v>
      </c>
    </row>
    <row r="172" spans="1:11" x14ac:dyDescent="0.35">
      <c r="A172">
        <v>25</v>
      </c>
      <c r="B172">
        <v>2018</v>
      </c>
      <c r="C172">
        <v>1</v>
      </c>
      <c r="D172" t="s">
        <v>8</v>
      </c>
      <c r="E172" t="s">
        <v>9</v>
      </c>
      <c r="F172" t="s">
        <v>20</v>
      </c>
      <c r="G172" t="s">
        <v>34</v>
      </c>
      <c r="H172" s="2">
        <v>86.419753086419746</v>
      </c>
      <c r="I172" s="2">
        <f t="shared" si="9"/>
        <v>89.497396995480528</v>
      </c>
      <c r="J172" s="2">
        <f t="shared" si="7"/>
        <v>-3.0776439090607823</v>
      </c>
      <c r="K172" s="2">
        <f t="shared" si="8"/>
        <v>9.4718920309789336</v>
      </c>
    </row>
    <row r="173" spans="1:11" x14ac:dyDescent="0.35">
      <c r="A173">
        <v>26</v>
      </c>
      <c r="B173">
        <v>2018</v>
      </c>
      <c r="C173">
        <v>2</v>
      </c>
      <c r="D173" t="s">
        <v>8</v>
      </c>
      <c r="E173" t="s">
        <v>9</v>
      </c>
      <c r="F173" t="s">
        <v>20</v>
      </c>
      <c r="G173" t="s">
        <v>34</v>
      </c>
      <c r="H173" s="2">
        <v>87.931034482758619</v>
      </c>
      <c r="I173" s="2">
        <f t="shared" si="9"/>
        <v>87.343046259137978</v>
      </c>
      <c r="J173" s="2">
        <f t="shared" si="7"/>
        <v>0.58798822362064129</v>
      </c>
      <c r="K173" s="2">
        <f t="shared" si="8"/>
        <v>0.34573015111655725</v>
      </c>
    </row>
    <row r="174" spans="1:11" x14ac:dyDescent="0.35">
      <c r="A174">
        <v>27</v>
      </c>
      <c r="B174">
        <v>2018</v>
      </c>
      <c r="C174">
        <v>3</v>
      </c>
      <c r="D174" t="s">
        <v>8</v>
      </c>
      <c r="E174" t="s">
        <v>9</v>
      </c>
      <c r="F174" t="s">
        <v>20</v>
      </c>
      <c r="G174" t="s">
        <v>34</v>
      </c>
      <c r="H174" s="2">
        <v>83.467741935483872</v>
      </c>
      <c r="I174" s="2">
        <f t="shared" si="9"/>
        <v>87.754638015672427</v>
      </c>
      <c r="J174" s="2">
        <f t="shared" si="7"/>
        <v>-4.2868960801885549</v>
      </c>
      <c r="K174" s="2">
        <f t="shared" si="8"/>
        <v>18.377478002335998</v>
      </c>
    </row>
    <row r="175" spans="1:11" x14ac:dyDescent="0.35">
      <c r="A175">
        <v>28</v>
      </c>
      <c r="B175">
        <v>2018</v>
      </c>
      <c r="C175">
        <v>4</v>
      </c>
      <c r="D175" t="s">
        <v>8</v>
      </c>
      <c r="E175" t="s">
        <v>9</v>
      </c>
      <c r="F175" t="s">
        <v>20</v>
      </c>
      <c r="G175" t="s">
        <v>34</v>
      </c>
      <c r="H175" s="2">
        <v>82.926829268292678</v>
      </c>
      <c r="I175" s="2">
        <f t="shared" si="9"/>
        <v>84.753810759540443</v>
      </c>
      <c r="J175" s="2">
        <f t="shared" si="7"/>
        <v>-1.8269814912477642</v>
      </c>
      <c r="K175" s="2">
        <f t="shared" si="8"/>
        <v>3.3378613693619044</v>
      </c>
    </row>
    <row r="176" spans="1:11" x14ac:dyDescent="0.35">
      <c r="A176">
        <v>29</v>
      </c>
      <c r="B176">
        <v>2019</v>
      </c>
      <c r="C176">
        <v>1</v>
      </c>
      <c r="D176" t="s">
        <v>8</v>
      </c>
      <c r="E176" t="s">
        <v>9</v>
      </c>
      <c r="F176" t="s">
        <v>20</v>
      </c>
      <c r="G176" t="s">
        <v>34</v>
      </c>
      <c r="H176" s="2">
        <v>88.60759493670885</v>
      </c>
      <c r="I176" s="2">
        <f t="shared" si="9"/>
        <v>83.474923715667003</v>
      </c>
      <c r="J176" s="2">
        <f t="shared" si="7"/>
        <v>5.1326712210418464</v>
      </c>
      <c r="K176" s="2">
        <f t="shared" si="8"/>
        <v>26.344313863311196</v>
      </c>
    </row>
    <row r="177" spans="1:11" x14ac:dyDescent="0.35">
      <c r="A177">
        <v>30</v>
      </c>
      <c r="B177">
        <v>2019</v>
      </c>
      <c r="C177">
        <v>2</v>
      </c>
      <c r="D177" t="s">
        <v>8</v>
      </c>
      <c r="E177" t="s">
        <v>9</v>
      </c>
      <c r="F177" t="s">
        <v>20</v>
      </c>
      <c r="G177" t="s">
        <v>34</v>
      </c>
      <c r="H177" s="2">
        <v>89.523809523809533</v>
      </c>
      <c r="I177" s="2">
        <f t="shared" si="9"/>
        <v>87.067793570396304</v>
      </c>
      <c r="J177" s="2">
        <f t="shared" si="7"/>
        <v>2.4560159534132282</v>
      </c>
      <c r="K177" s="2">
        <f t="shared" si="8"/>
        <v>6.0320143634202887</v>
      </c>
    </row>
    <row r="178" spans="1:11" x14ac:dyDescent="0.35">
      <c r="A178">
        <v>31</v>
      </c>
      <c r="B178">
        <v>2019</v>
      </c>
      <c r="C178">
        <v>3</v>
      </c>
      <c r="D178" t="s">
        <v>8</v>
      </c>
      <c r="E178" t="s">
        <v>9</v>
      </c>
      <c r="F178" t="s">
        <v>20</v>
      </c>
      <c r="G178" t="s">
        <v>34</v>
      </c>
      <c r="H178" s="2">
        <v>95.238095238095227</v>
      </c>
      <c r="I178" s="2">
        <f t="shared" si="9"/>
        <v>88.787004737785566</v>
      </c>
      <c r="J178" s="2">
        <f t="shared" si="7"/>
        <v>6.451090500309661</v>
      </c>
      <c r="K178" s="2">
        <f t="shared" si="8"/>
        <v>41.616568643185552</v>
      </c>
    </row>
    <row r="179" spans="1:11" x14ac:dyDescent="0.35">
      <c r="A179">
        <v>32</v>
      </c>
      <c r="B179">
        <v>2019</v>
      </c>
      <c r="C179">
        <v>4</v>
      </c>
      <c r="D179" t="s">
        <v>8</v>
      </c>
      <c r="E179" t="s">
        <v>9</v>
      </c>
      <c r="F179" t="s">
        <v>20</v>
      </c>
      <c r="G179" t="s">
        <v>34</v>
      </c>
      <c r="H179" s="2">
        <v>94.930875576036868</v>
      </c>
      <c r="I179" s="2">
        <f t="shared" si="9"/>
        <v>93.302768088002324</v>
      </c>
      <c r="J179" s="2">
        <f t="shared" si="7"/>
        <v>1.6281074880345443</v>
      </c>
      <c r="K179" s="2">
        <f t="shared" si="8"/>
        <v>2.6507339925941538</v>
      </c>
    </row>
    <row r="180" spans="1:11" x14ac:dyDescent="0.35">
      <c r="A180">
        <v>33</v>
      </c>
      <c r="B180">
        <v>2020</v>
      </c>
      <c r="C180">
        <v>1</v>
      </c>
      <c r="D180" t="s">
        <v>8</v>
      </c>
      <c r="E180" t="s">
        <v>9</v>
      </c>
      <c r="F180" t="s">
        <v>20</v>
      </c>
      <c r="G180" t="s">
        <v>34</v>
      </c>
      <c r="H180" s="2">
        <v>91.904761904761898</v>
      </c>
      <c r="I180" s="2">
        <f t="shared" si="9"/>
        <v>94.442443329626514</v>
      </c>
      <c r="J180" s="2">
        <f t="shared" si="7"/>
        <v>-2.5376814248646156</v>
      </c>
      <c r="K180" s="2">
        <f t="shared" si="8"/>
        <v>6.4398270141029057</v>
      </c>
    </row>
    <row r="181" spans="1:11" x14ac:dyDescent="0.35">
      <c r="A181">
        <v>34</v>
      </c>
      <c r="B181">
        <v>2020</v>
      </c>
      <c r="C181">
        <v>2</v>
      </c>
      <c r="D181" t="s">
        <v>8</v>
      </c>
      <c r="E181" t="s">
        <v>9</v>
      </c>
      <c r="F181" t="s">
        <v>20</v>
      </c>
      <c r="G181" t="s">
        <v>34</v>
      </c>
      <c r="H181" s="2">
        <v>89.142857142857139</v>
      </c>
      <c r="I181" s="2">
        <f t="shared" si="9"/>
        <v>92.666066332221291</v>
      </c>
      <c r="J181" s="2">
        <f t="shared" si="7"/>
        <v>-3.5232091893641524</v>
      </c>
      <c r="K181" s="2">
        <f t="shared" si="8"/>
        <v>12.413002992020008</v>
      </c>
    </row>
    <row r="182" spans="1:11" x14ac:dyDescent="0.35">
      <c r="A182">
        <v>35</v>
      </c>
      <c r="B182">
        <v>2020</v>
      </c>
      <c r="C182">
        <v>3</v>
      </c>
      <c r="D182" t="s">
        <v>8</v>
      </c>
      <c r="E182" t="s">
        <v>9</v>
      </c>
      <c r="F182" t="s">
        <v>20</v>
      </c>
      <c r="G182" t="s">
        <v>34</v>
      </c>
      <c r="H182" s="2">
        <v>97.252747252747255</v>
      </c>
      <c r="I182" s="2">
        <f t="shared" si="9"/>
        <v>90.19981989966638</v>
      </c>
      <c r="J182" s="2">
        <f t="shared" si="7"/>
        <v>7.0529273530808752</v>
      </c>
      <c r="K182" s="2">
        <f t="shared" si="8"/>
        <v>49.743784247836402</v>
      </c>
    </row>
    <row r="183" spans="1:11" x14ac:dyDescent="0.35">
      <c r="A183">
        <v>36</v>
      </c>
      <c r="B183">
        <v>2020</v>
      </c>
      <c r="C183">
        <v>4</v>
      </c>
      <c r="D183" t="s">
        <v>8</v>
      </c>
      <c r="E183" t="s">
        <v>9</v>
      </c>
      <c r="F183" t="s">
        <v>20</v>
      </c>
      <c r="G183" t="s">
        <v>34</v>
      </c>
      <c r="H183" s="2">
        <v>97.560975609756099</v>
      </c>
      <c r="I183" s="2">
        <f t="shared" si="9"/>
        <v>95.136869046822994</v>
      </c>
      <c r="J183" s="2">
        <f t="shared" si="7"/>
        <v>2.4241065629331047</v>
      </c>
      <c r="K183" s="2">
        <f t="shared" si="8"/>
        <v>5.8762926284553503</v>
      </c>
    </row>
    <row r="184" spans="1:11" x14ac:dyDescent="0.35">
      <c r="A184">
        <v>37</v>
      </c>
      <c r="B184">
        <v>2021</v>
      </c>
      <c r="C184">
        <v>1</v>
      </c>
      <c r="D184" t="s">
        <v>8</v>
      </c>
      <c r="E184" t="s">
        <v>9</v>
      </c>
      <c r="F184" t="s">
        <v>20</v>
      </c>
      <c r="G184" t="s">
        <v>34</v>
      </c>
      <c r="H184" s="2">
        <v>93.782383419689126</v>
      </c>
      <c r="I184" s="2">
        <f t="shared" si="9"/>
        <v>96.833743640876165</v>
      </c>
      <c r="J184" s="2">
        <f t="shared" si="7"/>
        <v>-3.0513602211870392</v>
      </c>
      <c r="K184" s="2">
        <f t="shared" si="8"/>
        <v>9.3107991994426165</v>
      </c>
    </row>
    <row r="185" spans="1:11" x14ac:dyDescent="0.35">
      <c r="A185">
        <v>38</v>
      </c>
      <c r="B185">
        <v>2021</v>
      </c>
      <c r="C185">
        <v>2</v>
      </c>
      <c r="D185" t="s">
        <v>8</v>
      </c>
      <c r="E185" t="s">
        <v>9</v>
      </c>
      <c r="F185" t="s">
        <v>20</v>
      </c>
      <c r="G185" t="s">
        <v>34</v>
      </c>
      <c r="H185" s="2">
        <v>90.909090909090907</v>
      </c>
      <c r="I185" s="2">
        <f t="shared" si="9"/>
        <v>94.697791486045233</v>
      </c>
      <c r="J185" s="2">
        <f t="shared" si="7"/>
        <v>-3.7887005769543265</v>
      </c>
      <c r="K185" s="2">
        <f t="shared" si="8"/>
        <v>14.354252061814046</v>
      </c>
    </row>
    <row r="186" spans="1:11" x14ac:dyDescent="0.35">
      <c r="A186">
        <v>39</v>
      </c>
      <c r="B186">
        <v>2021</v>
      </c>
      <c r="C186">
        <v>3</v>
      </c>
      <c r="D186" t="s">
        <v>8</v>
      </c>
      <c r="E186" t="s">
        <v>9</v>
      </c>
      <c r="F186" t="s">
        <v>20</v>
      </c>
      <c r="G186" t="s">
        <v>34</v>
      </c>
      <c r="H186" s="2">
        <v>92.857142857142861</v>
      </c>
      <c r="I186" s="2">
        <f t="shared" si="9"/>
        <v>92.045701082177203</v>
      </c>
      <c r="J186" s="2">
        <f t="shared" si="7"/>
        <v>0.81144177496565817</v>
      </c>
      <c r="K186" s="2">
        <f t="shared" si="8"/>
        <v>0.65843775415941785</v>
      </c>
    </row>
    <row r="187" spans="1:11" x14ac:dyDescent="0.35">
      <c r="A187">
        <v>40</v>
      </c>
      <c r="B187">
        <v>2021</v>
      </c>
      <c r="C187">
        <v>4</v>
      </c>
      <c r="D187" t="s">
        <v>8</v>
      </c>
      <c r="E187" t="s">
        <v>9</v>
      </c>
      <c r="F187" t="s">
        <v>20</v>
      </c>
      <c r="G187" t="s">
        <v>34</v>
      </c>
      <c r="H187" s="2">
        <v>88.185654008438817</v>
      </c>
      <c r="I187" s="2">
        <f t="shared" si="9"/>
        <v>92.613710324653169</v>
      </c>
      <c r="J187" s="2">
        <f t="shared" si="7"/>
        <v>-4.4280563162143523</v>
      </c>
      <c r="K187" s="2">
        <f t="shared" si="8"/>
        <v>19.607682739565821</v>
      </c>
    </row>
    <row r="188" spans="1:11" x14ac:dyDescent="0.35">
      <c r="A188">
        <v>41</v>
      </c>
      <c r="I188" s="2">
        <f t="shared" si="9"/>
        <v>89.514070903303121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C573-C7AD-4ADA-A29B-11CFE5CB7C44}">
  <dimension ref="A1:I18"/>
  <sheetViews>
    <sheetView topLeftCell="A7" workbookViewId="0">
      <selection activeCell="H12" sqref="H12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0.27985272945392703</v>
      </c>
    </row>
    <row r="5" spans="1:9" x14ac:dyDescent="0.35">
      <c r="A5" t="s">
        <v>43</v>
      </c>
      <c r="B5">
        <v>7.8317550182812862E-2</v>
      </c>
    </row>
    <row r="6" spans="1:9" x14ac:dyDescent="0.35">
      <c r="A6" t="s">
        <v>44</v>
      </c>
      <c r="B6">
        <v>5.4062748871834244E-2</v>
      </c>
    </row>
    <row r="7" spans="1:9" x14ac:dyDescent="0.35">
      <c r="A7" t="s">
        <v>45</v>
      </c>
      <c r="B7">
        <v>3.9593585460203755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1</v>
      </c>
      <c r="C12">
        <v>50.618705697262953</v>
      </c>
      <c r="D12">
        <v>50.618705697262953</v>
      </c>
      <c r="E12">
        <v>3.2289503912515447</v>
      </c>
      <c r="F12">
        <v>8.0298798782334022E-2</v>
      </c>
    </row>
    <row r="13" spans="1:9" x14ac:dyDescent="0.35">
      <c r="A13" t="s">
        <v>49</v>
      </c>
      <c r="B13">
        <v>38</v>
      </c>
      <c r="C13">
        <v>595.70776364589403</v>
      </c>
      <c r="D13">
        <v>15.67652009594458</v>
      </c>
    </row>
    <row r="14" spans="1:9" ht="15" thickBot="1" x14ac:dyDescent="0.4">
      <c r="A14" s="5" t="s">
        <v>50</v>
      </c>
      <c r="B14" s="5">
        <v>39</v>
      </c>
      <c r="C14" s="5">
        <v>646.32646934315699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93.484446662666244</v>
      </c>
      <c r="C17">
        <v>1.2759099959071498</v>
      </c>
      <c r="D17">
        <v>73.26884103310158</v>
      </c>
      <c r="E17">
        <v>1.589998404045136E-42</v>
      </c>
      <c r="F17">
        <v>90.901501913274871</v>
      </c>
      <c r="G17">
        <v>96.067391412057617</v>
      </c>
      <c r="H17">
        <v>90.901501913274871</v>
      </c>
      <c r="I17">
        <v>96.067391412057617</v>
      </c>
    </row>
    <row r="18" spans="1:9" ht="15" thickBot="1" x14ac:dyDescent="0.4">
      <c r="A18" s="5" t="s">
        <v>0</v>
      </c>
      <c r="B18" s="5">
        <v>-9.7452259632878901E-2</v>
      </c>
      <c r="C18" s="5">
        <v>5.4232700090342534E-2</v>
      </c>
      <c r="D18" s="5">
        <v>-1.7969280428697054</v>
      </c>
      <c r="E18" s="5">
        <v>8.029879878233355E-2</v>
      </c>
      <c r="F18" s="5">
        <v>-0.2072406211889565</v>
      </c>
      <c r="G18" s="5">
        <v>1.23361019231987E-2</v>
      </c>
      <c r="H18" s="5">
        <v>-0.2072406211889565</v>
      </c>
      <c r="I18" s="5">
        <v>1.23361019231987E-2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5CB3-4645-401A-9F40-3FA81EE39111}">
  <dimension ref="A1:I21"/>
  <sheetViews>
    <sheetView workbookViewId="0">
      <selection activeCell="L23" sqref="L23"/>
    </sheetView>
  </sheetViews>
  <sheetFormatPr defaultRowHeight="14.5" x14ac:dyDescent="0.35"/>
  <sheetData>
    <row r="1" spans="1:9" x14ac:dyDescent="0.35">
      <c r="A1" t="s">
        <v>40</v>
      </c>
    </row>
    <row r="2" spans="1:9" ht="15" thickBot="1" x14ac:dyDescent="0.4"/>
    <row r="3" spans="1:9" x14ac:dyDescent="0.35">
      <c r="A3" s="7" t="s">
        <v>41</v>
      </c>
      <c r="B3" s="7"/>
    </row>
    <row r="4" spans="1:9" x14ac:dyDescent="0.35">
      <c r="A4" t="s">
        <v>42</v>
      </c>
      <c r="B4">
        <v>0.28276177948729164</v>
      </c>
    </row>
    <row r="5" spans="1:9" x14ac:dyDescent="0.35">
      <c r="A5" t="s">
        <v>43</v>
      </c>
      <c r="B5">
        <v>7.9954223938819749E-2</v>
      </c>
    </row>
    <row r="6" spans="1:9" x14ac:dyDescent="0.35">
      <c r="A6" t="s">
        <v>44</v>
      </c>
      <c r="B6">
        <v>-2.5193864753886571E-2</v>
      </c>
    </row>
    <row r="7" spans="1:9" x14ac:dyDescent="0.35">
      <c r="A7" t="s">
        <v>45</v>
      </c>
      <c r="B7">
        <v>4.1218925544868945</v>
      </c>
    </row>
    <row r="8" spans="1:9" ht="15" thickBot="1" x14ac:dyDescent="0.4">
      <c r="A8" s="5" t="s">
        <v>46</v>
      </c>
      <c r="B8" s="5">
        <v>40</v>
      </c>
    </row>
    <row r="10" spans="1:9" ht="15" thickBot="1" x14ac:dyDescent="0.4">
      <c r="A10" t="s">
        <v>47</v>
      </c>
    </row>
    <row r="11" spans="1:9" x14ac:dyDescent="0.35">
      <c r="A11" s="6"/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</row>
    <row r="12" spans="1:9" x14ac:dyDescent="0.35">
      <c r="A12" t="s">
        <v>48</v>
      </c>
      <c r="B12">
        <v>4</v>
      </c>
      <c r="C12">
        <v>51.676531267449491</v>
      </c>
      <c r="D12">
        <v>12.919132816862373</v>
      </c>
      <c r="E12">
        <v>0.76039636034169622</v>
      </c>
      <c r="F12">
        <v>0.5581248813463271</v>
      </c>
    </row>
    <row r="13" spans="1:9" x14ac:dyDescent="0.35">
      <c r="A13" t="s">
        <v>49</v>
      </c>
      <c r="B13">
        <v>35</v>
      </c>
      <c r="C13">
        <v>594.6499380757075</v>
      </c>
      <c r="D13">
        <v>16.9899982307345</v>
      </c>
    </row>
    <row r="14" spans="1:9" ht="15" thickBot="1" x14ac:dyDescent="0.4">
      <c r="A14" s="5" t="s">
        <v>50</v>
      </c>
      <c r="B14" s="5">
        <v>39</v>
      </c>
      <c r="C14" s="5">
        <v>646.32646934315699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57</v>
      </c>
      <c r="C16" s="6" t="s">
        <v>45</v>
      </c>
      <c r="D16" s="6" t="s">
        <v>58</v>
      </c>
      <c r="E16" s="6" t="s">
        <v>59</v>
      </c>
      <c r="F16" s="6" t="s">
        <v>60</v>
      </c>
      <c r="G16" s="6" t="s">
        <v>61</v>
      </c>
      <c r="H16" s="6" t="s">
        <v>62</v>
      </c>
      <c r="I16" s="6" t="s">
        <v>63</v>
      </c>
    </row>
    <row r="17" spans="1:9" x14ac:dyDescent="0.35">
      <c r="A17" t="s">
        <v>51</v>
      </c>
      <c r="B17">
        <v>93.313644948944102</v>
      </c>
      <c r="C17">
        <v>1.8045543293449064</v>
      </c>
      <c r="D17">
        <v>51.710077902070722</v>
      </c>
      <c r="E17">
        <v>1.1931587894389639E-34</v>
      </c>
      <c r="F17">
        <v>89.650204897982519</v>
      </c>
      <c r="G17">
        <v>96.977084999905685</v>
      </c>
      <c r="H17">
        <v>89.650204897982519</v>
      </c>
      <c r="I17">
        <v>96.977084999905685</v>
      </c>
    </row>
    <row r="18" spans="1:9" x14ac:dyDescent="0.35">
      <c r="A18" t="s">
        <v>0</v>
      </c>
      <c r="B18">
        <v>-9.7485590269022149E-2</v>
      </c>
      <c r="C18">
        <v>5.6725679327927554E-2</v>
      </c>
      <c r="D18">
        <v>-1.7185442541016414</v>
      </c>
      <c r="E18">
        <v>9.4532691648275352E-2</v>
      </c>
      <c r="F18">
        <v>-0.21264484160803451</v>
      </c>
      <c r="G18">
        <v>1.7673661069990215E-2</v>
      </c>
      <c r="H18">
        <v>-0.21264484160803451</v>
      </c>
      <c r="I18">
        <v>1.7673661069990215E-2</v>
      </c>
    </row>
    <row r="19" spans="1:9" x14ac:dyDescent="0.35">
      <c r="A19" t="s">
        <v>70</v>
      </c>
      <c r="B19">
        <v>3.2421703682830386E-2</v>
      </c>
      <c r="C19">
        <v>1.8512049779545843</v>
      </c>
      <c r="D19">
        <v>1.7513837780759139E-2</v>
      </c>
      <c r="E19">
        <v>0.98612615409630644</v>
      </c>
      <c r="F19">
        <v>-3.725724198879274</v>
      </c>
      <c r="G19">
        <v>3.7905676062449349</v>
      </c>
      <c r="H19">
        <v>-3.725724198879274</v>
      </c>
      <c r="I19">
        <v>3.7905676062449349</v>
      </c>
    </row>
    <row r="20" spans="1:9" x14ac:dyDescent="0.35">
      <c r="A20" t="s">
        <v>71</v>
      </c>
      <c r="B20">
        <v>0.26036134709611553</v>
      </c>
      <c r="C20">
        <v>1.8468543139424289</v>
      </c>
      <c r="D20">
        <v>0.14097557405073785</v>
      </c>
      <c r="E20">
        <v>0.88869750999509733</v>
      </c>
      <c r="F20">
        <v>-3.488952237961759</v>
      </c>
      <c r="G20">
        <v>4.00967493215399</v>
      </c>
      <c r="H20">
        <v>-3.488952237961759</v>
      </c>
      <c r="I20">
        <v>4.00967493215399</v>
      </c>
    </row>
    <row r="21" spans="1:9" ht="15" thickBot="1" x14ac:dyDescent="0.4">
      <c r="A21" s="5" t="s">
        <v>72</v>
      </c>
      <c r="B21" s="5">
        <v>0.39315691627330096</v>
      </c>
      <c r="C21" s="5">
        <v>1.8442389890798083</v>
      </c>
      <c r="D21" s="5">
        <v>0.21318111080032445</v>
      </c>
      <c r="E21" s="5">
        <v>0.83242260159202308</v>
      </c>
      <c r="F21" s="5">
        <v>-3.3508472770460171</v>
      </c>
      <c r="G21" s="5">
        <v>4.1371611095926193</v>
      </c>
      <c r="H21" s="5">
        <v>-3.3508472770460171</v>
      </c>
      <c r="I21" s="5">
        <v>4.1371611095926193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Final_CancerWaitingTime</vt:lpstr>
      <vt:lpstr>Summary</vt:lpstr>
      <vt:lpstr>S08000020_Grampian</vt:lpstr>
      <vt:lpstr>Regtrend_Grampian</vt:lpstr>
      <vt:lpstr>Regtrend_Grampian_Seasonal</vt:lpstr>
      <vt:lpstr>S08000024_Lothian</vt:lpstr>
      <vt:lpstr>Regtrend_Lothian</vt:lpstr>
      <vt:lpstr>Regtrend_Lothian_Seasonal</vt:lpstr>
      <vt:lpstr>S08000030_Tayside</vt:lpstr>
      <vt:lpstr>Regtrend_Tayside</vt:lpstr>
      <vt:lpstr>Regtrend_Tayside_Seasonal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</dc:creator>
  <cp:lastModifiedBy>Neha U</cp:lastModifiedBy>
  <dcterms:created xsi:type="dcterms:W3CDTF">2023-05-02T11:19:57Z</dcterms:created>
  <dcterms:modified xsi:type="dcterms:W3CDTF">2023-05-19T01:47:03Z</dcterms:modified>
</cp:coreProperties>
</file>