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ha U\Desktop\DMU\Sem 2\BI Application\Assignments\Group Assignment'\Final Excel\"/>
    </mc:Choice>
  </mc:AlternateContent>
  <xr:revisionPtr revIDLastSave="0" documentId="13_ncr:1_{40948B98-0FC0-4155-AFA8-194267E42B23}" xr6:coauthVersionLast="47" xr6:coauthVersionMax="47" xr10:uidLastSave="{00000000-0000-0000-0000-000000000000}"/>
  <bookViews>
    <workbookView xWindow="-110" yWindow="-110" windowWidth="19420" windowHeight="10300" activeTab="1" xr2:uid="{13622D20-253E-430B-9F61-137615231C61}"/>
  </bookViews>
  <sheets>
    <sheet name="Input Base Data" sheetId="1" r:id="rId1"/>
    <sheet name="Summary" sheetId="12" r:id="rId2"/>
    <sheet name="Grampian" sheetId="3" r:id="rId3"/>
    <sheet name="ReglinG" sheetId="4" r:id="rId4"/>
    <sheet name="RegSeaG" sheetId="5" r:id="rId5"/>
    <sheet name="Lothian" sheetId="6" r:id="rId6"/>
    <sheet name="ReglinL" sheetId="7" r:id="rId7"/>
    <sheet name="RegseaL" sheetId="8" r:id="rId8"/>
    <sheet name="Tayside" sheetId="9" r:id="rId9"/>
    <sheet name="ReglinT" sheetId="10" r:id="rId10"/>
  </sheets>
  <externalReferences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" i="3" l="1"/>
  <c r="Q61" i="6"/>
  <c r="P61" i="6"/>
  <c r="O62" i="6"/>
  <c r="P62" i="6" s="1"/>
  <c r="Q62" i="6" s="1"/>
  <c r="O61" i="6"/>
  <c r="Q7" i="9"/>
  <c r="Q8" i="9"/>
  <c r="Q9" i="9"/>
  <c r="Q10" i="9"/>
  <c r="Q11" i="9"/>
  <c r="Q12" i="9"/>
  <c r="Q13" i="9"/>
  <c r="Q14" i="9"/>
  <c r="Q15" i="9"/>
  <c r="Q16" i="9"/>
  <c r="Q17" i="9"/>
  <c r="Q6" i="9"/>
  <c r="P7" i="9"/>
  <c r="P8" i="9"/>
  <c r="P9" i="9"/>
  <c r="P10" i="9"/>
  <c r="P11" i="9"/>
  <c r="P12" i="9"/>
  <c r="P13" i="9"/>
  <c r="P14" i="9"/>
  <c r="P15" i="9"/>
  <c r="P16" i="9"/>
  <c r="P17" i="9"/>
  <c r="P6" i="9"/>
  <c r="O7" i="9"/>
  <c r="O8" i="9"/>
  <c r="O9" i="9"/>
  <c r="O10" i="9"/>
  <c r="O11" i="9"/>
  <c r="O12" i="9"/>
  <c r="O13" i="9"/>
  <c r="O14" i="9"/>
  <c r="O15" i="9"/>
  <c r="O16" i="9"/>
  <c r="O17" i="9"/>
  <c r="O6" i="9"/>
  <c r="O18" i="6"/>
  <c r="S42" i="6"/>
  <c r="S43" i="6"/>
  <c r="S44" i="6"/>
  <c r="S45" i="6"/>
  <c r="S31" i="6"/>
  <c r="T31" i="6" s="1"/>
  <c r="U31" i="6" s="1"/>
  <c r="S32" i="6"/>
  <c r="S33" i="6"/>
  <c r="T33" i="6" s="1"/>
  <c r="U33" i="6" s="1"/>
  <c r="S34" i="6"/>
  <c r="S35" i="6"/>
  <c r="T35" i="6" s="1"/>
  <c r="U35" i="6" s="1"/>
  <c r="S36" i="6"/>
  <c r="T36" i="6" s="1"/>
  <c r="U36" i="6" s="1"/>
  <c r="S37" i="6"/>
  <c r="T37" i="6" s="1"/>
  <c r="U37" i="6" s="1"/>
  <c r="S38" i="6"/>
  <c r="T38" i="6" s="1"/>
  <c r="U38" i="6" s="1"/>
  <c r="S39" i="6"/>
  <c r="T39" i="6" s="1"/>
  <c r="U39" i="6" s="1"/>
  <c r="S40" i="6"/>
  <c r="S41" i="6"/>
  <c r="T41" i="6" s="1"/>
  <c r="U41" i="6" s="1"/>
  <c r="S30" i="6"/>
  <c r="T30" i="6" s="1"/>
  <c r="U30" i="6" s="1"/>
  <c r="T40" i="6"/>
  <c r="U40" i="6" s="1"/>
  <c r="T34" i="6"/>
  <c r="U34" i="6" s="1"/>
  <c r="T32" i="6"/>
  <c r="U32" i="6" s="1"/>
  <c r="O7" i="6"/>
  <c r="P7" i="6" s="1"/>
  <c r="Q7" i="6" s="1"/>
  <c r="O8" i="6"/>
  <c r="P8" i="6" s="1"/>
  <c r="Q8" i="6" s="1"/>
  <c r="O9" i="6"/>
  <c r="P9" i="6" s="1"/>
  <c r="Q9" i="6" s="1"/>
  <c r="O10" i="6"/>
  <c r="P10" i="6" s="1"/>
  <c r="Q10" i="6" s="1"/>
  <c r="O11" i="6"/>
  <c r="P11" i="6" s="1"/>
  <c r="Q11" i="6" s="1"/>
  <c r="O12" i="6"/>
  <c r="P12" i="6" s="1"/>
  <c r="Q12" i="6" s="1"/>
  <c r="O13" i="6"/>
  <c r="P13" i="6" s="1"/>
  <c r="Q13" i="6" s="1"/>
  <c r="O14" i="6"/>
  <c r="P14" i="6" s="1"/>
  <c r="Q14" i="6" s="1"/>
  <c r="O15" i="6"/>
  <c r="P15" i="6" s="1"/>
  <c r="Q15" i="6" s="1"/>
  <c r="O16" i="6"/>
  <c r="P16" i="6" s="1"/>
  <c r="Q16" i="6" s="1"/>
  <c r="O17" i="6"/>
  <c r="P17" i="6" s="1"/>
  <c r="Q17" i="6" s="1"/>
  <c r="O6" i="6"/>
  <c r="P6" i="6" s="1"/>
  <c r="Q6" i="6" s="1"/>
  <c r="O64" i="3"/>
  <c r="P64" i="3" s="1"/>
  <c r="Q64" i="3" s="1"/>
  <c r="O63" i="3"/>
  <c r="P63" i="3"/>
  <c r="Q63" i="3" s="1"/>
  <c r="S43" i="3"/>
  <c r="S44" i="3"/>
  <c r="S45" i="3"/>
  <c r="S46" i="3"/>
  <c r="S32" i="3"/>
  <c r="T32" i="3" s="1"/>
  <c r="U32" i="3" s="1"/>
  <c r="S33" i="3"/>
  <c r="T33" i="3" s="1"/>
  <c r="U33" i="3" s="1"/>
  <c r="S34" i="3"/>
  <c r="T34" i="3" s="1"/>
  <c r="U34" i="3" s="1"/>
  <c r="S35" i="3"/>
  <c r="T35" i="3" s="1"/>
  <c r="U35" i="3" s="1"/>
  <c r="S36" i="3"/>
  <c r="T36" i="3" s="1"/>
  <c r="U36" i="3" s="1"/>
  <c r="S37" i="3"/>
  <c r="T37" i="3" s="1"/>
  <c r="U37" i="3" s="1"/>
  <c r="S38" i="3"/>
  <c r="T38" i="3" s="1"/>
  <c r="U38" i="3" s="1"/>
  <c r="S39" i="3"/>
  <c r="T39" i="3" s="1"/>
  <c r="U39" i="3" s="1"/>
  <c r="S40" i="3"/>
  <c r="T40" i="3" s="1"/>
  <c r="U40" i="3" s="1"/>
  <c r="S41" i="3"/>
  <c r="T41" i="3" s="1"/>
  <c r="U41" i="3" s="1"/>
  <c r="S42" i="3"/>
  <c r="T42" i="3" s="1"/>
  <c r="U42" i="3" s="1"/>
  <c r="S31" i="3"/>
  <c r="T31" i="3" s="1"/>
  <c r="U31" i="3" s="1"/>
  <c r="O7" i="3"/>
  <c r="P7" i="3" s="1"/>
  <c r="Q7" i="3" s="1"/>
  <c r="O8" i="3"/>
  <c r="P8" i="3" s="1"/>
  <c r="Q8" i="3" s="1"/>
  <c r="O9" i="3"/>
  <c r="P9" i="3" s="1"/>
  <c r="Q9" i="3" s="1"/>
  <c r="O10" i="3"/>
  <c r="P10" i="3" s="1"/>
  <c r="Q10" i="3" s="1"/>
  <c r="O11" i="3"/>
  <c r="P11" i="3" s="1"/>
  <c r="Q11" i="3" s="1"/>
  <c r="O12" i="3"/>
  <c r="P12" i="3" s="1"/>
  <c r="Q12" i="3" s="1"/>
  <c r="O13" i="3"/>
  <c r="P13" i="3" s="1"/>
  <c r="Q13" i="3" s="1"/>
  <c r="O14" i="3"/>
  <c r="P14" i="3" s="1"/>
  <c r="Q14" i="3" s="1"/>
  <c r="O15" i="3"/>
  <c r="P15" i="3" s="1"/>
  <c r="Q15" i="3" s="1"/>
  <c r="O16" i="3"/>
  <c r="P16" i="3" s="1"/>
  <c r="Q16" i="3" s="1"/>
  <c r="O17" i="3"/>
  <c r="P17" i="3" s="1"/>
  <c r="Q17" i="3" s="1"/>
  <c r="O6" i="3"/>
  <c r="Q6" i="3" l="1"/>
  <c r="O63" i="6"/>
  <c r="X35" i="3"/>
  <c r="U11" i="6"/>
  <c r="Y35" i="6"/>
  <c r="O65" i="3"/>
  <c r="O66" i="3" s="1"/>
  <c r="P66" i="3" s="1"/>
  <c r="Q66" i="3" s="1"/>
  <c r="U10" i="3"/>
  <c r="O64" i="6" l="1"/>
  <c r="P63" i="6"/>
  <c r="Q63" i="6" s="1"/>
  <c r="O67" i="3"/>
  <c r="O68" i="3" s="1"/>
  <c r="O69" i="3" s="1"/>
  <c r="O70" i="3" s="1"/>
  <c r="O71" i="3" s="1"/>
  <c r="O72" i="3" s="1"/>
  <c r="O73" i="3" s="1"/>
  <c r="O74" i="3" s="1"/>
  <c r="P65" i="3"/>
  <c r="Q65" i="3" s="1"/>
  <c r="O65" i="6" l="1"/>
  <c r="P64" i="6"/>
  <c r="Q64" i="6" s="1"/>
  <c r="P68" i="3"/>
  <c r="Q68" i="3" s="1"/>
  <c r="P67" i="3"/>
  <c r="Q67" i="3" s="1"/>
  <c r="P69" i="3"/>
  <c r="Q69" i="3" s="1"/>
  <c r="O66" i="6" l="1"/>
  <c r="P65" i="6"/>
  <c r="Q65" i="6" s="1"/>
  <c r="P70" i="3"/>
  <c r="Q70" i="3" s="1"/>
  <c r="O67" i="6" l="1"/>
  <c r="P66" i="6"/>
  <c r="Q66" i="6" s="1"/>
  <c r="P71" i="3"/>
  <c r="Q71" i="3" s="1"/>
  <c r="O68" i="6" l="1"/>
  <c r="P67" i="6"/>
  <c r="Q67" i="6" s="1"/>
  <c r="P72" i="3"/>
  <c r="Q72" i="3" s="1"/>
  <c r="P73" i="3"/>
  <c r="Q73" i="3" s="1"/>
  <c r="U66" i="3" s="1"/>
  <c r="O69" i="6" l="1"/>
  <c r="P68" i="6"/>
  <c r="Q68" i="6" s="1"/>
  <c r="O70" i="6" l="1"/>
  <c r="P69" i="6"/>
  <c r="Q69" i="6" s="1"/>
  <c r="O71" i="6" l="1"/>
  <c r="P70" i="6"/>
  <c r="Q70" i="6" s="1"/>
  <c r="P71" i="6" l="1"/>
  <c r="Q71" i="6" s="1"/>
  <c r="U67" i="6" s="1"/>
  <c r="O72" i="6"/>
</calcChain>
</file>

<file path=xl/sharedStrings.xml><?xml version="1.0" encoding="utf-8"?>
<sst xmlns="http://schemas.openxmlformats.org/spreadsheetml/2006/main" count="1359" uniqueCount="78">
  <si>
    <t>Period</t>
  </si>
  <si>
    <t>Year</t>
  </si>
  <si>
    <t>Quarter</t>
  </si>
  <si>
    <t>HB</t>
  </si>
  <si>
    <t>HBName</t>
  </si>
  <si>
    <t>Location</t>
  </si>
  <si>
    <t>LocationQF</t>
  </si>
  <si>
    <t>Specialty</t>
  </si>
  <si>
    <t>SpecialtyName</t>
  </si>
  <si>
    <t>AllStaffedBeddays</t>
  </si>
  <si>
    <t>TotalOccupiedBeddays</t>
  </si>
  <si>
    <t>AverageAvailableStaffedBeds</t>
  </si>
  <si>
    <t>AverageOccupiedBeds</t>
  </si>
  <si>
    <t>PercentageOccupancy</t>
  </si>
  <si>
    <t>S08000020</t>
  </si>
  <si>
    <t>NHS Grampian</t>
  </si>
  <si>
    <t>d</t>
  </si>
  <si>
    <t>AD</t>
  </si>
  <si>
    <t>Medical Oncology</t>
  </si>
  <si>
    <t>S08000024</t>
  </si>
  <si>
    <t>NHS Lothian</t>
  </si>
  <si>
    <t>S08000030</t>
  </si>
  <si>
    <t>NHS Tayside</t>
  </si>
  <si>
    <t>S08000031</t>
  </si>
  <si>
    <t>NHS Greater Glasgow and Clyde</t>
  </si>
  <si>
    <t>S92000003</t>
  </si>
  <si>
    <t>SCOTLAND</t>
  </si>
  <si>
    <t xml:space="preserve">Analysis of Bed Occupancy in the Grampian Health Board: WITHOUT the year 2020 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</si>
  <si>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</si>
  <si>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</si>
  <si>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</si>
  <si>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</si>
  <si>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</si>
  <si>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</si>
  <si>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</si>
  <si>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</si>
  <si>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</si>
  <si>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</si>
  <si>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</si>
  <si>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</si>
  <si>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</si>
  <si>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</si>
  <si>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</si>
  <si>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</si>
  <si>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</si>
  <si>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</si>
  <si>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</si>
  <si>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</si>
  <si>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</si>
  <si>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</si>
  <si>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</si>
  <si>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</si>
  <si>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</si>
  <si>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Forecast</t>
  </si>
  <si>
    <t>FE</t>
  </si>
  <si>
    <t>Squared FE</t>
  </si>
  <si>
    <t>MSE</t>
  </si>
  <si>
    <t>Q1</t>
  </si>
  <si>
    <t>Q2</t>
  </si>
  <si>
    <t>Q3</t>
  </si>
  <si>
    <t>X Variable 2</t>
  </si>
  <si>
    <t>X Variable 3</t>
  </si>
  <si>
    <t>X Variable 4</t>
  </si>
  <si>
    <t>Smoothing Constant</t>
  </si>
  <si>
    <t>Constant</t>
  </si>
  <si>
    <t xml:space="preserve">Analysis of Bed Occupancy in the Lothian Health Board: WITHOUT the year 2020 </t>
  </si>
  <si>
    <t>1. Linear Trend</t>
  </si>
  <si>
    <t>2. Forecast using seasonality</t>
  </si>
  <si>
    <t>Without 2020</t>
  </si>
  <si>
    <t>3. Forecast using exponential smoothing</t>
  </si>
  <si>
    <t>2. Forecast with Seasonality</t>
  </si>
  <si>
    <t>Chosen forecast method</t>
  </si>
  <si>
    <t>Exponential Smoothing</t>
  </si>
  <si>
    <t>Linear Trend with Seasonality</t>
  </si>
  <si>
    <t>Linear Trend</t>
  </si>
  <si>
    <t>Forecast Method</t>
  </si>
  <si>
    <t>Dataset</t>
  </si>
  <si>
    <t>Health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</si>
</sst>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BA8CD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Continuous"/>
    </xf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5" borderId="2" xfId="0" applyFont="1" applyFill="1" applyBorder="1" applyAlignment="1">
      <alignment horizontal="center"/>
    </xf>
    <xf numFmtId="0" fontId="0" fillId="5" borderId="0" xfId="0" applyFill="1"/>
    <xf numFmtId="0" fontId="0" fillId="5" borderId="1" xfId="0" applyFill="1" applyBorder="1"/>
    <xf numFmtId="0" fontId="0" fillId="6" borderId="0" xfId="0" applyFill="1"/>
    <xf numFmtId="2" fontId="0" fillId="4" borderId="0" xfId="0" applyNumberFormat="1" applyFill="1"/>
    <xf numFmtId="2" fontId="0" fillId="5" borderId="0" xfId="0" applyNumberFormat="1" applyFill="1"/>
    <xf numFmtId="0" fontId="0" fillId="7" borderId="0" xfId="0" applyFill="1"/>
    <xf numFmtId="0" fontId="0" fillId="9" borderId="0" xfId="0" applyFill="1"/>
    <xf numFmtId="0" fontId="0" fillId="10" borderId="0" xfId="0" applyFill="1"/>
    <xf numFmtId="0" fontId="0" fillId="9" borderId="0" xfId="0" applyFill="1" applyAlignment="1">
      <alignment horizontal="center"/>
    </xf>
    <xf numFmtId="0" fontId="0" fillId="0" borderId="3" xfId="0" applyBorder="1"/>
    <xf numFmtId="0" fontId="0" fillId="11" borderId="3" xfId="0" applyFill="1" applyBorder="1"/>
    <xf numFmtId="0" fontId="0" fillId="8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CC66FF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baseline="0">
                <a:effectLst/>
              </a:rPr>
              <a:t>Bed Occupancy (%) by quarter for Medical Oncology in Scotland</a:t>
            </a:r>
            <a:endParaRPr lang="en-GB" sz="1400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Grampian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[1]Final!$A$2:$A$17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[1]Final!$N$2:$N$17</c:f>
              <c:numCache>
                <c:formatCode>General</c:formatCode>
                <c:ptCount val="16"/>
                <c:pt idx="0">
                  <c:v>85.825892857142804</c:v>
                </c:pt>
                <c:pt idx="1">
                  <c:v>80.060195635816399</c:v>
                </c:pt>
                <c:pt idx="2">
                  <c:v>77.3458445040214</c:v>
                </c:pt>
                <c:pt idx="3">
                  <c:v>79.390797148412105</c:v>
                </c:pt>
                <c:pt idx="4">
                  <c:v>85.146053449347406</c:v>
                </c:pt>
                <c:pt idx="5">
                  <c:v>85.730274202574094</c:v>
                </c:pt>
                <c:pt idx="6">
                  <c:v>86.689419795221795</c:v>
                </c:pt>
                <c:pt idx="7">
                  <c:v>86.026490066225094</c:v>
                </c:pt>
                <c:pt idx="8">
                  <c:v>80.612244897959101</c:v>
                </c:pt>
                <c:pt idx="9">
                  <c:v>39.960629921259802</c:v>
                </c:pt>
                <c:pt idx="10">
                  <c:v>62.831325301204799</c:v>
                </c:pt>
                <c:pt idx="11">
                  <c:v>70.920957215373406</c:v>
                </c:pt>
                <c:pt idx="12">
                  <c:v>46.789503070910101</c:v>
                </c:pt>
                <c:pt idx="13">
                  <c:v>63.522727272727202</c:v>
                </c:pt>
                <c:pt idx="14">
                  <c:v>67.867647058823493</c:v>
                </c:pt>
                <c:pt idx="15">
                  <c:v>88.916876574307295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55-4732-94CB-6F61F4EE338F}"/>
            </c:ext>
          </c:extLst>
        </c:ser>
        <c:ser>
          <c:idx val="1"/>
          <c:order val="1"/>
          <c:tx>
            <c:v>Lothian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[1]Final!$N$18:$N$33</c:f>
              <c:numCache>
                <c:formatCode>General</c:formatCode>
                <c:ptCount val="16"/>
                <c:pt idx="0">
                  <c:v>96.525293817066895</c:v>
                </c:pt>
                <c:pt idx="1">
                  <c:v>94.567307692307693</c:v>
                </c:pt>
                <c:pt idx="2">
                  <c:v>94.694244604316495</c:v>
                </c:pt>
                <c:pt idx="3">
                  <c:v>96.402877697841703</c:v>
                </c:pt>
                <c:pt idx="4">
                  <c:v>94.280686317641795</c:v>
                </c:pt>
                <c:pt idx="5">
                  <c:v>90.951374207188096</c:v>
                </c:pt>
                <c:pt idx="6">
                  <c:v>95.575553055867999</c:v>
                </c:pt>
                <c:pt idx="7">
                  <c:v>95.745467998520098</c:v>
                </c:pt>
                <c:pt idx="8">
                  <c:v>92.172849571952696</c:v>
                </c:pt>
                <c:pt idx="9">
                  <c:v>68.564356435643504</c:v>
                </c:pt>
                <c:pt idx="10">
                  <c:v>74.439024390243901</c:v>
                </c:pt>
                <c:pt idx="11">
                  <c:v>79.946112394149296</c:v>
                </c:pt>
                <c:pt idx="12">
                  <c:v>87.324478178368096</c:v>
                </c:pt>
                <c:pt idx="13">
                  <c:v>94.900849858356906</c:v>
                </c:pt>
                <c:pt idx="14">
                  <c:v>95.980825958701999</c:v>
                </c:pt>
                <c:pt idx="15">
                  <c:v>97.628288055196194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55-4732-94CB-6F61F4EE338F}"/>
            </c:ext>
          </c:extLst>
        </c:ser>
        <c:ser>
          <c:idx val="2"/>
          <c:order val="2"/>
          <c:tx>
            <c:v>Tayside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yVal>
            <c:numRef>
              <c:f>[1]Final!$N$34:$N$49</c:f>
              <c:numCache>
                <c:formatCode>General</c:formatCode>
                <c:ptCount val="1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55-4732-94CB-6F61F4EE338F}"/>
            </c:ext>
          </c:extLst>
        </c:ser>
        <c:ser>
          <c:idx val="3"/>
          <c:order val="3"/>
          <c:tx>
            <c:v>Glasgow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[1]Final!$N$50:$N$65</c:f>
              <c:numCache>
                <c:formatCode>General</c:formatCode>
                <c:ptCount val="16"/>
                <c:pt idx="0">
                  <c:v>76.408139191978705</c:v>
                </c:pt>
                <c:pt idx="1">
                  <c:v>70.962047661076795</c:v>
                </c:pt>
                <c:pt idx="2">
                  <c:v>75.204678362573105</c:v>
                </c:pt>
                <c:pt idx="3">
                  <c:v>67.847956559016794</c:v>
                </c:pt>
                <c:pt idx="4">
                  <c:v>79.987816021931096</c:v>
                </c:pt>
                <c:pt idx="5">
                  <c:v>76.514032496307195</c:v>
                </c:pt>
                <c:pt idx="6">
                  <c:v>73.992118823886003</c:v>
                </c:pt>
                <c:pt idx="7">
                  <c:v>75.5865921787709</c:v>
                </c:pt>
                <c:pt idx="8">
                  <c:v>80.316344463971802</c:v>
                </c:pt>
                <c:pt idx="9">
                  <c:v>43.040293040293001</c:v>
                </c:pt>
                <c:pt idx="10">
                  <c:v>66.774541531823004</c:v>
                </c:pt>
                <c:pt idx="11">
                  <c:v>65.681601525262096</c:v>
                </c:pt>
                <c:pt idx="12">
                  <c:v>72.124183006535901</c:v>
                </c:pt>
                <c:pt idx="13">
                  <c:v>74.393700787401499</c:v>
                </c:pt>
                <c:pt idx="14">
                  <c:v>76.420986883197997</c:v>
                </c:pt>
                <c:pt idx="15">
                  <c:v>76.021886063726996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955-4732-94CB-6F61F4EE338F}"/>
            </c:ext>
          </c:extLst>
        </c:ser>
        <c:ser>
          <c:idx val="4"/>
          <c:order val="4"/>
          <c:tx>
            <c:v>Scotland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yVal>
            <c:numRef>
              <c:f>[1]Final!$N$66:$N$81</c:f>
              <c:numCache>
                <c:formatCode>General</c:formatCode>
                <c:ptCount val="16"/>
                <c:pt idx="0">
                  <c:v>83.783058128607806</c:v>
                </c:pt>
                <c:pt idx="1">
                  <c:v>79.365756541524405</c:v>
                </c:pt>
                <c:pt idx="2">
                  <c:v>80.267062314539999</c:v>
                </c:pt>
                <c:pt idx="3">
                  <c:v>79.9925018745313</c:v>
                </c:pt>
                <c:pt idx="4">
                  <c:v>85.368463287414698</c:v>
                </c:pt>
                <c:pt idx="5">
                  <c:v>82.909044390431106</c:v>
                </c:pt>
                <c:pt idx="6">
                  <c:v>84.328947368420998</c:v>
                </c:pt>
                <c:pt idx="7">
                  <c:v>84.540580974940696</c:v>
                </c:pt>
                <c:pt idx="8">
                  <c:v>83.988102614946101</c:v>
                </c:pt>
                <c:pt idx="9">
                  <c:v>51.702898550724598</c:v>
                </c:pt>
                <c:pt idx="10">
                  <c:v>68.687782805429805</c:v>
                </c:pt>
                <c:pt idx="11">
                  <c:v>72.616605115579205</c:v>
                </c:pt>
                <c:pt idx="12">
                  <c:v>72.207792207792195</c:v>
                </c:pt>
                <c:pt idx="13">
                  <c:v>79.136975455265201</c:v>
                </c:pt>
                <c:pt idx="14">
                  <c:v>82.806924805074601</c:v>
                </c:pt>
                <c:pt idx="15">
                  <c:v>86.231348795981603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955-4732-94CB-6F61F4EE3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05552"/>
        <c:axId val="83916368"/>
      </c:scatterChart>
      <c:valAx>
        <c:axId val="8390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baseline="0">
                    <a:effectLst/>
                  </a:rPr>
                  <a:t>Period from Q1 2018 to Q4 2021</a:t>
                </a:r>
                <a:endParaRPr lang="en-GB" sz="1000" baseline="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16368"/>
        <c:crosses val="autoZero"/>
        <c:crossBetween val="midCat"/>
      </c:valAx>
      <c:valAx>
        <c:axId val="8391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baseline="0">
                    <a:effectLst/>
                  </a:rPr>
                  <a:t>Bed Occupancy (%)</a:t>
                </a:r>
                <a:endParaRPr lang="en-GB" sz="1000" baseline="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05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Percentage occupancy of beds in Medical Oncology</a:t>
            </a:r>
            <a:endParaRPr lang="en-US" sz="1400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Original Data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Grampian!$A$6:$A$17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Grampian!$N$6:$N$17</c:f>
              <c:numCache>
                <c:formatCode>0.00</c:formatCode>
                <c:ptCount val="12"/>
                <c:pt idx="0">
                  <c:v>85.825892857142804</c:v>
                </c:pt>
                <c:pt idx="1">
                  <c:v>80.060195635816399</c:v>
                </c:pt>
                <c:pt idx="2">
                  <c:v>77.3458445040214</c:v>
                </c:pt>
                <c:pt idx="3">
                  <c:v>79.390797148412105</c:v>
                </c:pt>
                <c:pt idx="4">
                  <c:v>85.146053449347406</c:v>
                </c:pt>
                <c:pt idx="5">
                  <c:v>85.730274202574094</c:v>
                </c:pt>
                <c:pt idx="6">
                  <c:v>86.689419795221795</c:v>
                </c:pt>
                <c:pt idx="7">
                  <c:v>86.026490066225094</c:v>
                </c:pt>
                <c:pt idx="8">
                  <c:v>46.789503070910101</c:v>
                </c:pt>
                <c:pt idx="9">
                  <c:v>63.522727272727202</c:v>
                </c:pt>
                <c:pt idx="10">
                  <c:v>67.867647058823493</c:v>
                </c:pt>
                <c:pt idx="11">
                  <c:v>88.916876574307295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15-4C7B-9C21-088D79F9A1F7}"/>
            </c:ext>
          </c:extLst>
        </c:ser>
        <c:ser>
          <c:idx val="1"/>
          <c:order val="1"/>
          <c:tx>
            <c:v>Linear Trend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yVal>
            <c:numRef>
              <c:f>Grampian!$O$6:$O$17</c:f>
              <c:numCache>
                <c:formatCode>0.00</c:formatCode>
                <c:ptCount val="12"/>
                <c:pt idx="0">
                  <c:v>84.158668185026443</c:v>
                </c:pt>
                <c:pt idx="1">
                  <c:v>82.998178842832672</c:v>
                </c:pt>
                <c:pt idx="2">
                  <c:v>81.837689500638916</c:v>
                </c:pt>
                <c:pt idx="3">
                  <c:v>80.67720015844516</c:v>
                </c:pt>
                <c:pt idx="4">
                  <c:v>79.516710816251404</c:v>
                </c:pt>
                <c:pt idx="5">
                  <c:v>78.356221474057634</c:v>
                </c:pt>
                <c:pt idx="6">
                  <c:v>77.195732131863878</c:v>
                </c:pt>
                <c:pt idx="7">
                  <c:v>76.035242789670122</c:v>
                </c:pt>
                <c:pt idx="8">
                  <c:v>74.874753447476365</c:v>
                </c:pt>
                <c:pt idx="9">
                  <c:v>73.714264105282595</c:v>
                </c:pt>
                <c:pt idx="10">
                  <c:v>72.553774763088839</c:v>
                </c:pt>
                <c:pt idx="11">
                  <c:v>71.393285420895083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15-4C7B-9C21-088D79F9A1F7}"/>
            </c:ext>
          </c:extLst>
        </c:ser>
        <c:ser>
          <c:idx val="2"/>
          <c:order val="2"/>
          <c:tx>
            <c:v>Seasonality</c:v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yVal>
            <c:numRef>
              <c:f>Grampian!$S$31:$S$46</c:f>
              <c:numCache>
                <c:formatCode>0.00</c:formatCode>
                <c:ptCount val="16"/>
                <c:pt idx="0">
                  <c:v>79.527896813544828</c:v>
                </c:pt>
                <c:pt idx="1">
                  <c:v>83.378479391450625</c:v>
                </c:pt>
                <c:pt idx="2">
                  <c:v>84.241717473766954</c:v>
                </c:pt>
                <c:pt idx="3">
                  <c:v>91.718801617392884</c:v>
                </c:pt>
                <c:pt idx="4">
                  <c:v>72.587149792466761</c:v>
                </c:pt>
                <c:pt idx="5">
                  <c:v>76.437732370372544</c:v>
                </c:pt>
                <c:pt idx="6">
                  <c:v>77.300970452688873</c:v>
                </c:pt>
                <c:pt idx="7">
                  <c:v>84.778054596314817</c:v>
                </c:pt>
                <c:pt idx="8">
                  <c:v>65.646402771388679</c:v>
                </c:pt>
                <c:pt idx="9">
                  <c:v>69.496985349294476</c:v>
                </c:pt>
                <c:pt idx="10">
                  <c:v>70.360223431610805</c:v>
                </c:pt>
                <c:pt idx="11">
                  <c:v>77.837307575236736</c:v>
                </c:pt>
                <c:pt idx="12">
                  <c:v>58.705655750310612</c:v>
                </c:pt>
                <c:pt idx="13">
                  <c:v>62.556238328216402</c:v>
                </c:pt>
                <c:pt idx="14">
                  <c:v>63.419476410532738</c:v>
                </c:pt>
                <c:pt idx="15">
                  <c:v>70.896560554158668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15-4C7B-9C21-088D79F9A1F7}"/>
            </c:ext>
          </c:extLst>
        </c:ser>
        <c:ser>
          <c:idx val="3"/>
          <c:order val="3"/>
          <c:tx>
            <c:v>Exponential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Grampian!$O$63:$O$74</c:f>
              <c:numCache>
                <c:formatCode>0.00</c:formatCode>
                <c:ptCount val="12"/>
                <c:pt idx="0">
                  <c:v>85.825892857142804</c:v>
                </c:pt>
                <c:pt idx="1">
                  <c:v>84.672753412877526</c:v>
                </c:pt>
                <c:pt idx="2">
                  <c:v>83.207371631106298</c:v>
                </c:pt>
                <c:pt idx="3">
                  <c:v>82.444056734567468</c:v>
                </c:pt>
                <c:pt idx="4">
                  <c:v>82.984456077523461</c:v>
                </c:pt>
                <c:pt idx="5">
                  <c:v>83.533619702533599</c:v>
                </c:pt>
                <c:pt idx="6">
                  <c:v>84.164779721071241</c:v>
                </c:pt>
                <c:pt idx="7">
                  <c:v>84.53712179010202</c:v>
                </c:pt>
                <c:pt idx="8">
                  <c:v>76.987598046263628</c:v>
                </c:pt>
                <c:pt idx="9">
                  <c:v>74.294623891556341</c:v>
                </c:pt>
                <c:pt idx="10">
                  <c:v>73.009228525009775</c:v>
                </c:pt>
                <c:pt idx="11">
                  <c:v>76.190758134869284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F15-4C7B-9C21-088D79F9A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4536000"/>
        <c:axId val="834536720"/>
      </c:scatterChart>
      <c:valAx>
        <c:axId val="83453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baseline="0">
                    <a:effectLst/>
                  </a:rPr>
                  <a:t>Quarter from Q1 2018 to Q4 2021 without 2020</a:t>
                </a:r>
                <a:endParaRPr lang="en-GB" sz="1000">
                  <a:effectLst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GB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536720"/>
        <c:crosses val="autoZero"/>
        <c:crossBetween val="midCat"/>
      </c:valAx>
      <c:valAx>
        <c:axId val="83453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baseline="0">
                    <a:effectLst/>
                  </a:rPr>
                  <a:t>Bed Occupancy (%)</a:t>
                </a:r>
                <a:endParaRPr lang="en-US" sz="1000" baseline="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536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Percentage occupancy of beds in Medical Oncology</a:t>
            </a:r>
            <a:endParaRPr lang="en-US" sz="1400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Original Data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Lothian!$A$6:$A$17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Lothian!$N$6:$N$17</c:f>
              <c:numCache>
                <c:formatCode>0.00</c:formatCode>
                <c:ptCount val="12"/>
                <c:pt idx="0">
                  <c:v>96.525293817066895</c:v>
                </c:pt>
                <c:pt idx="1">
                  <c:v>94.567307692307693</c:v>
                </c:pt>
                <c:pt idx="2">
                  <c:v>94.694244604316495</c:v>
                </c:pt>
                <c:pt idx="3">
                  <c:v>96.402877697841703</c:v>
                </c:pt>
                <c:pt idx="4">
                  <c:v>94.280686317641795</c:v>
                </c:pt>
                <c:pt idx="5">
                  <c:v>90.951374207188096</c:v>
                </c:pt>
                <c:pt idx="6">
                  <c:v>95.575553055867999</c:v>
                </c:pt>
                <c:pt idx="7">
                  <c:v>95.745467998520098</c:v>
                </c:pt>
                <c:pt idx="8">
                  <c:v>87.324478178368096</c:v>
                </c:pt>
                <c:pt idx="9">
                  <c:v>94.900849858356906</c:v>
                </c:pt>
                <c:pt idx="10">
                  <c:v>95.980825958701999</c:v>
                </c:pt>
                <c:pt idx="11">
                  <c:v>97.628288055196194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82-4749-9F3F-7F15089EB616}"/>
            </c:ext>
          </c:extLst>
        </c:ser>
        <c:ser>
          <c:idx val="1"/>
          <c:order val="1"/>
          <c:tx>
            <c:v>Linear Trend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Lothian!$O$6:$O$18</c:f>
              <c:numCache>
                <c:formatCode>0.00</c:formatCode>
                <c:ptCount val="13"/>
                <c:pt idx="0">
                  <c:v>94.741808490193961</c:v>
                </c:pt>
                <c:pt idx="1">
                  <c:v>94.706589483512843</c:v>
                </c:pt>
                <c:pt idx="2">
                  <c:v>94.671370476831726</c:v>
                </c:pt>
                <c:pt idx="3">
                  <c:v>94.636151470150608</c:v>
                </c:pt>
                <c:pt idx="4">
                  <c:v>94.600932463469491</c:v>
                </c:pt>
                <c:pt idx="5">
                  <c:v>94.565713456788373</c:v>
                </c:pt>
                <c:pt idx="6">
                  <c:v>94.53049445010727</c:v>
                </c:pt>
                <c:pt idx="7">
                  <c:v>94.495275443426152</c:v>
                </c:pt>
                <c:pt idx="8">
                  <c:v>94.460056436745035</c:v>
                </c:pt>
                <c:pt idx="9">
                  <c:v>94.424837430063917</c:v>
                </c:pt>
                <c:pt idx="10">
                  <c:v>94.3896184233828</c:v>
                </c:pt>
                <c:pt idx="11">
                  <c:v>94.354399416701682</c:v>
                </c:pt>
                <c:pt idx="12">
                  <c:v>94.319180410020564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82-4749-9F3F-7F15089EB616}"/>
            </c:ext>
          </c:extLst>
        </c:ser>
        <c:ser>
          <c:idx val="2"/>
          <c:order val="2"/>
          <c:tx>
            <c:v>Seasonality</c:v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yVal>
            <c:numRef>
              <c:f>Lothian!$S$30:$S$45</c:f>
              <c:numCache>
                <c:formatCode>0.00</c:formatCode>
                <c:ptCount val="16"/>
                <c:pt idx="0">
                  <c:v>93.504562991139281</c:v>
                </c:pt>
                <c:pt idx="1">
                  <c:v>94.267587472731265</c:v>
                </c:pt>
                <c:pt idx="2">
                  <c:v>96.211284759742526</c:v>
                </c:pt>
                <c:pt idx="3">
                  <c:v>97.386621470633017</c:v>
                </c:pt>
                <c:pt idx="4">
                  <c:v>92.710152771025591</c:v>
                </c:pt>
                <c:pt idx="5">
                  <c:v>93.47317725261756</c:v>
                </c:pt>
                <c:pt idx="6">
                  <c:v>95.416874539628822</c:v>
                </c:pt>
                <c:pt idx="7">
                  <c:v>96.592211250519327</c:v>
                </c:pt>
                <c:pt idx="8">
                  <c:v>91.915742550911887</c:v>
                </c:pt>
                <c:pt idx="9">
                  <c:v>92.678767032503856</c:v>
                </c:pt>
                <c:pt idx="10">
                  <c:v>94.622464319515132</c:v>
                </c:pt>
                <c:pt idx="11">
                  <c:v>95.797801030405623</c:v>
                </c:pt>
                <c:pt idx="12">
                  <c:v>91.121332330798182</c:v>
                </c:pt>
                <c:pt idx="13">
                  <c:v>91.884356812390166</c:v>
                </c:pt>
                <c:pt idx="14">
                  <c:v>93.828054099401427</c:v>
                </c:pt>
                <c:pt idx="15">
                  <c:v>95.003390810291933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82-4749-9F3F-7F15089EB616}"/>
            </c:ext>
          </c:extLst>
        </c:ser>
        <c:ser>
          <c:idx val="3"/>
          <c:order val="3"/>
          <c:tx>
            <c:v>Exponential Smoothing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Lothian!$O$61:$O$72</c:f>
              <c:numCache>
                <c:formatCode>0.00</c:formatCode>
                <c:ptCount val="12"/>
                <c:pt idx="0">
                  <c:v>96.525293817066895</c:v>
                </c:pt>
                <c:pt idx="1">
                  <c:v>94.958904917259531</c:v>
                </c:pt>
                <c:pt idx="2">
                  <c:v>94.747176666905105</c:v>
                </c:pt>
                <c:pt idx="3">
                  <c:v>96.071737491654389</c:v>
                </c:pt>
                <c:pt idx="4">
                  <c:v>94.638896552444322</c:v>
                </c:pt>
                <c:pt idx="5">
                  <c:v>91.688878676239341</c:v>
                </c:pt>
                <c:pt idx="6">
                  <c:v>94.798218179942268</c:v>
                </c:pt>
                <c:pt idx="7">
                  <c:v>95.556018034804538</c:v>
                </c:pt>
                <c:pt idx="8">
                  <c:v>88.970786149655382</c:v>
                </c:pt>
                <c:pt idx="9">
                  <c:v>93.714837116616607</c:v>
                </c:pt>
                <c:pt idx="10">
                  <c:v>95.527628190284929</c:v>
                </c:pt>
                <c:pt idx="11">
                  <c:v>97.208156082213947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C2-48C3-A1A6-C1C4C0ADF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9830168"/>
        <c:axId val="709830528"/>
      </c:scatterChart>
      <c:valAx>
        <c:axId val="709830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baseline="0">
                    <a:effectLst/>
                  </a:rPr>
                  <a:t>Quarter from Q1 2018 to Q4 2021 without 2020</a:t>
                </a:r>
                <a:endParaRPr lang="en-GB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830528"/>
        <c:crosses val="autoZero"/>
        <c:crossBetween val="midCat"/>
      </c:valAx>
      <c:valAx>
        <c:axId val="70983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baseline="0">
                    <a:effectLst/>
                  </a:rPr>
                  <a:t>Bed Occupancy (%)</a:t>
                </a:r>
                <a:endParaRPr lang="en-US" sz="1000" baseline="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830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Percentage occupancy of beds in Medical Oncology</a:t>
            </a:r>
            <a:endParaRPr lang="en-US" sz="1400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Tayside!$N$5</c:f>
              <c:strCache>
                <c:ptCount val="1"/>
                <c:pt idx="0">
                  <c:v>PercentageOccupancy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Tayside!$A$6:$A$17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Tayside!$N$6:$N$17</c:f>
              <c:numCache>
                <c:formatCode>General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99-4BDE-9C32-21426A29A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002944"/>
        <c:axId val="703000784"/>
      </c:scatterChart>
      <c:valAx>
        <c:axId val="70300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baseline="0">
                    <a:effectLst/>
                  </a:rPr>
                  <a:t>Quarter from Q1 2018 to Q4 2021 without 2020</a:t>
                </a:r>
                <a:endParaRPr lang="en-GB" sz="1000">
                  <a:effectLst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GB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000784"/>
        <c:crosses val="autoZero"/>
        <c:crossBetween val="midCat"/>
      </c:valAx>
      <c:valAx>
        <c:axId val="70300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baseline="0">
                    <a:effectLst/>
                  </a:rPr>
                  <a:t>Bed Occupancy (%)</a:t>
                </a:r>
                <a:endParaRPr lang="en-US" sz="1000" baseline="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00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10</xdr:row>
      <xdr:rowOff>0</xdr:rowOff>
    </xdr:from>
    <xdr:to>
      <xdr:col>29</xdr:col>
      <xdr:colOff>257176</xdr:colOff>
      <xdr:row>33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7C9C40-2A87-488E-B94E-33DCBEE9D1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12700</xdr:rowOff>
    </xdr:from>
    <xdr:to>
      <xdr:col>29</xdr:col>
      <xdr:colOff>244475</xdr:colOff>
      <xdr:row>20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733A65-4D33-81C5-9428-AA20A4E31D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603250</xdr:colOff>
      <xdr:row>4</xdr:row>
      <xdr:rowOff>22225</xdr:rowOff>
    </xdr:from>
    <xdr:to>
      <xdr:col>29</xdr:col>
      <xdr:colOff>298450</xdr:colOff>
      <xdr:row>18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CEB9A-608D-D4F4-AA8B-F0DAD97920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596900</xdr:colOff>
      <xdr:row>6</xdr:row>
      <xdr:rowOff>6350</xdr:rowOff>
    </xdr:from>
    <xdr:to>
      <xdr:col>27</xdr:col>
      <xdr:colOff>292100</xdr:colOff>
      <xdr:row>20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4074C-E008-4878-E439-8308E48C88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esktop\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ilter"/>
      <sheetName val="Deleting"/>
      <sheetName val="Deleting Columns"/>
      <sheetName val="Filter d"/>
      <sheetName val="Remove except d"/>
      <sheetName val="Sorting"/>
      <sheetName val="Spliting"/>
      <sheetName val="Excluding"/>
      <sheetName val="HBTable"/>
      <sheetName val="HBName"/>
      <sheetName val="SCOTLAND"/>
      <sheetName val="Remove HB"/>
      <sheetName val="Hide"/>
      <sheetName val="Period"/>
      <sheetName val="Fi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A2">
            <v>1</v>
          </cell>
          <cell r="N2">
            <v>85.825892857142804</v>
          </cell>
        </row>
        <row r="3">
          <cell r="A3">
            <v>2</v>
          </cell>
          <cell r="N3">
            <v>80.060195635816399</v>
          </cell>
        </row>
        <row r="4">
          <cell r="A4">
            <v>3</v>
          </cell>
          <cell r="N4">
            <v>77.3458445040214</v>
          </cell>
        </row>
        <row r="5">
          <cell r="A5">
            <v>4</v>
          </cell>
          <cell r="N5">
            <v>79.390797148412105</v>
          </cell>
        </row>
        <row r="6">
          <cell r="A6">
            <v>5</v>
          </cell>
          <cell r="N6">
            <v>85.146053449347406</v>
          </cell>
        </row>
        <row r="7">
          <cell r="A7">
            <v>6</v>
          </cell>
          <cell r="N7">
            <v>85.730274202574094</v>
          </cell>
        </row>
        <row r="8">
          <cell r="A8">
            <v>7</v>
          </cell>
          <cell r="N8">
            <v>86.689419795221795</v>
          </cell>
        </row>
        <row r="9">
          <cell r="A9">
            <v>8</v>
          </cell>
          <cell r="N9">
            <v>86.026490066225094</v>
          </cell>
        </row>
        <row r="10">
          <cell r="A10">
            <v>9</v>
          </cell>
          <cell r="N10">
            <v>80.612244897959101</v>
          </cell>
        </row>
        <row r="11">
          <cell r="A11">
            <v>10</v>
          </cell>
          <cell r="N11">
            <v>39.960629921259802</v>
          </cell>
        </row>
        <row r="12">
          <cell r="A12">
            <v>11</v>
          </cell>
          <cell r="N12">
            <v>62.831325301204799</v>
          </cell>
        </row>
        <row r="13">
          <cell r="A13">
            <v>12</v>
          </cell>
          <cell r="N13">
            <v>70.920957215373406</v>
          </cell>
        </row>
        <row r="14">
          <cell r="A14">
            <v>13</v>
          </cell>
          <cell r="N14">
            <v>46.789503070910101</v>
          </cell>
        </row>
        <row r="15">
          <cell r="A15">
            <v>14</v>
          </cell>
          <cell r="N15">
            <v>63.522727272727202</v>
          </cell>
        </row>
        <row r="16">
          <cell r="A16">
            <v>15</v>
          </cell>
          <cell r="N16">
            <v>67.867647058823493</v>
          </cell>
        </row>
        <row r="17">
          <cell r="A17">
            <v>16</v>
          </cell>
          <cell r="N17">
            <v>88.916876574307295</v>
          </cell>
        </row>
        <row r="18">
          <cell r="N18">
            <v>96.525293817066895</v>
          </cell>
        </row>
        <row r="19">
          <cell r="N19">
            <v>94.567307692307693</v>
          </cell>
        </row>
        <row r="20">
          <cell r="N20">
            <v>94.694244604316495</v>
          </cell>
        </row>
        <row r="21">
          <cell r="N21">
            <v>96.402877697841703</v>
          </cell>
        </row>
        <row r="22">
          <cell r="N22">
            <v>94.280686317641795</v>
          </cell>
        </row>
        <row r="23">
          <cell r="N23">
            <v>90.951374207188096</v>
          </cell>
        </row>
        <row r="24">
          <cell r="N24">
            <v>95.575553055867999</v>
          </cell>
        </row>
        <row r="25">
          <cell r="N25">
            <v>95.745467998520098</v>
          </cell>
        </row>
        <row r="26">
          <cell r="N26">
            <v>92.172849571952696</v>
          </cell>
        </row>
        <row r="27">
          <cell r="N27">
            <v>68.564356435643504</v>
          </cell>
        </row>
        <row r="28">
          <cell r="N28">
            <v>74.439024390243901</v>
          </cell>
        </row>
        <row r="29">
          <cell r="N29">
            <v>79.946112394149296</v>
          </cell>
        </row>
        <row r="30">
          <cell r="N30">
            <v>87.324478178368096</v>
          </cell>
        </row>
        <row r="31">
          <cell r="N31">
            <v>94.900849858356906</v>
          </cell>
        </row>
        <row r="32">
          <cell r="N32">
            <v>95.980825958701999</v>
          </cell>
        </row>
        <row r="33">
          <cell r="N33">
            <v>97.628288055196194</v>
          </cell>
        </row>
        <row r="34">
          <cell r="N34">
            <v>100</v>
          </cell>
        </row>
        <row r="35">
          <cell r="N35">
            <v>100</v>
          </cell>
        </row>
        <row r="36">
          <cell r="N36">
            <v>100</v>
          </cell>
        </row>
        <row r="37">
          <cell r="N37">
            <v>100</v>
          </cell>
        </row>
        <row r="38">
          <cell r="N38">
            <v>100</v>
          </cell>
        </row>
        <row r="39">
          <cell r="N39">
            <v>100</v>
          </cell>
        </row>
        <row r="40">
          <cell r="N40">
            <v>100</v>
          </cell>
        </row>
        <row r="41">
          <cell r="N41">
            <v>100</v>
          </cell>
        </row>
        <row r="42">
          <cell r="N42">
            <v>100</v>
          </cell>
        </row>
        <row r="43">
          <cell r="N43">
            <v>100</v>
          </cell>
        </row>
        <row r="44">
          <cell r="N44">
            <v>100</v>
          </cell>
        </row>
        <row r="45">
          <cell r="N45">
            <v>100</v>
          </cell>
        </row>
        <row r="46">
          <cell r="N46">
            <v>100</v>
          </cell>
        </row>
        <row r="47">
          <cell r="N47">
            <v>100</v>
          </cell>
        </row>
        <row r="48">
          <cell r="N48">
            <v>100</v>
          </cell>
        </row>
        <row r="49">
          <cell r="N49">
            <v>100</v>
          </cell>
        </row>
        <row r="50">
          <cell r="N50">
            <v>76.408139191978705</v>
          </cell>
        </row>
        <row r="51">
          <cell r="N51">
            <v>70.962047661076795</v>
          </cell>
        </row>
        <row r="52">
          <cell r="N52">
            <v>75.204678362573105</v>
          </cell>
        </row>
        <row r="53">
          <cell r="N53">
            <v>67.847956559016794</v>
          </cell>
        </row>
        <row r="54">
          <cell r="N54">
            <v>79.987816021931096</v>
          </cell>
        </row>
        <row r="55">
          <cell r="N55">
            <v>76.514032496307195</v>
          </cell>
        </row>
        <row r="56">
          <cell r="N56">
            <v>73.992118823886003</v>
          </cell>
        </row>
        <row r="57">
          <cell r="N57">
            <v>75.5865921787709</v>
          </cell>
        </row>
        <row r="58">
          <cell r="N58">
            <v>80.316344463971802</v>
          </cell>
        </row>
        <row r="59">
          <cell r="N59">
            <v>43.040293040293001</v>
          </cell>
        </row>
        <row r="60">
          <cell r="N60">
            <v>66.774541531823004</v>
          </cell>
        </row>
        <row r="61">
          <cell r="N61">
            <v>65.681601525262096</v>
          </cell>
        </row>
        <row r="62">
          <cell r="N62">
            <v>72.124183006535901</v>
          </cell>
        </row>
        <row r="63">
          <cell r="N63">
            <v>74.393700787401499</v>
          </cell>
        </row>
        <row r="64">
          <cell r="N64">
            <v>76.420986883197997</v>
          </cell>
        </row>
        <row r="65">
          <cell r="N65">
            <v>76.021886063726996</v>
          </cell>
        </row>
        <row r="66">
          <cell r="N66">
            <v>83.783058128607806</v>
          </cell>
        </row>
        <row r="67">
          <cell r="N67">
            <v>79.365756541524405</v>
          </cell>
        </row>
        <row r="68">
          <cell r="N68">
            <v>80.267062314539999</v>
          </cell>
        </row>
        <row r="69">
          <cell r="N69">
            <v>79.9925018745313</v>
          </cell>
        </row>
        <row r="70">
          <cell r="N70">
            <v>85.368463287414698</v>
          </cell>
        </row>
        <row r="71">
          <cell r="N71">
            <v>82.909044390431106</v>
          </cell>
        </row>
        <row r="72">
          <cell r="N72">
            <v>84.328947368420998</v>
          </cell>
        </row>
        <row r="73">
          <cell r="N73">
            <v>84.540580974940696</v>
          </cell>
        </row>
        <row r="74">
          <cell r="N74">
            <v>83.988102614946101</v>
          </cell>
        </row>
        <row r="75">
          <cell r="N75">
            <v>51.702898550724598</v>
          </cell>
        </row>
        <row r="76">
          <cell r="N76">
            <v>68.687782805429805</v>
          </cell>
        </row>
        <row r="77">
          <cell r="N77">
            <v>72.616605115579205</v>
          </cell>
        </row>
        <row r="78">
          <cell r="N78">
            <v>72.207792207792195</v>
          </cell>
        </row>
        <row r="79">
          <cell r="N79">
            <v>79.136975455265201</v>
          </cell>
        </row>
        <row r="80">
          <cell r="N80">
            <v>82.806924805074601</v>
          </cell>
        </row>
        <row r="81">
          <cell r="N81">
            <v>86.231348795981603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6C9AC-3A8E-40C6-A50B-34CB532C049B}">
  <dimension ref="A1:N81"/>
  <sheetViews>
    <sheetView zoomScale="54" workbookViewId="0">
      <selection activeCell="Q13" sqref="Q13"/>
    </sheetView>
  </sheetViews>
  <sheetFormatPr defaultRowHeight="14.5" x14ac:dyDescent="0.35"/>
  <cols>
    <col min="6" max="13" width="0" hidden="1" customWidth="1"/>
    <col min="14" max="14" width="19.54296875" customWidth="1"/>
  </cols>
  <sheetData>
    <row r="1" spans="1:14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</row>
    <row r="2" spans="1:14" x14ac:dyDescent="0.35">
      <c r="A2" s="7">
        <v>1</v>
      </c>
      <c r="B2" s="9">
        <v>2018</v>
      </c>
      <c r="C2" s="9">
        <v>1</v>
      </c>
      <c r="D2" s="9" t="s">
        <v>14</v>
      </c>
      <c r="E2" s="9" t="s">
        <v>15</v>
      </c>
      <c r="F2" s="9" t="s">
        <v>14</v>
      </c>
      <c r="G2" s="9" t="s">
        <v>16</v>
      </c>
      <c r="H2" s="9" t="s">
        <v>17</v>
      </c>
      <c r="I2" s="9" t="s">
        <v>18</v>
      </c>
      <c r="J2" s="9">
        <v>1792</v>
      </c>
      <c r="K2" s="9">
        <v>1538</v>
      </c>
      <c r="L2" s="9">
        <v>19.911111111111101</v>
      </c>
      <c r="M2" s="9">
        <v>17.0888888888888</v>
      </c>
      <c r="N2" s="9">
        <v>85.825892857142804</v>
      </c>
    </row>
    <row r="3" spans="1:14" x14ac:dyDescent="0.35">
      <c r="A3" s="7">
        <v>2</v>
      </c>
      <c r="B3" s="9">
        <v>2018</v>
      </c>
      <c r="C3" s="9">
        <v>2</v>
      </c>
      <c r="D3" s="9" t="s">
        <v>14</v>
      </c>
      <c r="E3" s="9" t="s">
        <v>15</v>
      </c>
      <c r="F3" s="9" t="s">
        <v>14</v>
      </c>
      <c r="G3" s="9" t="s">
        <v>16</v>
      </c>
      <c r="H3" s="9" t="s">
        <v>17</v>
      </c>
      <c r="I3" s="9" t="s">
        <v>18</v>
      </c>
      <c r="J3" s="9">
        <v>1329</v>
      </c>
      <c r="K3" s="9">
        <v>1064</v>
      </c>
      <c r="L3" s="9">
        <v>14.6043956043956</v>
      </c>
      <c r="M3" s="9">
        <v>11.692307692307599</v>
      </c>
      <c r="N3" s="9">
        <v>80.060195635816399</v>
      </c>
    </row>
    <row r="4" spans="1:14" x14ac:dyDescent="0.35">
      <c r="A4" s="7">
        <v>3</v>
      </c>
      <c r="B4" s="9">
        <v>2018</v>
      </c>
      <c r="C4" s="9">
        <v>3</v>
      </c>
      <c r="D4" s="9" t="s">
        <v>14</v>
      </c>
      <c r="E4" s="9" t="s">
        <v>15</v>
      </c>
      <c r="F4" s="9" t="s">
        <v>14</v>
      </c>
      <c r="G4" s="9" t="s">
        <v>16</v>
      </c>
      <c r="H4" s="9" t="s">
        <v>17</v>
      </c>
      <c r="I4" s="9" t="s">
        <v>18</v>
      </c>
      <c r="J4" s="9">
        <v>1492</v>
      </c>
      <c r="K4" s="9">
        <v>1154</v>
      </c>
      <c r="L4" s="9">
        <v>16.2173913043478</v>
      </c>
      <c r="M4" s="9">
        <v>12.543478260869501</v>
      </c>
      <c r="N4" s="9">
        <v>77.3458445040214</v>
      </c>
    </row>
    <row r="5" spans="1:14" x14ac:dyDescent="0.35">
      <c r="A5" s="7">
        <v>4</v>
      </c>
      <c r="B5" s="9">
        <v>2018</v>
      </c>
      <c r="C5" s="9">
        <v>4</v>
      </c>
      <c r="D5" s="9" t="s">
        <v>14</v>
      </c>
      <c r="E5" s="9" t="s">
        <v>15</v>
      </c>
      <c r="F5" s="9" t="s">
        <v>14</v>
      </c>
      <c r="G5" s="9" t="s">
        <v>16</v>
      </c>
      <c r="H5" s="9" t="s">
        <v>17</v>
      </c>
      <c r="I5" s="9" t="s">
        <v>18</v>
      </c>
      <c r="J5" s="9">
        <v>1543</v>
      </c>
      <c r="K5" s="9">
        <v>1225</v>
      </c>
      <c r="L5" s="9">
        <v>16.7717391304347</v>
      </c>
      <c r="M5" s="9">
        <v>13.3152173913043</v>
      </c>
      <c r="N5" s="9">
        <v>79.390797148412105</v>
      </c>
    </row>
    <row r="6" spans="1:14" x14ac:dyDescent="0.35">
      <c r="A6" s="7">
        <v>5</v>
      </c>
      <c r="B6" s="9">
        <v>2019</v>
      </c>
      <c r="C6" s="9">
        <v>1</v>
      </c>
      <c r="D6" s="9" t="s">
        <v>14</v>
      </c>
      <c r="E6" s="9" t="s">
        <v>15</v>
      </c>
      <c r="F6" s="9" t="s">
        <v>14</v>
      </c>
      <c r="G6" s="9" t="s">
        <v>16</v>
      </c>
      <c r="H6" s="9" t="s">
        <v>17</v>
      </c>
      <c r="I6" s="9" t="s">
        <v>18</v>
      </c>
      <c r="J6" s="9">
        <v>1609</v>
      </c>
      <c r="K6" s="9">
        <v>1370</v>
      </c>
      <c r="L6" s="9">
        <v>17.877777777777698</v>
      </c>
      <c r="M6" s="9">
        <v>15.2222222222222</v>
      </c>
      <c r="N6" s="9">
        <v>85.146053449347406</v>
      </c>
    </row>
    <row r="7" spans="1:14" x14ac:dyDescent="0.35">
      <c r="A7" s="7">
        <v>6</v>
      </c>
      <c r="B7" s="9">
        <v>2019</v>
      </c>
      <c r="C7" s="9">
        <v>2</v>
      </c>
      <c r="D7" s="9" t="s">
        <v>14</v>
      </c>
      <c r="E7" s="9" t="s">
        <v>15</v>
      </c>
      <c r="F7" s="9" t="s">
        <v>14</v>
      </c>
      <c r="G7" s="9" t="s">
        <v>16</v>
      </c>
      <c r="H7" s="9" t="s">
        <v>17</v>
      </c>
      <c r="I7" s="9" t="s">
        <v>18</v>
      </c>
      <c r="J7" s="9">
        <v>1787</v>
      </c>
      <c r="K7" s="9">
        <v>1532</v>
      </c>
      <c r="L7" s="9">
        <v>19.6373626373626</v>
      </c>
      <c r="M7" s="9">
        <v>16.8351648351648</v>
      </c>
      <c r="N7" s="9">
        <v>85.730274202574094</v>
      </c>
    </row>
    <row r="8" spans="1:14" x14ac:dyDescent="0.35">
      <c r="A8" s="7">
        <v>7</v>
      </c>
      <c r="B8" s="9">
        <v>2019</v>
      </c>
      <c r="C8" s="9">
        <v>3</v>
      </c>
      <c r="D8" s="9" t="s">
        <v>14</v>
      </c>
      <c r="E8" s="9" t="s">
        <v>15</v>
      </c>
      <c r="F8" s="9" t="s">
        <v>14</v>
      </c>
      <c r="G8" s="9" t="s">
        <v>16</v>
      </c>
      <c r="H8" s="9" t="s">
        <v>17</v>
      </c>
      <c r="I8" s="9" t="s">
        <v>18</v>
      </c>
      <c r="J8" s="9">
        <v>1465</v>
      </c>
      <c r="K8" s="9">
        <v>1270</v>
      </c>
      <c r="L8" s="9">
        <v>15.923913043478199</v>
      </c>
      <c r="M8" s="9">
        <v>13.8043478260869</v>
      </c>
      <c r="N8" s="9">
        <v>86.689419795221795</v>
      </c>
    </row>
    <row r="9" spans="1:14" x14ac:dyDescent="0.35">
      <c r="A9" s="7">
        <v>8</v>
      </c>
      <c r="B9" s="9">
        <v>2019</v>
      </c>
      <c r="C9" s="9">
        <v>4</v>
      </c>
      <c r="D9" s="9" t="s">
        <v>14</v>
      </c>
      <c r="E9" s="9" t="s">
        <v>15</v>
      </c>
      <c r="F9" s="9" t="s">
        <v>14</v>
      </c>
      <c r="G9" s="9" t="s">
        <v>16</v>
      </c>
      <c r="H9" s="9" t="s">
        <v>17</v>
      </c>
      <c r="I9" s="9" t="s">
        <v>18</v>
      </c>
      <c r="J9" s="9">
        <v>1510</v>
      </c>
      <c r="K9" s="9">
        <v>1299</v>
      </c>
      <c r="L9" s="9">
        <v>16.4130434782608</v>
      </c>
      <c r="M9" s="9">
        <v>14.119565217391299</v>
      </c>
      <c r="N9" s="9">
        <v>86.026490066225094</v>
      </c>
    </row>
    <row r="10" spans="1:14" x14ac:dyDescent="0.35">
      <c r="A10" s="7">
        <v>9</v>
      </c>
      <c r="B10" s="9">
        <v>2020</v>
      </c>
      <c r="C10" s="9">
        <v>1</v>
      </c>
      <c r="D10" s="9" t="s">
        <v>14</v>
      </c>
      <c r="E10" s="9" t="s">
        <v>15</v>
      </c>
      <c r="F10" s="9" t="s">
        <v>14</v>
      </c>
      <c r="G10" s="9" t="s">
        <v>16</v>
      </c>
      <c r="H10" s="9" t="s">
        <v>17</v>
      </c>
      <c r="I10" s="9" t="s">
        <v>18</v>
      </c>
      <c r="J10" s="9">
        <v>1862</v>
      </c>
      <c r="K10" s="9">
        <v>1501</v>
      </c>
      <c r="L10" s="9">
        <v>20.4615384615384</v>
      </c>
      <c r="M10" s="9">
        <v>16.4945054945054</v>
      </c>
      <c r="N10" s="9">
        <v>80.612244897959101</v>
      </c>
    </row>
    <row r="11" spans="1:14" x14ac:dyDescent="0.35">
      <c r="A11" s="7">
        <v>10</v>
      </c>
      <c r="B11" s="9">
        <v>2020</v>
      </c>
      <c r="C11" s="9">
        <v>2</v>
      </c>
      <c r="D11" s="9" t="s">
        <v>14</v>
      </c>
      <c r="E11" s="9" t="s">
        <v>15</v>
      </c>
      <c r="F11" s="9" t="s">
        <v>14</v>
      </c>
      <c r="G11" s="9" t="s">
        <v>16</v>
      </c>
      <c r="H11" s="9" t="s">
        <v>17</v>
      </c>
      <c r="I11" s="9" t="s">
        <v>18</v>
      </c>
      <c r="J11" s="9">
        <v>2032</v>
      </c>
      <c r="K11" s="9">
        <v>812</v>
      </c>
      <c r="L11" s="9">
        <v>22.3296703296703</v>
      </c>
      <c r="M11" s="9">
        <v>8.9230769230769198</v>
      </c>
      <c r="N11" s="9">
        <v>39.960629921259802</v>
      </c>
    </row>
    <row r="12" spans="1:14" x14ac:dyDescent="0.35">
      <c r="A12" s="7">
        <v>11</v>
      </c>
      <c r="B12" s="9">
        <v>2020</v>
      </c>
      <c r="C12" s="9">
        <v>3</v>
      </c>
      <c r="D12" s="9" t="s">
        <v>14</v>
      </c>
      <c r="E12" s="9" t="s">
        <v>15</v>
      </c>
      <c r="F12" s="9" t="s">
        <v>14</v>
      </c>
      <c r="G12" s="9" t="s">
        <v>16</v>
      </c>
      <c r="H12" s="9" t="s">
        <v>17</v>
      </c>
      <c r="I12" s="9" t="s">
        <v>18</v>
      </c>
      <c r="J12" s="9">
        <v>1660</v>
      </c>
      <c r="K12" s="9">
        <v>1043</v>
      </c>
      <c r="L12" s="9">
        <v>18.043478260869499</v>
      </c>
      <c r="M12" s="9">
        <v>11.336956521739101</v>
      </c>
      <c r="N12" s="9">
        <v>62.831325301204799</v>
      </c>
    </row>
    <row r="13" spans="1:14" x14ac:dyDescent="0.35">
      <c r="A13" s="7">
        <v>12</v>
      </c>
      <c r="B13" s="9">
        <v>2020</v>
      </c>
      <c r="C13" s="9">
        <v>4</v>
      </c>
      <c r="D13" s="9" t="s">
        <v>14</v>
      </c>
      <c r="E13" s="9" t="s">
        <v>15</v>
      </c>
      <c r="F13" s="9" t="s">
        <v>14</v>
      </c>
      <c r="G13" s="9" t="s">
        <v>16</v>
      </c>
      <c r="H13" s="9" t="s">
        <v>17</v>
      </c>
      <c r="I13" s="9" t="s">
        <v>18</v>
      </c>
      <c r="J13" s="9">
        <v>1379</v>
      </c>
      <c r="K13" s="9">
        <v>978</v>
      </c>
      <c r="L13" s="9">
        <v>14.9891304347826</v>
      </c>
      <c r="M13" s="9">
        <v>10.630434782608599</v>
      </c>
      <c r="N13" s="9">
        <v>70.920957215373406</v>
      </c>
    </row>
    <row r="14" spans="1:14" x14ac:dyDescent="0.35">
      <c r="A14" s="7">
        <v>13</v>
      </c>
      <c r="B14" s="9">
        <v>2021</v>
      </c>
      <c r="C14" s="9">
        <v>1</v>
      </c>
      <c r="D14" s="9" t="s">
        <v>14</v>
      </c>
      <c r="E14" s="9" t="s">
        <v>15</v>
      </c>
      <c r="F14" s="9" t="s">
        <v>14</v>
      </c>
      <c r="G14" s="9" t="s">
        <v>16</v>
      </c>
      <c r="H14" s="9" t="s">
        <v>17</v>
      </c>
      <c r="I14" s="9" t="s">
        <v>18</v>
      </c>
      <c r="J14" s="9">
        <v>1791</v>
      </c>
      <c r="K14" s="9">
        <v>838</v>
      </c>
      <c r="L14" s="9">
        <v>19.899999999999999</v>
      </c>
      <c r="M14" s="9">
        <v>9.31111111111111</v>
      </c>
      <c r="N14" s="9">
        <v>46.789503070910101</v>
      </c>
    </row>
    <row r="15" spans="1:14" x14ac:dyDescent="0.35">
      <c r="A15" s="7">
        <v>14</v>
      </c>
      <c r="B15" s="9">
        <v>2021</v>
      </c>
      <c r="C15" s="9">
        <v>2</v>
      </c>
      <c r="D15" s="9" t="s">
        <v>14</v>
      </c>
      <c r="E15" s="9" t="s">
        <v>15</v>
      </c>
      <c r="F15" s="9" t="s">
        <v>14</v>
      </c>
      <c r="G15" s="9" t="s">
        <v>16</v>
      </c>
      <c r="H15" s="9" t="s">
        <v>17</v>
      </c>
      <c r="I15" s="9" t="s">
        <v>18</v>
      </c>
      <c r="J15" s="9">
        <v>1760</v>
      </c>
      <c r="K15" s="9">
        <v>1118</v>
      </c>
      <c r="L15" s="9">
        <v>19.3406593406593</v>
      </c>
      <c r="M15" s="9">
        <v>12.285714285714199</v>
      </c>
      <c r="N15" s="9">
        <v>63.522727272727202</v>
      </c>
    </row>
    <row r="16" spans="1:14" x14ac:dyDescent="0.35">
      <c r="A16" s="7">
        <v>15</v>
      </c>
      <c r="B16" s="9">
        <v>2021</v>
      </c>
      <c r="C16" s="9">
        <v>3</v>
      </c>
      <c r="D16" s="9" t="s">
        <v>14</v>
      </c>
      <c r="E16" s="9" t="s">
        <v>15</v>
      </c>
      <c r="F16" s="9" t="s">
        <v>14</v>
      </c>
      <c r="G16" s="9" t="s">
        <v>16</v>
      </c>
      <c r="H16" s="9" t="s">
        <v>17</v>
      </c>
      <c r="I16" s="9" t="s">
        <v>18</v>
      </c>
      <c r="J16" s="9">
        <v>1360</v>
      </c>
      <c r="K16" s="9">
        <v>923</v>
      </c>
      <c r="L16" s="9">
        <v>14.782608695652099</v>
      </c>
      <c r="M16" s="9">
        <v>10.032608695652099</v>
      </c>
      <c r="N16" s="9">
        <v>67.867647058823493</v>
      </c>
    </row>
    <row r="17" spans="1:14" x14ac:dyDescent="0.35">
      <c r="A17" s="7">
        <v>16</v>
      </c>
      <c r="B17" s="9">
        <v>2021</v>
      </c>
      <c r="C17" s="9">
        <v>4</v>
      </c>
      <c r="D17" s="9" t="s">
        <v>14</v>
      </c>
      <c r="E17" s="9" t="s">
        <v>15</v>
      </c>
      <c r="F17" s="9" t="s">
        <v>14</v>
      </c>
      <c r="G17" s="9" t="s">
        <v>16</v>
      </c>
      <c r="H17" s="9" t="s">
        <v>17</v>
      </c>
      <c r="I17" s="9" t="s">
        <v>18</v>
      </c>
      <c r="J17" s="9">
        <v>1191</v>
      </c>
      <c r="K17" s="9">
        <v>1059</v>
      </c>
      <c r="L17" s="9">
        <v>12.945652173913</v>
      </c>
      <c r="M17" s="9">
        <v>11.5108695652173</v>
      </c>
      <c r="N17" s="9">
        <v>88.916876574307295</v>
      </c>
    </row>
    <row r="18" spans="1:14" x14ac:dyDescent="0.35">
      <c r="A18" s="7">
        <v>1</v>
      </c>
      <c r="B18" s="9">
        <v>2018</v>
      </c>
      <c r="C18" s="9">
        <v>1</v>
      </c>
      <c r="D18" s="9" t="s">
        <v>19</v>
      </c>
      <c r="E18" s="9" t="s">
        <v>20</v>
      </c>
      <c r="F18" s="9" t="s">
        <v>19</v>
      </c>
      <c r="G18" s="9" t="s">
        <v>16</v>
      </c>
      <c r="H18" s="9" t="s">
        <v>17</v>
      </c>
      <c r="I18" s="9" t="s">
        <v>18</v>
      </c>
      <c r="J18" s="9">
        <v>1957</v>
      </c>
      <c r="K18" s="9">
        <v>1889</v>
      </c>
      <c r="L18" s="9">
        <v>21.744444444444401</v>
      </c>
      <c r="M18" s="9">
        <v>20.988888888888798</v>
      </c>
      <c r="N18" s="9">
        <v>96.525293817066895</v>
      </c>
    </row>
    <row r="19" spans="1:14" x14ac:dyDescent="0.35">
      <c r="A19" s="7">
        <v>2</v>
      </c>
      <c r="B19" s="9">
        <v>2018</v>
      </c>
      <c r="C19" s="9">
        <v>2</v>
      </c>
      <c r="D19" s="9" t="s">
        <v>19</v>
      </c>
      <c r="E19" s="9" t="s">
        <v>20</v>
      </c>
      <c r="F19" s="9" t="s">
        <v>19</v>
      </c>
      <c r="G19" s="9" t="s">
        <v>16</v>
      </c>
      <c r="H19" s="9" t="s">
        <v>17</v>
      </c>
      <c r="I19" s="9" t="s">
        <v>18</v>
      </c>
      <c r="J19" s="9">
        <v>2080</v>
      </c>
      <c r="K19" s="9">
        <v>1967</v>
      </c>
      <c r="L19" s="9">
        <v>22.857142857142801</v>
      </c>
      <c r="M19" s="9">
        <v>21.615384615384599</v>
      </c>
      <c r="N19" s="9">
        <v>94.567307692307693</v>
      </c>
    </row>
    <row r="20" spans="1:14" x14ac:dyDescent="0.35">
      <c r="A20" s="7">
        <v>3</v>
      </c>
      <c r="B20" s="9">
        <v>2018</v>
      </c>
      <c r="C20" s="9">
        <v>3</v>
      </c>
      <c r="D20" s="9" t="s">
        <v>19</v>
      </c>
      <c r="E20" s="9" t="s">
        <v>20</v>
      </c>
      <c r="F20" s="9" t="s">
        <v>19</v>
      </c>
      <c r="G20" s="9" t="s">
        <v>16</v>
      </c>
      <c r="H20" s="9" t="s">
        <v>17</v>
      </c>
      <c r="I20" s="9" t="s">
        <v>18</v>
      </c>
      <c r="J20" s="9">
        <v>2224</v>
      </c>
      <c r="K20" s="9">
        <v>2106</v>
      </c>
      <c r="L20" s="9">
        <v>24.173913043478201</v>
      </c>
      <c r="M20" s="9">
        <v>22.891304347826001</v>
      </c>
      <c r="N20" s="9">
        <v>94.694244604316495</v>
      </c>
    </row>
    <row r="21" spans="1:14" x14ac:dyDescent="0.35">
      <c r="A21" s="7">
        <v>4</v>
      </c>
      <c r="B21" s="9">
        <v>2018</v>
      </c>
      <c r="C21" s="9">
        <v>4</v>
      </c>
      <c r="D21" s="9" t="s">
        <v>19</v>
      </c>
      <c r="E21" s="9" t="s">
        <v>20</v>
      </c>
      <c r="F21" s="9" t="s">
        <v>19</v>
      </c>
      <c r="G21" s="9" t="s">
        <v>16</v>
      </c>
      <c r="H21" s="9" t="s">
        <v>17</v>
      </c>
      <c r="I21" s="9" t="s">
        <v>18</v>
      </c>
      <c r="J21" s="9">
        <v>2641</v>
      </c>
      <c r="K21" s="9">
        <v>2546</v>
      </c>
      <c r="L21" s="9">
        <v>28.706521739130402</v>
      </c>
      <c r="M21" s="9">
        <v>27.673913043478201</v>
      </c>
      <c r="N21" s="9">
        <v>96.402877697841703</v>
      </c>
    </row>
    <row r="22" spans="1:14" x14ac:dyDescent="0.35">
      <c r="A22" s="7">
        <v>5</v>
      </c>
      <c r="B22" s="9">
        <v>2019</v>
      </c>
      <c r="C22" s="9">
        <v>1</v>
      </c>
      <c r="D22" s="9" t="s">
        <v>19</v>
      </c>
      <c r="E22" s="9" t="s">
        <v>20</v>
      </c>
      <c r="F22" s="9" t="s">
        <v>19</v>
      </c>
      <c r="G22" s="9" t="s">
        <v>16</v>
      </c>
      <c r="H22" s="9" t="s">
        <v>17</v>
      </c>
      <c r="I22" s="9" t="s">
        <v>18</v>
      </c>
      <c r="J22" s="9">
        <v>2273</v>
      </c>
      <c r="K22" s="9">
        <v>2143</v>
      </c>
      <c r="L22" s="9">
        <v>25.2555555555555</v>
      </c>
      <c r="M22" s="9">
        <v>23.811111111111099</v>
      </c>
      <c r="N22" s="9">
        <v>94.280686317641795</v>
      </c>
    </row>
    <row r="23" spans="1:14" x14ac:dyDescent="0.35">
      <c r="A23" s="7">
        <v>6</v>
      </c>
      <c r="B23" s="9">
        <v>2019</v>
      </c>
      <c r="C23" s="9">
        <v>2</v>
      </c>
      <c r="D23" s="9" t="s">
        <v>19</v>
      </c>
      <c r="E23" s="9" t="s">
        <v>20</v>
      </c>
      <c r="F23" s="9" t="s">
        <v>19</v>
      </c>
      <c r="G23" s="9" t="s">
        <v>16</v>
      </c>
      <c r="H23" s="9" t="s">
        <v>17</v>
      </c>
      <c r="I23" s="9" t="s">
        <v>18</v>
      </c>
      <c r="J23" s="9">
        <v>2365</v>
      </c>
      <c r="K23" s="9">
        <v>2151</v>
      </c>
      <c r="L23" s="9">
        <v>25.9890109890109</v>
      </c>
      <c r="M23" s="9">
        <v>23.6373626373626</v>
      </c>
      <c r="N23" s="9">
        <v>90.951374207188096</v>
      </c>
    </row>
    <row r="24" spans="1:14" x14ac:dyDescent="0.35">
      <c r="A24" s="7">
        <v>7</v>
      </c>
      <c r="B24" s="9">
        <v>2019</v>
      </c>
      <c r="C24" s="9">
        <v>3</v>
      </c>
      <c r="D24" s="9" t="s">
        <v>19</v>
      </c>
      <c r="E24" s="9" t="s">
        <v>20</v>
      </c>
      <c r="F24" s="9" t="s">
        <v>19</v>
      </c>
      <c r="G24" s="9" t="s">
        <v>16</v>
      </c>
      <c r="H24" s="9" t="s">
        <v>17</v>
      </c>
      <c r="I24" s="9" t="s">
        <v>18</v>
      </c>
      <c r="J24" s="9">
        <v>2667</v>
      </c>
      <c r="K24" s="9">
        <v>2549</v>
      </c>
      <c r="L24" s="9">
        <v>28.989130434782599</v>
      </c>
      <c r="M24" s="9">
        <v>27.706521739130402</v>
      </c>
      <c r="N24" s="9">
        <v>95.575553055867999</v>
      </c>
    </row>
    <row r="25" spans="1:14" x14ac:dyDescent="0.35">
      <c r="A25" s="7">
        <v>8</v>
      </c>
      <c r="B25" s="9">
        <v>2019</v>
      </c>
      <c r="C25" s="9">
        <v>4</v>
      </c>
      <c r="D25" s="9" t="s">
        <v>19</v>
      </c>
      <c r="E25" s="9" t="s">
        <v>20</v>
      </c>
      <c r="F25" s="9" t="s">
        <v>19</v>
      </c>
      <c r="G25" s="9" t="s">
        <v>16</v>
      </c>
      <c r="H25" s="9" t="s">
        <v>17</v>
      </c>
      <c r="I25" s="9" t="s">
        <v>18</v>
      </c>
      <c r="J25" s="9">
        <v>2703</v>
      </c>
      <c r="K25" s="9">
        <v>2588</v>
      </c>
      <c r="L25" s="9">
        <v>29.380434782608599</v>
      </c>
      <c r="M25" s="9">
        <v>28.130434782608599</v>
      </c>
      <c r="N25" s="9">
        <v>95.745467998520098</v>
      </c>
    </row>
    <row r="26" spans="1:14" x14ac:dyDescent="0.35">
      <c r="A26" s="7">
        <v>9</v>
      </c>
      <c r="B26" s="9">
        <v>2020</v>
      </c>
      <c r="C26" s="9">
        <v>1</v>
      </c>
      <c r="D26" s="9" t="s">
        <v>19</v>
      </c>
      <c r="E26" s="9" t="s">
        <v>20</v>
      </c>
      <c r="F26" s="9" t="s">
        <v>19</v>
      </c>
      <c r="G26" s="9" t="s">
        <v>16</v>
      </c>
      <c r="H26" s="9" t="s">
        <v>17</v>
      </c>
      <c r="I26" s="9" t="s">
        <v>18</v>
      </c>
      <c r="J26" s="9">
        <v>2453</v>
      </c>
      <c r="K26" s="9">
        <v>2261</v>
      </c>
      <c r="L26" s="9">
        <v>26.956043956043899</v>
      </c>
      <c r="M26" s="9">
        <v>24.846153846153801</v>
      </c>
      <c r="N26" s="9">
        <v>92.172849571952696</v>
      </c>
    </row>
    <row r="27" spans="1:14" x14ac:dyDescent="0.35">
      <c r="A27" s="7">
        <v>10</v>
      </c>
      <c r="B27" s="9">
        <v>2020</v>
      </c>
      <c r="C27" s="9">
        <v>2</v>
      </c>
      <c r="D27" s="9" t="s">
        <v>19</v>
      </c>
      <c r="E27" s="9" t="s">
        <v>20</v>
      </c>
      <c r="F27" s="9" t="s">
        <v>19</v>
      </c>
      <c r="G27" s="9" t="s">
        <v>16</v>
      </c>
      <c r="H27" s="9" t="s">
        <v>17</v>
      </c>
      <c r="I27" s="9" t="s">
        <v>18</v>
      </c>
      <c r="J27" s="9">
        <v>2828</v>
      </c>
      <c r="K27" s="9">
        <v>1939</v>
      </c>
      <c r="L27" s="9">
        <v>31.076923076922998</v>
      </c>
      <c r="M27" s="9">
        <v>21.307692307692299</v>
      </c>
      <c r="N27" s="9">
        <v>68.564356435643504</v>
      </c>
    </row>
    <row r="28" spans="1:14" x14ac:dyDescent="0.35">
      <c r="A28" s="7">
        <v>11</v>
      </c>
      <c r="B28" s="9">
        <v>2020</v>
      </c>
      <c r="C28" s="9">
        <v>3</v>
      </c>
      <c r="D28" s="9" t="s">
        <v>19</v>
      </c>
      <c r="E28" s="9" t="s">
        <v>20</v>
      </c>
      <c r="F28" s="9" t="s">
        <v>19</v>
      </c>
      <c r="G28" s="9" t="s">
        <v>16</v>
      </c>
      <c r="H28" s="9" t="s">
        <v>17</v>
      </c>
      <c r="I28" s="9" t="s">
        <v>18</v>
      </c>
      <c r="J28" s="9">
        <v>3075</v>
      </c>
      <c r="K28" s="9">
        <v>2289</v>
      </c>
      <c r="L28" s="9">
        <v>33.423913043478201</v>
      </c>
      <c r="M28" s="9">
        <v>24.880434782608599</v>
      </c>
      <c r="N28" s="9">
        <v>74.439024390243901</v>
      </c>
    </row>
    <row r="29" spans="1:14" x14ac:dyDescent="0.35">
      <c r="A29" s="7">
        <v>12</v>
      </c>
      <c r="B29" s="9">
        <v>2020</v>
      </c>
      <c r="C29" s="9">
        <v>4</v>
      </c>
      <c r="D29" s="9" t="s">
        <v>19</v>
      </c>
      <c r="E29" s="9" t="s">
        <v>20</v>
      </c>
      <c r="F29" s="9" t="s">
        <v>19</v>
      </c>
      <c r="G29" s="9" t="s">
        <v>16</v>
      </c>
      <c r="H29" s="9" t="s">
        <v>17</v>
      </c>
      <c r="I29" s="9" t="s">
        <v>18</v>
      </c>
      <c r="J29" s="9">
        <v>2598</v>
      </c>
      <c r="K29" s="9">
        <v>2077</v>
      </c>
      <c r="L29" s="9">
        <v>28.239130434782599</v>
      </c>
      <c r="M29" s="9">
        <v>22.576086956521699</v>
      </c>
      <c r="N29" s="9">
        <v>79.946112394149296</v>
      </c>
    </row>
    <row r="30" spans="1:14" x14ac:dyDescent="0.35">
      <c r="A30" s="7">
        <v>13</v>
      </c>
      <c r="B30" s="9">
        <v>2021</v>
      </c>
      <c r="C30" s="9">
        <v>1</v>
      </c>
      <c r="D30" s="9" t="s">
        <v>19</v>
      </c>
      <c r="E30" s="9" t="s">
        <v>20</v>
      </c>
      <c r="F30" s="9" t="s">
        <v>19</v>
      </c>
      <c r="G30" s="9" t="s">
        <v>16</v>
      </c>
      <c r="H30" s="9" t="s">
        <v>17</v>
      </c>
      <c r="I30" s="9" t="s">
        <v>18</v>
      </c>
      <c r="J30" s="9">
        <v>2635</v>
      </c>
      <c r="K30" s="9">
        <v>2301</v>
      </c>
      <c r="L30" s="9">
        <v>29.2777777777777</v>
      </c>
      <c r="M30" s="9">
        <v>25.566666666666599</v>
      </c>
      <c r="N30" s="9">
        <v>87.324478178368096</v>
      </c>
    </row>
    <row r="31" spans="1:14" x14ac:dyDescent="0.35">
      <c r="A31" s="7">
        <v>14</v>
      </c>
      <c r="B31" s="9">
        <v>2021</v>
      </c>
      <c r="C31" s="9">
        <v>2</v>
      </c>
      <c r="D31" s="9" t="s">
        <v>19</v>
      </c>
      <c r="E31" s="9" t="s">
        <v>20</v>
      </c>
      <c r="F31" s="9" t="s">
        <v>19</v>
      </c>
      <c r="G31" s="9" t="s">
        <v>16</v>
      </c>
      <c r="H31" s="9" t="s">
        <v>17</v>
      </c>
      <c r="I31" s="9" t="s">
        <v>18</v>
      </c>
      <c r="J31" s="9">
        <v>2471</v>
      </c>
      <c r="K31" s="9">
        <v>2345</v>
      </c>
      <c r="L31" s="9">
        <v>27.1538461538461</v>
      </c>
      <c r="M31" s="9">
        <v>25.769230769230699</v>
      </c>
      <c r="N31" s="9">
        <v>94.900849858356906</v>
      </c>
    </row>
    <row r="32" spans="1:14" x14ac:dyDescent="0.35">
      <c r="A32" s="7">
        <v>15</v>
      </c>
      <c r="B32" s="9">
        <v>2021</v>
      </c>
      <c r="C32" s="9">
        <v>3</v>
      </c>
      <c r="D32" s="9" t="s">
        <v>19</v>
      </c>
      <c r="E32" s="9" t="s">
        <v>20</v>
      </c>
      <c r="F32" s="9" t="s">
        <v>19</v>
      </c>
      <c r="G32" s="9" t="s">
        <v>16</v>
      </c>
      <c r="H32" s="9" t="s">
        <v>17</v>
      </c>
      <c r="I32" s="9" t="s">
        <v>18</v>
      </c>
      <c r="J32" s="9">
        <v>2712</v>
      </c>
      <c r="K32" s="9">
        <v>2603</v>
      </c>
      <c r="L32" s="9">
        <v>29.478260869565201</v>
      </c>
      <c r="M32" s="9">
        <v>28.293478260869499</v>
      </c>
      <c r="N32" s="9">
        <v>95.980825958701999</v>
      </c>
    </row>
    <row r="33" spans="1:14" x14ac:dyDescent="0.35">
      <c r="A33" s="7">
        <v>16</v>
      </c>
      <c r="B33" s="9">
        <v>2021</v>
      </c>
      <c r="C33" s="9">
        <v>4</v>
      </c>
      <c r="D33" s="9" t="s">
        <v>19</v>
      </c>
      <c r="E33" s="9" t="s">
        <v>20</v>
      </c>
      <c r="F33" s="9" t="s">
        <v>19</v>
      </c>
      <c r="G33" s="9" t="s">
        <v>16</v>
      </c>
      <c r="H33" s="9" t="s">
        <v>17</v>
      </c>
      <c r="I33" s="9" t="s">
        <v>18</v>
      </c>
      <c r="J33" s="9">
        <v>2319</v>
      </c>
      <c r="K33" s="9">
        <v>2264</v>
      </c>
      <c r="L33" s="9">
        <v>25.206521739130402</v>
      </c>
      <c r="M33" s="9">
        <v>24.6086956521739</v>
      </c>
      <c r="N33" s="9">
        <v>97.628288055196194</v>
      </c>
    </row>
    <row r="34" spans="1:14" x14ac:dyDescent="0.35">
      <c r="A34" s="7">
        <v>1</v>
      </c>
      <c r="B34" s="9">
        <v>2018</v>
      </c>
      <c r="C34" s="9">
        <v>1</v>
      </c>
      <c r="D34" s="9" t="s">
        <v>21</v>
      </c>
      <c r="E34" s="9" t="s">
        <v>22</v>
      </c>
      <c r="F34" s="9" t="s">
        <v>21</v>
      </c>
      <c r="G34" s="9" t="s">
        <v>16</v>
      </c>
      <c r="H34" s="9" t="s">
        <v>17</v>
      </c>
      <c r="I34" s="9" t="s">
        <v>18</v>
      </c>
      <c r="J34" s="9">
        <v>191</v>
      </c>
      <c r="K34" s="9">
        <v>191</v>
      </c>
      <c r="L34" s="9">
        <v>2.12222222222222</v>
      </c>
      <c r="M34" s="9">
        <v>2.12222222222222</v>
      </c>
      <c r="N34" s="9">
        <v>100</v>
      </c>
    </row>
    <row r="35" spans="1:14" x14ac:dyDescent="0.35">
      <c r="A35" s="7">
        <v>2</v>
      </c>
      <c r="B35" s="9">
        <v>2018</v>
      </c>
      <c r="C35" s="9">
        <v>2</v>
      </c>
      <c r="D35" s="9" t="s">
        <v>21</v>
      </c>
      <c r="E35" s="9" t="s">
        <v>22</v>
      </c>
      <c r="F35" s="9" t="s">
        <v>21</v>
      </c>
      <c r="G35" s="9" t="s">
        <v>16</v>
      </c>
      <c r="H35" s="9" t="s">
        <v>17</v>
      </c>
      <c r="I35" s="9" t="s">
        <v>18</v>
      </c>
      <c r="J35" s="9">
        <v>88</v>
      </c>
      <c r="K35" s="9">
        <v>88</v>
      </c>
      <c r="L35" s="9">
        <v>0.96703296703296704</v>
      </c>
      <c r="M35" s="9">
        <v>0.96703296703296704</v>
      </c>
      <c r="N35" s="9">
        <v>100</v>
      </c>
    </row>
    <row r="36" spans="1:14" x14ac:dyDescent="0.35">
      <c r="A36" s="7">
        <v>3</v>
      </c>
      <c r="B36" s="9">
        <v>2018</v>
      </c>
      <c r="C36" s="9">
        <v>3</v>
      </c>
      <c r="D36" s="9" t="s">
        <v>21</v>
      </c>
      <c r="E36" s="9" t="s">
        <v>22</v>
      </c>
      <c r="F36" s="9" t="s">
        <v>21</v>
      </c>
      <c r="G36" s="9" t="s">
        <v>16</v>
      </c>
      <c r="H36" s="9" t="s">
        <v>17</v>
      </c>
      <c r="I36" s="9" t="s">
        <v>18</v>
      </c>
      <c r="J36" s="9">
        <v>99</v>
      </c>
      <c r="K36" s="9">
        <v>99</v>
      </c>
      <c r="L36" s="9">
        <v>1.0760869565217299</v>
      </c>
      <c r="M36" s="9">
        <v>1.0760869565217299</v>
      </c>
      <c r="N36" s="9">
        <v>100</v>
      </c>
    </row>
    <row r="37" spans="1:14" x14ac:dyDescent="0.35">
      <c r="A37" s="7">
        <v>4</v>
      </c>
      <c r="B37" s="9">
        <v>2018</v>
      </c>
      <c r="C37" s="9">
        <v>4</v>
      </c>
      <c r="D37" s="9" t="s">
        <v>21</v>
      </c>
      <c r="E37" s="9" t="s">
        <v>22</v>
      </c>
      <c r="F37" s="9" t="s">
        <v>21</v>
      </c>
      <c r="G37" s="9" t="s">
        <v>16</v>
      </c>
      <c r="H37" s="9" t="s">
        <v>17</v>
      </c>
      <c r="I37" s="9" t="s">
        <v>18</v>
      </c>
      <c r="J37" s="9">
        <v>201</v>
      </c>
      <c r="K37" s="9">
        <v>201</v>
      </c>
      <c r="L37" s="9">
        <v>2.1847826086956501</v>
      </c>
      <c r="M37" s="9">
        <v>2.1847826086956501</v>
      </c>
      <c r="N37" s="9">
        <v>100</v>
      </c>
    </row>
    <row r="38" spans="1:14" x14ac:dyDescent="0.35">
      <c r="A38" s="7">
        <v>5</v>
      </c>
      <c r="B38" s="9">
        <v>2019</v>
      </c>
      <c r="C38" s="9">
        <v>1</v>
      </c>
      <c r="D38" s="9" t="s">
        <v>21</v>
      </c>
      <c r="E38" s="9" t="s">
        <v>22</v>
      </c>
      <c r="F38" s="9" t="s">
        <v>21</v>
      </c>
      <c r="G38" s="9" t="s">
        <v>16</v>
      </c>
      <c r="H38" s="9" t="s">
        <v>17</v>
      </c>
      <c r="I38" s="9" t="s">
        <v>18</v>
      </c>
      <c r="J38" s="9">
        <v>203</v>
      </c>
      <c r="K38" s="9">
        <v>203</v>
      </c>
      <c r="L38" s="9">
        <v>2.2555555555555502</v>
      </c>
      <c r="M38" s="9">
        <v>2.2555555555555502</v>
      </c>
      <c r="N38" s="9">
        <v>100</v>
      </c>
    </row>
    <row r="39" spans="1:14" x14ac:dyDescent="0.35">
      <c r="A39" s="7">
        <v>6</v>
      </c>
      <c r="B39" s="9">
        <v>2019</v>
      </c>
      <c r="C39" s="9">
        <v>2</v>
      </c>
      <c r="D39" s="9" t="s">
        <v>21</v>
      </c>
      <c r="E39" s="9" t="s">
        <v>22</v>
      </c>
      <c r="F39" s="9" t="s">
        <v>21</v>
      </c>
      <c r="G39" s="9" t="s">
        <v>16</v>
      </c>
      <c r="H39" s="9" t="s">
        <v>17</v>
      </c>
      <c r="I39" s="9" t="s">
        <v>18</v>
      </c>
      <c r="J39" s="9">
        <v>181</v>
      </c>
      <c r="K39" s="9">
        <v>181</v>
      </c>
      <c r="L39" s="9">
        <v>1.9890109890109799</v>
      </c>
      <c r="M39" s="9">
        <v>1.9890109890109799</v>
      </c>
      <c r="N39" s="9">
        <v>100</v>
      </c>
    </row>
    <row r="40" spans="1:14" x14ac:dyDescent="0.35">
      <c r="A40" s="7">
        <v>7</v>
      </c>
      <c r="B40" s="9">
        <v>2019</v>
      </c>
      <c r="C40" s="9">
        <v>3</v>
      </c>
      <c r="D40" s="9" t="s">
        <v>21</v>
      </c>
      <c r="E40" s="9" t="s">
        <v>22</v>
      </c>
      <c r="F40" s="9" t="s">
        <v>21</v>
      </c>
      <c r="G40" s="9" t="s">
        <v>16</v>
      </c>
      <c r="H40" s="9" t="s">
        <v>17</v>
      </c>
      <c r="I40" s="9" t="s">
        <v>18</v>
      </c>
      <c r="J40" s="9">
        <v>147</v>
      </c>
      <c r="K40" s="9">
        <v>147</v>
      </c>
      <c r="L40" s="9">
        <v>1.59782608695652</v>
      </c>
      <c r="M40" s="9">
        <v>1.59782608695652</v>
      </c>
      <c r="N40" s="9">
        <v>100</v>
      </c>
    </row>
    <row r="41" spans="1:14" x14ac:dyDescent="0.35">
      <c r="A41" s="7">
        <v>8</v>
      </c>
      <c r="B41" s="9">
        <v>2019</v>
      </c>
      <c r="C41" s="9">
        <v>4</v>
      </c>
      <c r="D41" s="9" t="s">
        <v>21</v>
      </c>
      <c r="E41" s="9" t="s">
        <v>22</v>
      </c>
      <c r="F41" s="9" t="s">
        <v>21</v>
      </c>
      <c r="G41" s="9" t="s">
        <v>16</v>
      </c>
      <c r="H41" s="9" t="s">
        <v>17</v>
      </c>
      <c r="I41" s="9" t="s">
        <v>18</v>
      </c>
      <c r="J41" s="9">
        <v>184</v>
      </c>
      <c r="K41" s="9">
        <v>184</v>
      </c>
      <c r="L41" s="9">
        <v>2</v>
      </c>
      <c r="M41" s="9">
        <v>2</v>
      </c>
      <c r="N41" s="9">
        <v>100</v>
      </c>
    </row>
    <row r="42" spans="1:14" x14ac:dyDescent="0.35">
      <c r="A42" s="7">
        <v>9</v>
      </c>
      <c r="B42" s="9">
        <v>2020</v>
      </c>
      <c r="C42" s="9">
        <v>1</v>
      </c>
      <c r="D42" s="9" t="s">
        <v>21</v>
      </c>
      <c r="E42" s="9" t="s">
        <v>22</v>
      </c>
      <c r="F42" s="9" t="s">
        <v>21</v>
      </c>
      <c r="G42" s="9" t="s">
        <v>16</v>
      </c>
      <c r="H42" s="9" t="s">
        <v>17</v>
      </c>
      <c r="I42" s="9" t="s">
        <v>18</v>
      </c>
      <c r="J42" s="9">
        <v>256</v>
      </c>
      <c r="K42" s="9">
        <v>256</v>
      </c>
      <c r="L42" s="9">
        <v>2.8131868131868099</v>
      </c>
      <c r="M42" s="9">
        <v>2.8131868131868099</v>
      </c>
      <c r="N42" s="9">
        <v>100</v>
      </c>
    </row>
    <row r="43" spans="1:14" x14ac:dyDescent="0.35">
      <c r="A43" s="7">
        <v>10</v>
      </c>
      <c r="B43" s="9">
        <v>2020</v>
      </c>
      <c r="C43" s="9">
        <v>2</v>
      </c>
      <c r="D43" s="9" t="s">
        <v>21</v>
      </c>
      <c r="E43" s="9" t="s">
        <v>22</v>
      </c>
      <c r="F43" s="9" t="s">
        <v>21</v>
      </c>
      <c r="G43" s="9" t="s">
        <v>16</v>
      </c>
      <c r="H43" s="9" t="s">
        <v>17</v>
      </c>
      <c r="I43" s="9" t="s">
        <v>18</v>
      </c>
      <c r="J43" s="9">
        <v>113</v>
      </c>
      <c r="K43" s="9">
        <v>113</v>
      </c>
      <c r="L43" s="9">
        <v>1.24175824175824</v>
      </c>
      <c r="M43" s="9">
        <v>1.24175824175824</v>
      </c>
      <c r="N43" s="9">
        <v>100</v>
      </c>
    </row>
    <row r="44" spans="1:14" x14ac:dyDescent="0.35">
      <c r="A44" s="7">
        <v>11</v>
      </c>
      <c r="B44" s="9">
        <v>2020</v>
      </c>
      <c r="C44" s="9">
        <v>3</v>
      </c>
      <c r="D44" s="9" t="s">
        <v>21</v>
      </c>
      <c r="E44" s="9" t="s">
        <v>22</v>
      </c>
      <c r="F44" s="9" t="s">
        <v>21</v>
      </c>
      <c r="G44" s="9" t="s">
        <v>16</v>
      </c>
      <c r="H44" s="9" t="s">
        <v>17</v>
      </c>
      <c r="I44" s="9" t="s">
        <v>18</v>
      </c>
      <c r="J44" s="9">
        <v>122</v>
      </c>
      <c r="K44" s="9">
        <v>122</v>
      </c>
      <c r="L44" s="9">
        <v>1.3260869565217299</v>
      </c>
      <c r="M44" s="9">
        <v>1.3260869565217299</v>
      </c>
      <c r="N44" s="9">
        <v>100</v>
      </c>
    </row>
    <row r="45" spans="1:14" x14ac:dyDescent="0.35">
      <c r="A45" s="7">
        <v>12</v>
      </c>
      <c r="B45" s="9">
        <v>2020</v>
      </c>
      <c r="C45" s="9">
        <v>4</v>
      </c>
      <c r="D45" s="9" t="s">
        <v>21</v>
      </c>
      <c r="E45" s="9" t="s">
        <v>22</v>
      </c>
      <c r="F45" s="9" t="s">
        <v>21</v>
      </c>
      <c r="G45" s="9" t="s">
        <v>16</v>
      </c>
      <c r="H45" s="9" t="s">
        <v>17</v>
      </c>
      <c r="I45" s="9" t="s">
        <v>18</v>
      </c>
      <c r="J45" s="9">
        <v>183</v>
      </c>
      <c r="K45" s="9">
        <v>183</v>
      </c>
      <c r="L45" s="9">
        <v>1.9891304347826</v>
      </c>
      <c r="M45" s="9">
        <v>1.9891304347826</v>
      </c>
      <c r="N45" s="9">
        <v>100</v>
      </c>
    </row>
    <row r="46" spans="1:14" x14ac:dyDescent="0.35">
      <c r="A46" s="7">
        <v>13</v>
      </c>
      <c r="B46" s="9">
        <v>2021</v>
      </c>
      <c r="C46" s="9">
        <v>1</v>
      </c>
      <c r="D46" s="9" t="s">
        <v>21</v>
      </c>
      <c r="E46" s="9" t="s">
        <v>22</v>
      </c>
      <c r="F46" s="9" t="s">
        <v>21</v>
      </c>
      <c r="G46" s="9" t="s">
        <v>16</v>
      </c>
      <c r="H46" s="9" t="s">
        <v>17</v>
      </c>
      <c r="I46" s="9" t="s">
        <v>18</v>
      </c>
      <c r="J46" s="9">
        <v>210</v>
      </c>
      <c r="K46" s="9">
        <v>210</v>
      </c>
      <c r="L46" s="9">
        <v>2.3333333333333299</v>
      </c>
      <c r="M46" s="9">
        <v>2.3333333333333299</v>
      </c>
      <c r="N46" s="9">
        <v>100</v>
      </c>
    </row>
    <row r="47" spans="1:14" x14ac:dyDescent="0.35">
      <c r="A47" s="7">
        <v>14</v>
      </c>
      <c r="B47" s="9">
        <v>2021</v>
      </c>
      <c r="C47" s="9">
        <v>2</v>
      </c>
      <c r="D47" s="9" t="s">
        <v>21</v>
      </c>
      <c r="E47" s="9" t="s">
        <v>22</v>
      </c>
      <c r="F47" s="9" t="s">
        <v>21</v>
      </c>
      <c r="G47" s="9" t="s">
        <v>16</v>
      </c>
      <c r="H47" s="9" t="s">
        <v>17</v>
      </c>
      <c r="I47" s="9" t="s">
        <v>18</v>
      </c>
      <c r="J47" s="9">
        <v>169</v>
      </c>
      <c r="K47" s="9">
        <v>169</v>
      </c>
      <c r="L47" s="9">
        <v>1.8571428571428501</v>
      </c>
      <c r="M47" s="9">
        <v>1.8571428571428501</v>
      </c>
      <c r="N47" s="9">
        <v>100</v>
      </c>
    </row>
    <row r="48" spans="1:14" x14ac:dyDescent="0.35">
      <c r="A48" s="7">
        <v>15</v>
      </c>
      <c r="B48" s="9">
        <v>2021</v>
      </c>
      <c r="C48" s="9">
        <v>3</v>
      </c>
      <c r="D48" s="9" t="s">
        <v>21</v>
      </c>
      <c r="E48" s="9" t="s">
        <v>22</v>
      </c>
      <c r="F48" s="9" t="s">
        <v>21</v>
      </c>
      <c r="G48" s="9" t="s">
        <v>16</v>
      </c>
      <c r="H48" s="9" t="s">
        <v>17</v>
      </c>
      <c r="I48" s="9" t="s">
        <v>18</v>
      </c>
      <c r="J48" s="9">
        <v>292</v>
      </c>
      <c r="K48" s="9">
        <v>292</v>
      </c>
      <c r="L48" s="9">
        <v>3.1739130434782599</v>
      </c>
      <c r="M48" s="9">
        <v>3.1739130434782599</v>
      </c>
      <c r="N48" s="9">
        <v>100</v>
      </c>
    </row>
    <row r="49" spans="1:14" x14ac:dyDescent="0.35">
      <c r="A49" s="7">
        <v>16</v>
      </c>
      <c r="B49" s="9">
        <v>2021</v>
      </c>
      <c r="C49" s="9">
        <v>4</v>
      </c>
      <c r="D49" s="9" t="s">
        <v>21</v>
      </c>
      <c r="E49" s="9" t="s">
        <v>22</v>
      </c>
      <c r="F49" s="9" t="s">
        <v>21</v>
      </c>
      <c r="G49" s="9" t="s">
        <v>16</v>
      </c>
      <c r="H49" s="9" t="s">
        <v>17</v>
      </c>
      <c r="I49" s="9" t="s">
        <v>18</v>
      </c>
      <c r="J49" s="9">
        <v>142</v>
      </c>
      <c r="K49" s="9">
        <v>142</v>
      </c>
      <c r="L49" s="9">
        <v>1.5434782608695601</v>
      </c>
      <c r="M49" s="9">
        <v>1.5434782608695601</v>
      </c>
      <c r="N49" s="9">
        <v>100</v>
      </c>
    </row>
    <row r="50" spans="1:14" x14ac:dyDescent="0.35">
      <c r="A50" s="7">
        <v>1</v>
      </c>
      <c r="B50" s="9">
        <v>2018</v>
      </c>
      <c r="C50" s="9">
        <v>1</v>
      </c>
      <c r="D50" s="9" t="s">
        <v>23</v>
      </c>
      <c r="E50" s="9" t="s">
        <v>24</v>
      </c>
      <c r="F50" s="9" t="s">
        <v>23</v>
      </c>
      <c r="G50" s="9" t="s">
        <v>16</v>
      </c>
      <c r="H50" s="9" t="s">
        <v>17</v>
      </c>
      <c r="I50" s="9" t="s">
        <v>18</v>
      </c>
      <c r="J50" s="9">
        <v>3391</v>
      </c>
      <c r="K50" s="9">
        <v>2591</v>
      </c>
      <c r="L50" s="9">
        <v>37.677777777777699</v>
      </c>
      <c r="M50" s="9">
        <v>28.788888888888799</v>
      </c>
      <c r="N50" s="9">
        <v>76.408139191978705</v>
      </c>
    </row>
    <row r="51" spans="1:14" x14ac:dyDescent="0.35">
      <c r="A51" s="7">
        <v>2</v>
      </c>
      <c r="B51" s="9">
        <v>2018</v>
      </c>
      <c r="C51" s="9">
        <v>2</v>
      </c>
      <c r="D51" s="9" t="s">
        <v>23</v>
      </c>
      <c r="E51" s="9" t="s">
        <v>24</v>
      </c>
      <c r="F51" s="9" t="s">
        <v>23</v>
      </c>
      <c r="G51" s="9" t="s">
        <v>16</v>
      </c>
      <c r="H51" s="9" t="s">
        <v>17</v>
      </c>
      <c r="I51" s="9" t="s">
        <v>18</v>
      </c>
      <c r="J51" s="9">
        <v>3399</v>
      </c>
      <c r="K51" s="9">
        <v>2412</v>
      </c>
      <c r="L51" s="9">
        <v>37.351648351648301</v>
      </c>
      <c r="M51" s="9">
        <v>26.5054945054945</v>
      </c>
      <c r="N51" s="9">
        <v>70.962047661076795</v>
      </c>
    </row>
    <row r="52" spans="1:14" x14ac:dyDescent="0.35">
      <c r="A52" s="7">
        <v>3</v>
      </c>
      <c r="B52" s="9">
        <v>2018</v>
      </c>
      <c r="C52" s="9">
        <v>3</v>
      </c>
      <c r="D52" s="9" t="s">
        <v>23</v>
      </c>
      <c r="E52" s="9" t="s">
        <v>24</v>
      </c>
      <c r="F52" s="9" t="s">
        <v>23</v>
      </c>
      <c r="G52" s="9" t="s">
        <v>16</v>
      </c>
      <c r="H52" s="9" t="s">
        <v>17</v>
      </c>
      <c r="I52" s="9" t="s">
        <v>18</v>
      </c>
      <c r="J52" s="9">
        <v>3420</v>
      </c>
      <c r="K52" s="9">
        <v>2572</v>
      </c>
      <c r="L52" s="9">
        <v>37.173913043478201</v>
      </c>
      <c r="M52" s="9">
        <v>27.956521739130402</v>
      </c>
      <c r="N52" s="9">
        <v>75.204678362573105</v>
      </c>
    </row>
    <row r="53" spans="1:14" x14ac:dyDescent="0.35">
      <c r="A53" s="7">
        <v>4</v>
      </c>
      <c r="B53" s="9">
        <v>2018</v>
      </c>
      <c r="C53" s="9">
        <v>4</v>
      </c>
      <c r="D53" s="9" t="s">
        <v>23</v>
      </c>
      <c r="E53" s="9" t="s">
        <v>24</v>
      </c>
      <c r="F53" s="9" t="s">
        <v>23</v>
      </c>
      <c r="G53" s="9" t="s">
        <v>16</v>
      </c>
      <c r="H53" s="9" t="s">
        <v>17</v>
      </c>
      <c r="I53" s="9" t="s">
        <v>18</v>
      </c>
      <c r="J53" s="9">
        <v>3499</v>
      </c>
      <c r="K53" s="9">
        <v>2374</v>
      </c>
      <c r="L53" s="9">
        <v>38.032608695652101</v>
      </c>
      <c r="M53" s="9">
        <v>25.8043478260869</v>
      </c>
      <c r="N53" s="9">
        <v>67.847956559016794</v>
      </c>
    </row>
    <row r="54" spans="1:14" x14ac:dyDescent="0.35">
      <c r="A54" s="7">
        <v>5</v>
      </c>
      <c r="B54" s="9">
        <v>2019</v>
      </c>
      <c r="C54" s="9">
        <v>1</v>
      </c>
      <c r="D54" s="9" t="s">
        <v>23</v>
      </c>
      <c r="E54" s="9" t="s">
        <v>24</v>
      </c>
      <c r="F54" s="9" t="s">
        <v>23</v>
      </c>
      <c r="G54" s="9" t="s">
        <v>16</v>
      </c>
      <c r="H54" s="9" t="s">
        <v>17</v>
      </c>
      <c r="I54" s="9" t="s">
        <v>18</v>
      </c>
      <c r="J54" s="9">
        <v>3283</v>
      </c>
      <c r="K54" s="9">
        <v>2626</v>
      </c>
      <c r="L54" s="9">
        <v>36.477777777777703</v>
      </c>
      <c r="M54" s="9">
        <v>29.177777777777699</v>
      </c>
      <c r="N54" s="9">
        <v>79.987816021931096</v>
      </c>
    </row>
    <row r="55" spans="1:14" x14ac:dyDescent="0.35">
      <c r="A55" s="7">
        <v>6</v>
      </c>
      <c r="B55" s="9">
        <v>2019</v>
      </c>
      <c r="C55" s="9">
        <v>2</v>
      </c>
      <c r="D55" s="9" t="s">
        <v>23</v>
      </c>
      <c r="E55" s="9" t="s">
        <v>24</v>
      </c>
      <c r="F55" s="9" t="s">
        <v>23</v>
      </c>
      <c r="G55" s="9" t="s">
        <v>16</v>
      </c>
      <c r="H55" s="9" t="s">
        <v>17</v>
      </c>
      <c r="I55" s="9" t="s">
        <v>18</v>
      </c>
      <c r="J55" s="9">
        <v>3385</v>
      </c>
      <c r="K55" s="9">
        <v>2590</v>
      </c>
      <c r="L55" s="9">
        <v>37.197802197802197</v>
      </c>
      <c r="M55" s="9">
        <v>28.4615384615384</v>
      </c>
      <c r="N55" s="9">
        <v>76.514032496307195</v>
      </c>
    </row>
    <row r="56" spans="1:14" x14ac:dyDescent="0.35">
      <c r="A56" s="7">
        <v>7</v>
      </c>
      <c r="B56" s="9">
        <v>2019</v>
      </c>
      <c r="C56" s="9">
        <v>3</v>
      </c>
      <c r="D56" s="9" t="s">
        <v>23</v>
      </c>
      <c r="E56" s="9" t="s">
        <v>24</v>
      </c>
      <c r="F56" s="9" t="s">
        <v>23</v>
      </c>
      <c r="G56" s="9" t="s">
        <v>16</v>
      </c>
      <c r="H56" s="9" t="s">
        <v>17</v>
      </c>
      <c r="I56" s="9" t="s">
        <v>18</v>
      </c>
      <c r="J56" s="9">
        <v>3299</v>
      </c>
      <c r="K56" s="9">
        <v>2441</v>
      </c>
      <c r="L56" s="9">
        <v>35.8586956521739</v>
      </c>
      <c r="M56" s="9">
        <v>26.532608695652101</v>
      </c>
      <c r="N56" s="9">
        <v>73.992118823886003</v>
      </c>
    </row>
    <row r="57" spans="1:14" x14ac:dyDescent="0.35">
      <c r="A57" s="7">
        <v>8</v>
      </c>
      <c r="B57" s="9">
        <v>2019</v>
      </c>
      <c r="C57" s="9">
        <v>4</v>
      </c>
      <c r="D57" s="9" t="s">
        <v>23</v>
      </c>
      <c r="E57" s="9" t="s">
        <v>24</v>
      </c>
      <c r="F57" s="9" t="s">
        <v>23</v>
      </c>
      <c r="G57" s="9" t="s">
        <v>16</v>
      </c>
      <c r="H57" s="9" t="s">
        <v>17</v>
      </c>
      <c r="I57" s="9" t="s">
        <v>18</v>
      </c>
      <c r="J57" s="9">
        <v>3580</v>
      </c>
      <c r="K57" s="9">
        <v>2706</v>
      </c>
      <c r="L57" s="9">
        <v>38.913043478260803</v>
      </c>
      <c r="M57" s="9">
        <v>29.4130434782608</v>
      </c>
      <c r="N57" s="9">
        <v>75.5865921787709</v>
      </c>
    </row>
    <row r="58" spans="1:14" x14ac:dyDescent="0.35">
      <c r="A58" s="7">
        <v>9</v>
      </c>
      <c r="B58" s="9">
        <v>2020</v>
      </c>
      <c r="C58" s="9">
        <v>1</v>
      </c>
      <c r="D58" s="9" t="s">
        <v>23</v>
      </c>
      <c r="E58" s="9" t="s">
        <v>24</v>
      </c>
      <c r="F58" s="9" t="s">
        <v>23</v>
      </c>
      <c r="G58" s="9" t="s">
        <v>16</v>
      </c>
      <c r="H58" s="9" t="s">
        <v>17</v>
      </c>
      <c r="I58" s="9" t="s">
        <v>18</v>
      </c>
      <c r="J58" s="9">
        <v>3414</v>
      </c>
      <c r="K58" s="9">
        <v>2742</v>
      </c>
      <c r="L58" s="9">
        <v>37.516483516483497</v>
      </c>
      <c r="M58" s="9">
        <v>30.131868131868099</v>
      </c>
      <c r="N58" s="9">
        <v>80.316344463971802</v>
      </c>
    </row>
    <row r="59" spans="1:14" x14ac:dyDescent="0.35">
      <c r="A59" s="7">
        <v>10</v>
      </c>
      <c r="B59" s="9">
        <v>2020</v>
      </c>
      <c r="C59" s="9">
        <v>2</v>
      </c>
      <c r="D59" s="9" t="s">
        <v>23</v>
      </c>
      <c r="E59" s="9" t="s">
        <v>24</v>
      </c>
      <c r="F59" s="9" t="s">
        <v>23</v>
      </c>
      <c r="G59" s="9" t="s">
        <v>16</v>
      </c>
      <c r="H59" s="9" t="s">
        <v>17</v>
      </c>
      <c r="I59" s="9" t="s">
        <v>18</v>
      </c>
      <c r="J59" s="9">
        <v>3276</v>
      </c>
      <c r="K59" s="9">
        <v>1410</v>
      </c>
      <c r="L59" s="9">
        <v>36</v>
      </c>
      <c r="M59" s="9">
        <v>15.4945054945054</v>
      </c>
      <c r="N59" s="9">
        <v>43.040293040293001</v>
      </c>
    </row>
    <row r="60" spans="1:14" x14ac:dyDescent="0.35">
      <c r="A60" s="7">
        <v>11</v>
      </c>
      <c r="B60" s="9">
        <v>2020</v>
      </c>
      <c r="C60" s="9">
        <v>3</v>
      </c>
      <c r="D60" s="9" t="s">
        <v>23</v>
      </c>
      <c r="E60" s="9" t="s">
        <v>24</v>
      </c>
      <c r="F60" s="9" t="s">
        <v>23</v>
      </c>
      <c r="G60" s="9" t="s">
        <v>16</v>
      </c>
      <c r="H60" s="9" t="s">
        <v>17</v>
      </c>
      <c r="I60" s="9" t="s">
        <v>18</v>
      </c>
      <c r="J60" s="9">
        <v>2781</v>
      </c>
      <c r="K60" s="9">
        <v>1857</v>
      </c>
      <c r="L60" s="9">
        <v>30.228260869565201</v>
      </c>
      <c r="M60" s="9">
        <v>20.184782608695599</v>
      </c>
      <c r="N60" s="9">
        <v>66.774541531823004</v>
      </c>
    </row>
    <row r="61" spans="1:14" x14ac:dyDescent="0.35">
      <c r="A61" s="7">
        <v>12</v>
      </c>
      <c r="B61" s="9">
        <v>2020</v>
      </c>
      <c r="C61" s="9">
        <v>4</v>
      </c>
      <c r="D61" s="9" t="s">
        <v>23</v>
      </c>
      <c r="E61" s="9" t="s">
        <v>24</v>
      </c>
      <c r="F61" s="9" t="s">
        <v>23</v>
      </c>
      <c r="G61" s="9" t="s">
        <v>16</v>
      </c>
      <c r="H61" s="9" t="s">
        <v>17</v>
      </c>
      <c r="I61" s="9" t="s">
        <v>18</v>
      </c>
      <c r="J61" s="9">
        <v>3147</v>
      </c>
      <c r="K61" s="9">
        <v>2067</v>
      </c>
      <c r="L61" s="9">
        <v>34.206521739130402</v>
      </c>
      <c r="M61" s="9">
        <v>22.4673913043478</v>
      </c>
      <c r="N61" s="9">
        <v>65.681601525262096</v>
      </c>
    </row>
    <row r="62" spans="1:14" x14ac:dyDescent="0.35">
      <c r="A62" s="7">
        <v>13</v>
      </c>
      <c r="B62" s="9">
        <v>2021</v>
      </c>
      <c r="C62" s="9">
        <v>1</v>
      </c>
      <c r="D62" s="9" t="s">
        <v>23</v>
      </c>
      <c r="E62" s="9" t="s">
        <v>24</v>
      </c>
      <c r="F62" s="9" t="s">
        <v>23</v>
      </c>
      <c r="G62" s="9" t="s">
        <v>16</v>
      </c>
      <c r="H62" s="9" t="s">
        <v>17</v>
      </c>
      <c r="I62" s="9" t="s">
        <v>18</v>
      </c>
      <c r="J62" s="9">
        <v>3060</v>
      </c>
      <c r="K62" s="9">
        <v>2207</v>
      </c>
      <c r="L62" s="9">
        <v>34</v>
      </c>
      <c r="M62" s="9">
        <v>24.522222222222201</v>
      </c>
      <c r="N62" s="9">
        <v>72.124183006535901</v>
      </c>
    </row>
    <row r="63" spans="1:14" x14ac:dyDescent="0.35">
      <c r="A63" s="7">
        <v>14</v>
      </c>
      <c r="B63" s="9">
        <v>2021</v>
      </c>
      <c r="C63" s="9">
        <v>2</v>
      </c>
      <c r="D63" s="9" t="s">
        <v>23</v>
      </c>
      <c r="E63" s="9" t="s">
        <v>24</v>
      </c>
      <c r="F63" s="9" t="s">
        <v>23</v>
      </c>
      <c r="G63" s="9" t="s">
        <v>16</v>
      </c>
      <c r="H63" s="9" t="s">
        <v>17</v>
      </c>
      <c r="I63" s="9" t="s">
        <v>18</v>
      </c>
      <c r="J63" s="9">
        <v>3175</v>
      </c>
      <c r="K63" s="9">
        <v>2362</v>
      </c>
      <c r="L63" s="9">
        <v>34.890109890109798</v>
      </c>
      <c r="M63" s="9">
        <v>25.956043956043899</v>
      </c>
      <c r="N63" s="9">
        <v>74.393700787401499</v>
      </c>
    </row>
    <row r="64" spans="1:14" x14ac:dyDescent="0.35">
      <c r="A64" s="7">
        <v>15</v>
      </c>
      <c r="B64" s="9">
        <v>2021</v>
      </c>
      <c r="C64" s="9">
        <v>3</v>
      </c>
      <c r="D64" s="9" t="s">
        <v>23</v>
      </c>
      <c r="E64" s="9" t="s">
        <v>24</v>
      </c>
      <c r="F64" s="9" t="s">
        <v>23</v>
      </c>
      <c r="G64" s="9" t="s">
        <v>16</v>
      </c>
      <c r="H64" s="9" t="s">
        <v>17</v>
      </c>
      <c r="I64" s="9" t="s">
        <v>18</v>
      </c>
      <c r="J64" s="9">
        <v>3202</v>
      </c>
      <c r="K64" s="9">
        <v>2447</v>
      </c>
      <c r="L64" s="9">
        <v>34.804347826086897</v>
      </c>
      <c r="M64" s="9">
        <v>26.597826086956498</v>
      </c>
      <c r="N64" s="9">
        <v>76.420986883197997</v>
      </c>
    </row>
    <row r="65" spans="1:14" x14ac:dyDescent="0.35">
      <c r="A65" s="7">
        <v>16</v>
      </c>
      <c r="B65" s="9">
        <v>2021</v>
      </c>
      <c r="C65" s="9">
        <v>4</v>
      </c>
      <c r="D65" s="9" t="s">
        <v>23</v>
      </c>
      <c r="E65" s="9" t="s">
        <v>24</v>
      </c>
      <c r="F65" s="9" t="s">
        <v>23</v>
      </c>
      <c r="G65" s="9" t="s">
        <v>16</v>
      </c>
      <c r="H65" s="9" t="s">
        <v>17</v>
      </c>
      <c r="I65" s="9" t="s">
        <v>18</v>
      </c>
      <c r="J65" s="9">
        <v>3107</v>
      </c>
      <c r="K65" s="9">
        <v>2362</v>
      </c>
      <c r="L65" s="9">
        <v>33.771739130434703</v>
      </c>
      <c r="M65" s="9">
        <v>25.673913043478201</v>
      </c>
      <c r="N65" s="9">
        <v>76.021886063726996</v>
      </c>
    </row>
    <row r="66" spans="1:14" x14ac:dyDescent="0.35">
      <c r="A66" s="7">
        <v>1</v>
      </c>
      <c r="B66" s="9">
        <v>2018</v>
      </c>
      <c r="C66" s="9">
        <v>1</v>
      </c>
      <c r="D66" s="9" t="s">
        <v>25</v>
      </c>
      <c r="E66" s="9" t="s">
        <v>26</v>
      </c>
      <c r="F66" s="9" t="s">
        <v>25</v>
      </c>
      <c r="G66" s="9" t="s">
        <v>16</v>
      </c>
      <c r="H66" s="9" t="s">
        <v>17</v>
      </c>
      <c r="I66" s="9" t="s">
        <v>18</v>
      </c>
      <c r="J66" s="9">
        <v>7449</v>
      </c>
      <c r="K66" s="9">
        <v>6241</v>
      </c>
      <c r="L66" s="9">
        <v>82.766666666666595</v>
      </c>
      <c r="M66" s="9">
        <v>69.344444444444406</v>
      </c>
      <c r="N66" s="9">
        <v>83.783058128607806</v>
      </c>
    </row>
    <row r="67" spans="1:14" x14ac:dyDescent="0.35">
      <c r="A67" s="7">
        <v>2</v>
      </c>
      <c r="B67" s="9">
        <v>2018</v>
      </c>
      <c r="C67" s="9">
        <v>2</v>
      </c>
      <c r="D67" s="9" t="s">
        <v>25</v>
      </c>
      <c r="E67" s="9" t="s">
        <v>26</v>
      </c>
      <c r="F67" s="9" t="s">
        <v>25</v>
      </c>
      <c r="G67" s="9" t="s">
        <v>16</v>
      </c>
      <c r="H67" s="9" t="s">
        <v>17</v>
      </c>
      <c r="I67" s="9" t="s">
        <v>18</v>
      </c>
      <c r="J67" s="9">
        <v>7032</v>
      </c>
      <c r="K67" s="9">
        <v>5581</v>
      </c>
      <c r="L67" s="9">
        <v>77.274725274725199</v>
      </c>
      <c r="M67" s="9">
        <v>61.3296703296703</v>
      </c>
      <c r="N67" s="9">
        <v>79.365756541524405</v>
      </c>
    </row>
    <row r="68" spans="1:14" x14ac:dyDescent="0.35">
      <c r="A68" s="7">
        <v>3</v>
      </c>
      <c r="B68" s="9">
        <v>2018</v>
      </c>
      <c r="C68" s="9">
        <v>3</v>
      </c>
      <c r="D68" s="9" t="s">
        <v>25</v>
      </c>
      <c r="E68" s="9" t="s">
        <v>26</v>
      </c>
      <c r="F68" s="9" t="s">
        <v>25</v>
      </c>
      <c r="G68" s="9" t="s">
        <v>16</v>
      </c>
      <c r="H68" s="9" t="s">
        <v>17</v>
      </c>
      <c r="I68" s="9" t="s">
        <v>18</v>
      </c>
      <c r="J68" s="9">
        <v>7414</v>
      </c>
      <c r="K68" s="9">
        <v>5951</v>
      </c>
      <c r="L68" s="9">
        <v>80.586956521739097</v>
      </c>
      <c r="M68" s="9">
        <v>64.684782608695599</v>
      </c>
      <c r="N68" s="9">
        <v>80.267062314539999</v>
      </c>
    </row>
    <row r="69" spans="1:14" x14ac:dyDescent="0.35">
      <c r="A69" s="7">
        <v>4</v>
      </c>
      <c r="B69" s="9">
        <v>2018</v>
      </c>
      <c r="C69" s="9">
        <v>4</v>
      </c>
      <c r="D69" s="9" t="s">
        <v>25</v>
      </c>
      <c r="E69" s="9" t="s">
        <v>26</v>
      </c>
      <c r="F69" s="9" t="s">
        <v>25</v>
      </c>
      <c r="G69" s="9" t="s">
        <v>16</v>
      </c>
      <c r="H69" s="9" t="s">
        <v>17</v>
      </c>
      <c r="I69" s="9" t="s">
        <v>18</v>
      </c>
      <c r="J69" s="9">
        <v>8002</v>
      </c>
      <c r="K69" s="9">
        <v>6401</v>
      </c>
      <c r="L69" s="9">
        <v>86.978260869565204</v>
      </c>
      <c r="M69" s="9">
        <v>69.576086956521706</v>
      </c>
      <c r="N69" s="9">
        <v>79.9925018745313</v>
      </c>
    </row>
    <row r="70" spans="1:14" x14ac:dyDescent="0.35">
      <c r="A70" s="7">
        <v>5</v>
      </c>
      <c r="B70" s="9">
        <v>2019</v>
      </c>
      <c r="C70" s="9">
        <v>1</v>
      </c>
      <c r="D70" s="9" t="s">
        <v>25</v>
      </c>
      <c r="E70" s="9" t="s">
        <v>26</v>
      </c>
      <c r="F70" s="9" t="s">
        <v>25</v>
      </c>
      <c r="G70" s="9" t="s">
        <v>16</v>
      </c>
      <c r="H70" s="9" t="s">
        <v>17</v>
      </c>
      <c r="I70" s="9" t="s">
        <v>18</v>
      </c>
      <c r="J70" s="9">
        <v>7477</v>
      </c>
      <c r="K70" s="9">
        <v>6383</v>
      </c>
      <c r="L70" s="9">
        <v>83.077777777777698</v>
      </c>
      <c r="M70" s="9">
        <v>70.922222222222203</v>
      </c>
      <c r="N70" s="9">
        <v>85.368463287414698</v>
      </c>
    </row>
    <row r="71" spans="1:14" x14ac:dyDescent="0.35">
      <c r="A71" s="7">
        <v>6</v>
      </c>
      <c r="B71" s="9">
        <v>2019</v>
      </c>
      <c r="C71" s="9">
        <v>2</v>
      </c>
      <c r="D71" s="9" t="s">
        <v>25</v>
      </c>
      <c r="E71" s="9" t="s">
        <v>26</v>
      </c>
      <c r="F71" s="9" t="s">
        <v>25</v>
      </c>
      <c r="G71" s="9" t="s">
        <v>16</v>
      </c>
      <c r="H71" s="9" t="s">
        <v>17</v>
      </c>
      <c r="I71" s="9" t="s">
        <v>18</v>
      </c>
      <c r="J71" s="9">
        <v>7817</v>
      </c>
      <c r="K71" s="9">
        <v>6481</v>
      </c>
      <c r="L71" s="9">
        <v>85.901098901098905</v>
      </c>
      <c r="M71" s="9">
        <v>71.219780219780205</v>
      </c>
      <c r="N71" s="9">
        <v>82.909044390431106</v>
      </c>
    </row>
    <row r="72" spans="1:14" x14ac:dyDescent="0.35">
      <c r="A72" s="7">
        <v>7</v>
      </c>
      <c r="B72" s="9">
        <v>2019</v>
      </c>
      <c r="C72" s="9">
        <v>3</v>
      </c>
      <c r="D72" s="9" t="s">
        <v>25</v>
      </c>
      <c r="E72" s="9" t="s">
        <v>26</v>
      </c>
      <c r="F72" s="9" t="s">
        <v>25</v>
      </c>
      <c r="G72" s="9" t="s">
        <v>16</v>
      </c>
      <c r="H72" s="9" t="s">
        <v>17</v>
      </c>
      <c r="I72" s="9" t="s">
        <v>18</v>
      </c>
      <c r="J72" s="9">
        <v>7600</v>
      </c>
      <c r="K72" s="9">
        <v>6409</v>
      </c>
      <c r="L72" s="9">
        <v>82.608695652173907</v>
      </c>
      <c r="M72" s="9">
        <v>69.663043478260803</v>
      </c>
      <c r="N72" s="9">
        <v>84.328947368420998</v>
      </c>
    </row>
    <row r="73" spans="1:14" x14ac:dyDescent="0.35">
      <c r="A73" s="7">
        <v>8</v>
      </c>
      <c r="B73" s="9">
        <v>2019</v>
      </c>
      <c r="C73" s="9">
        <v>4</v>
      </c>
      <c r="D73" s="9" t="s">
        <v>25</v>
      </c>
      <c r="E73" s="9" t="s">
        <v>26</v>
      </c>
      <c r="F73" s="9" t="s">
        <v>25</v>
      </c>
      <c r="G73" s="9" t="s">
        <v>16</v>
      </c>
      <c r="H73" s="9" t="s">
        <v>17</v>
      </c>
      <c r="I73" s="9" t="s">
        <v>18</v>
      </c>
      <c r="J73" s="9">
        <v>8021</v>
      </c>
      <c r="K73" s="9">
        <v>6781</v>
      </c>
      <c r="L73" s="9">
        <v>87.184782608695599</v>
      </c>
      <c r="M73" s="9">
        <v>73.706521739130395</v>
      </c>
      <c r="N73" s="9">
        <v>84.540580974940696</v>
      </c>
    </row>
    <row r="74" spans="1:14" x14ac:dyDescent="0.35">
      <c r="A74" s="7">
        <v>9</v>
      </c>
      <c r="B74" s="9">
        <v>2020</v>
      </c>
      <c r="C74" s="9">
        <v>1</v>
      </c>
      <c r="D74" s="9" t="s">
        <v>25</v>
      </c>
      <c r="E74" s="9" t="s">
        <v>26</v>
      </c>
      <c r="F74" s="9" t="s">
        <v>25</v>
      </c>
      <c r="G74" s="9" t="s">
        <v>16</v>
      </c>
      <c r="H74" s="9" t="s">
        <v>17</v>
      </c>
      <c r="I74" s="9" t="s">
        <v>18</v>
      </c>
      <c r="J74" s="9">
        <v>8069</v>
      </c>
      <c r="K74" s="9">
        <v>6777</v>
      </c>
      <c r="L74" s="9">
        <v>88.670329670329593</v>
      </c>
      <c r="M74" s="9">
        <v>74.472527472527403</v>
      </c>
      <c r="N74" s="9">
        <v>83.988102614946101</v>
      </c>
    </row>
    <row r="75" spans="1:14" x14ac:dyDescent="0.35">
      <c r="A75" s="7">
        <v>10</v>
      </c>
      <c r="B75" s="9">
        <v>2020</v>
      </c>
      <c r="C75" s="9">
        <v>2</v>
      </c>
      <c r="D75" s="9" t="s">
        <v>25</v>
      </c>
      <c r="E75" s="9" t="s">
        <v>26</v>
      </c>
      <c r="F75" s="9" t="s">
        <v>25</v>
      </c>
      <c r="G75" s="9" t="s">
        <v>16</v>
      </c>
      <c r="H75" s="9" t="s">
        <v>17</v>
      </c>
      <c r="I75" s="9" t="s">
        <v>18</v>
      </c>
      <c r="J75" s="9">
        <v>8280</v>
      </c>
      <c r="K75" s="9">
        <v>4281</v>
      </c>
      <c r="L75" s="9">
        <v>90.989010989011007</v>
      </c>
      <c r="M75" s="9">
        <v>47.043956043956001</v>
      </c>
      <c r="N75" s="9">
        <v>51.702898550724598</v>
      </c>
    </row>
    <row r="76" spans="1:14" x14ac:dyDescent="0.35">
      <c r="A76" s="7">
        <v>11</v>
      </c>
      <c r="B76" s="9">
        <v>2020</v>
      </c>
      <c r="C76" s="9">
        <v>3</v>
      </c>
      <c r="D76" s="9" t="s">
        <v>25</v>
      </c>
      <c r="E76" s="9" t="s">
        <v>26</v>
      </c>
      <c r="F76" s="9" t="s">
        <v>25</v>
      </c>
      <c r="G76" s="9" t="s">
        <v>16</v>
      </c>
      <c r="H76" s="9" t="s">
        <v>17</v>
      </c>
      <c r="I76" s="9" t="s">
        <v>18</v>
      </c>
      <c r="J76" s="9">
        <v>7735</v>
      </c>
      <c r="K76" s="9">
        <v>5313</v>
      </c>
      <c r="L76" s="9">
        <v>84.076086956521706</v>
      </c>
      <c r="M76" s="9">
        <v>57.75</v>
      </c>
      <c r="N76" s="9">
        <v>68.687782805429805</v>
      </c>
    </row>
    <row r="77" spans="1:14" x14ac:dyDescent="0.35">
      <c r="A77" s="7">
        <v>12</v>
      </c>
      <c r="B77" s="9">
        <v>2020</v>
      </c>
      <c r="C77" s="9">
        <v>4</v>
      </c>
      <c r="D77" s="9" t="s">
        <v>25</v>
      </c>
      <c r="E77" s="9" t="s">
        <v>26</v>
      </c>
      <c r="F77" s="9" t="s">
        <v>25</v>
      </c>
      <c r="G77" s="9" t="s">
        <v>16</v>
      </c>
      <c r="H77" s="9" t="s">
        <v>17</v>
      </c>
      <c r="I77" s="9" t="s">
        <v>18</v>
      </c>
      <c r="J77" s="9">
        <v>7311</v>
      </c>
      <c r="K77" s="9">
        <v>5309</v>
      </c>
      <c r="L77" s="9">
        <v>79.4673913043478</v>
      </c>
      <c r="M77" s="9">
        <v>57.706521739130402</v>
      </c>
      <c r="N77" s="9">
        <v>72.616605115579205</v>
      </c>
    </row>
    <row r="78" spans="1:14" x14ac:dyDescent="0.35">
      <c r="A78" s="7">
        <v>13</v>
      </c>
      <c r="B78" s="9">
        <v>2021</v>
      </c>
      <c r="C78" s="9">
        <v>1</v>
      </c>
      <c r="D78" s="9" t="s">
        <v>25</v>
      </c>
      <c r="E78" s="9" t="s">
        <v>26</v>
      </c>
      <c r="F78" s="9" t="s">
        <v>25</v>
      </c>
      <c r="G78" s="9" t="s">
        <v>16</v>
      </c>
      <c r="H78" s="9" t="s">
        <v>17</v>
      </c>
      <c r="I78" s="9" t="s">
        <v>18</v>
      </c>
      <c r="J78" s="9">
        <v>7700</v>
      </c>
      <c r="K78" s="9">
        <v>5560</v>
      </c>
      <c r="L78" s="9">
        <v>85.5555555555555</v>
      </c>
      <c r="M78" s="9">
        <v>61.7777777777777</v>
      </c>
      <c r="N78" s="9">
        <v>72.207792207792195</v>
      </c>
    </row>
    <row r="79" spans="1:14" x14ac:dyDescent="0.35">
      <c r="A79" s="7">
        <v>14</v>
      </c>
      <c r="B79" s="9">
        <v>2021</v>
      </c>
      <c r="C79" s="9">
        <v>2</v>
      </c>
      <c r="D79" s="9" t="s">
        <v>25</v>
      </c>
      <c r="E79" s="9" t="s">
        <v>26</v>
      </c>
      <c r="F79" s="9" t="s">
        <v>25</v>
      </c>
      <c r="G79" s="9" t="s">
        <v>16</v>
      </c>
      <c r="H79" s="9" t="s">
        <v>17</v>
      </c>
      <c r="I79" s="9" t="s">
        <v>18</v>
      </c>
      <c r="J79" s="9">
        <v>7578</v>
      </c>
      <c r="K79" s="9">
        <v>5997</v>
      </c>
      <c r="L79" s="9">
        <v>83.274725274725199</v>
      </c>
      <c r="M79" s="9">
        <v>65.901098901098905</v>
      </c>
      <c r="N79" s="9">
        <v>79.136975455265201</v>
      </c>
    </row>
    <row r="80" spans="1:14" x14ac:dyDescent="0.35">
      <c r="A80" s="7">
        <v>15</v>
      </c>
      <c r="B80" s="9">
        <v>2021</v>
      </c>
      <c r="C80" s="9">
        <v>3</v>
      </c>
      <c r="D80" s="9" t="s">
        <v>25</v>
      </c>
      <c r="E80" s="9" t="s">
        <v>26</v>
      </c>
      <c r="F80" s="9" t="s">
        <v>25</v>
      </c>
      <c r="G80" s="9" t="s">
        <v>16</v>
      </c>
      <c r="H80" s="9" t="s">
        <v>17</v>
      </c>
      <c r="I80" s="9" t="s">
        <v>18</v>
      </c>
      <c r="J80" s="9">
        <v>7567</v>
      </c>
      <c r="K80" s="9">
        <v>6266</v>
      </c>
      <c r="L80" s="9">
        <v>82.25</v>
      </c>
      <c r="M80" s="9">
        <v>68.108695652173907</v>
      </c>
      <c r="N80" s="9">
        <v>82.806924805074601</v>
      </c>
    </row>
    <row r="81" spans="1:14" x14ac:dyDescent="0.35">
      <c r="A81" s="7">
        <v>16</v>
      </c>
      <c r="B81" s="9">
        <v>2021</v>
      </c>
      <c r="C81" s="9">
        <v>4</v>
      </c>
      <c r="D81" s="9" t="s">
        <v>25</v>
      </c>
      <c r="E81" s="9" t="s">
        <v>26</v>
      </c>
      <c r="F81" s="9" t="s">
        <v>25</v>
      </c>
      <c r="G81" s="9" t="s">
        <v>16</v>
      </c>
      <c r="H81" s="9" t="s">
        <v>17</v>
      </c>
      <c r="I81" s="9" t="s">
        <v>18</v>
      </c>
      <c r="J81" s="9">
        <v>6769</v>
      </c>
      <c r="K81" s="9">
        <v>5837</v>
      </c>
      <c r="L81" s="9">
        <v>73.576086956521706</v>
      </c>
      <c r="M81" s="9">
        <v>63.445652173912997</v>
      </c>
      <c r="N81" s="9">
        <v>86.231348795981603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35C79-8DAF-4AD1-823B-B34B396A509C}">
  <dimension ref="B3:F14"/>
  <sheetViews>
    <sheetView tabSelected="1" workbookViewId="0">
      <selection activeCell="C20" sqref="C20"/>
    </sheetView>
  </sheetViews>
  <sheetFormatPr defaultRowHeight="14.5" x14ac:dyDescent="0.35"/>
  <cols>
    <col min="3" max="3" width="13.453125" customWidth="1"/>
    <col min="4" max="4" width="26.26953125" customWidth="1"/>
  </cols>
  <sheetData>
    <row r="3" spans="2:6" x14ac:dyDescent="0.35">
      <c r="D3" t="s">
        <v>68</v>
      </c>
    </row>
    <row r="4" spans="2:6" x14ac:dyDescent="0.35">
      <c r="B4" t="s">
        <v>76</v>
      </c>
      <c r="C4" t="s">
        <v>77</v>
      </c>
    </row>
    <row r="5" spans="2:6" x14ac:dyDescent="0.35">
      <c r="D5" s="17" t="s">
        <v>75</v>
      </c>
      <c r="E5" s="19" t="s">
        <v>56</v>
      </c>
    </row>
    <row r="6" spans="2:6" x14ac:dyDescent="0.35">
      <c r="C6" s="18" t="s">
        <v>15</v>
      </c>
      <c r="D6" s="20" t="s">
        <v>74</v>
      </c>
      <c r="E6" s="20">
        <v>127.58</v>
      </c>
    </row>
    <row r="7" spans="2:6" x14ac:dyDescent="0.35">
      <c r="C7" s="18" t="s">
        <v>15</v>
      </c>
      <c r="D7" s="22" t="s">
        <v>73</v>
      </c>
      <c r="E7" s="22">
        <v>92.02</v>
      </c>
      <c r="F7" t="s">
        <v>71</v>
      </c>
    </row>
    <row r="8" spans="2:6" x14ac:dyDescent="0.35">
      <c r="C8" s="18" t="s">
        <v>15</v>
      </c>
      <c r="D8" s="20" t="s">
        <v>72</v>
      </c>
      <c r="E8" s="20">
        <v>184.57</v>
      </c>
    </row>
    <row r="9" spans="2:6" x14ac:dyDescent="0.35">
      <c r="C9" s="18" t="s">
        <v>20</v>
      </c>
      <c r="D9" s="20" t="s">
        <v>74</v>
      </c>
      <c r="E9" s="20">
        <v>7.21</v>
      </c>
    </row>
    <row r="10" spans="2:6" x14ac:dyDescent="0.35">
      <c r="C10" s="18" t="s">
        <v>20</v>
      </c>
      <c r="D10" s="22" t="s">
        <v>73</v>
      </c>
      <c r="E10" s="22">
        <v>4.4400000000000004</v>
      </c>
      <c r="F10" t="s">
        <v>71</v>
      </c>
    </row>
    <row r="11" spans="2:6" x14ac:dyDescent="0.35">
      <c r="C11" s="18" t="s">
        <v>20</v>
      </c>
      <c r="D11" s="21" t="s">
        <v>72</v>
      </c>
      <c r="E11" s="21">
        <v>13.81</v>
      </c>
    </row>
    <row r="12" spans="2:6" x14ac:dyDescent="0.35">
      <c r="C12" s="18" t="s">
        <v>22</v>
      </c>
      <c r="D12" s="20" t="s">
        <v>74</v>
      </c>
      <c r="E12" s="20">
        <v>0</v>
      </c>
    </row>
    <row r="13" spans="2:6" x14ac:dyDescent="0.35">
      <c r="C13" s="18" t="s">
        <v>22</v>
      </c>
      <c r="D13" s="20" t="s">
        <v>73</v>
      </c>
      <c r="E13" s="20">
        <v>0</v>
      </c>
    </row>
    <row r="14" spans="2:6" x14ac:dyDescent="0.35">
      <c r="C14" s="18" t="s">
        <v>22</v>
      </c>
      <c r="D14" s="21" t="s">
        <v>72</v>
      </c>
      <c r="E14" s="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127B3-B941-4B3D-B8B5-05A733961B83}">
  <dimension ref="A1:X74"/>
  <sheetViews>
    <sheetView workbookViewId="0">
      <selection activeCell="A14" sqref="A14"/>
    </sheetView>
  </sheetViews>
  <sheetFormatPr defaultRowHeight="14.5" x14ac:dyDescent="0.35"/>
  <cols>
    <col min="5" max="5" width="12.54296875" customWidth="1"/>
    <col min="6" max="13" width="0" hidden="1" customWidth="1"/>
    <col min="14" max="14" width="19.54296875" customWidth="1"/>
    <col min="15" max="15" width="10.453125" bestFit="1" customWidth="1"/>
    <col min="17" max="17" width="9.453125" bestFit="1" customWidth="1"/>
    <col min="18" max="18" width="19.26953125" customWidth="1"/>
    <col min="21" max="21" width="13.453125" customWidth="1"/>
    <col min="24" max="24" width="13.1796875" customWidth="1"/>
  </cols>
  <sheetData>
    <row r="1" spans="1:21" ht="23.5" x14ac:dyDescent="0.55000000000000004">
      <c r="A1" s="1" t="s">
        <v>27</v>
      </c>
    </row>
    <row r="3" spans="1:21" ht="18.5" x14ac:dyDescent="0.45">
      <c r="A3" s="2" t="s">
        <v>66</v>
      </c>
    </row>
    <row r="5" spans="1:21" x14ac:dyDescent="0.35">
      <c r="A5" s="13" t="s">
        <v>0</v>
      </c>
      <c r="B5" s="8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8" t="s">
        <v>7</v>
      </c>
      <c r="I5" s="8" t="s">
        <v>8</v>
      </c>
      <c r="J5" s="8" t="s">
        <v>9</v>
      </c>
      <c r="K5" s="8" t="s">
        <v>10</v>
      </c>
      <c r="L5" s="8" t="s">
        <v>11</v>
      </c>
      <c r="M5" s="8" t="s">
        <v>12</v>
      </c>
      <c r="N5" s="8" t="s">
        <v>13</v>
      </c>
      <c r="O5" s="8" t="s">
        <v>53</v>
      </c>
      <c r="P5" s="8" t="s">
        <v>54</v>
      </c>
      <c r="Q5" s="8" t="s">
        <v>55</v>
      </c>
    </row>
    <row r="6" spans="1:21" x14ac:dyDescent="0.35">
      <c r="A6" s="13">
        <v>1</v>
      </c>
      <c r="B6" s="9">
        <v>2018</v>
      </c>
      <c r="C6" s="9">
        <v>1</v>
      </c>
      <c r="D6" s="9" t="s">
        <v>14</v>
      </c>
      <c r="E6" s="9" t="s">
        <v>15</v>
      </c>
      <c r="F6" s="9" t="s">
        <v>14</v>
      </c>
      <c r="G6" s="9" t="s">
        <v>16</v>
      </c>
      <c r="H6" s="9" t="s">
        <v>17</v>
      </c>
      <c r="I6" s="9" t="s">
        <v>18</v>
      </c>
      <c r="J6" s="9">
        <v>1792</v>
      </c>
      <c r="K6" s="9">
        <v>1538</v>
      </c>
      <c r="L6" s="9">
        <v>19.911111111111101</v>
      </c>
      <c r="M6" s="9">
        <v>17.0888888888888</v>
      </c>
      <c r="N6" s="14">
        <v>85.825892857142804</v>
      </c>
      <c r="O6" s="14">
        <f>$O$21+$O$22*A6</f>
        <v>84.158668185026443</v>
      </c>
      <c r="P6" s="14">
        <f>N6-O6</f>
        <v>1.6672246721163617</v>
      </c>
      <c r="Q6" s="14">
        <f>P6*P6</f>
        <v>2.7796381073135099</v>
      </c>
    </row>
    <row r="7" spans="1:21" x14ac:dyDescent="0.35">
      <c r="A7" s="13">
        <v>2</v>
      </c>
      <c r="B7" s="9">
        <v>2018</v>
      </c>
      <c r="C7" s="9">
        <v>2</v>
      </c>
      <c r="D7" s="9" t="s">
        <v>14</v>
      </c>
      <c r="E7" s="9" t="s">
        <v>15</v>
      </c>
      <c r="F7" s="9" t="s">
        <v>14</v>
      </c>
      <c r="G7" s="9" t="s">
        <v>16</v>
      </c>
      <c r="H7" s="9" t="s">
        <v>17</v>
      </c>
      <c r="I7" s="9" t="s">
        <v>18</v>
      </c>
      <c r="J7" s="9">
        <v>1329</v>
      </c>
      <c r="K7" s="9">
        <v>1064</v>
      </c>
      <c r="L7" s="9">
        <v>14.6043956043956</v>
      </c>
      <c r="M7" s="9">
        <v>11.692307692307599</v>
      </c>
      <c r="N7" s="14">
        <v>80.060195635816399</v>
      </c>
      <c r="O7" s="14">
        <f t="shared" ref="O7:O17" si="0">$O$21+$O$22*A7</f>
        <v>82.998178842832672</v>
      </c>
      <c r="P7" s="14">
        <f t="shared" ref="P7:P17" si="1">N7-O7</f>
        <v>-2.9379832070162735</v>
      </c>
      <c r="Q7" s="14">
        <f t="shared" ref="Q7:Q17" si="2">P7*P7</f>
        <v>8.6317453247096267</v>
      </c>
    </row>
    <row r="8" spans="1:21" x14ac:dyDescent="0.35">
      <c r="A8" s="13">
        <v>3</v>
      </c>
      <c r="B8" s="9">
        <v>2018</v>
      </c>
      <c r="C8" s="9">
        <v>3</v>
      </c>
      <c r="D8" s="9" t="s">
        <v>14</v>
      </c>
      <c r="E8" s="9" t="s">
        <v>15</v>
      </c>
      <c r="F8" s="9" t="s">
        <v>14</v>
      </c>
      <c r="G8" s="9" t="s">
        <v>16</v>
      </c>
      <c r="H8" s="9" t="s">
        <v>17</v>
      </c>
      <c r="I8" s="9" t="s">
        <v>18</v>
      </c>
      <c r="J8" s="9">
        <v>1492</v>
      </c>
      <c r="K8" s="9">
        <v>1154</v>
      </c>
      <c r="L8" s="9">
        <v>16.2173913043478</v>
      </c>
      <c r="M8" s="9">
        <v>12.543478260869501</v>
      </c>
      <c r="N8" s="14">
        <v>77.3458445040214</v>
      </c>
      <c r="O8" s="14">
        <f t="shared" si="0"/>
        <v>81.837689500638916</v>
      </c>
      <c r="P8" s="14">
        <f t="shared" si="1"/>
        <v>-4.491844996617516</v>
      </c>
      <c r="Q8" s="14">
        <f t="shared" si="2"/>
        <v>20.176671473637814</v>
      </c>
    </row>
    <row r="9" spans="1:21" x14ac:dyDescent="0.35">
      <c r="A9" s="13">
        <v>4</v>
      </c>
      <c r="B9" s="9">
        <v>2018</v>
      </c>
      <c r="C9" s="9">
        <v>4</v>
      </c>
      <c r="D9" s="9" t="s">
        <v>14</v>
      </c>
      <c r="E9" s="9" t="s">
        <v>15</v>
      </c>
      <c r="F9" s="9" t="s">
        <v>14</v>
      </c>
      <c r="G9" s="9" t="s">
        <v>16</v>
      </c>
      <c r="H9" s="9" t="s">
        <v>17</v>
      </c>
      <c r="I9" s="9" t="s">
        <v>18</v>
      </c>
      <c r="J9" s="9">
        <v>1543</v>
      </c>
      <c r="K9" s="9">
        <v>1225</v>
      </c>
      <c r="L9" s="9">
        <v>16.7717391304347</v>
      </c>
      <c r="M9" s="9">
        <v>13.3152173913043</v>
      </c>
      <c r="N9" s="14">
        <v>79.390797148412105</v>
      </c>
      <c r="O9" s="14">
        <f t="shared" si="0"/>
        <v>80.67720015844516</v>
      </c>
      <c r="P9" s="14">
        <f t="shared" si="1"/>
        <v>-1.2864030100330552</v>
      </c>
      <c r="Q9" s="14">
        <f t="shared" si="2"/>
        <v>1.6548327042221047</v>
      </c>
      <c r="T9" s="11"/>
      <c r="U9" s="11" t="s">
        <v>68</v>
      </c>
    </row>
    <row r="10" spans="1:21" x14ac:dyDescent="0.35">
      <c r="A10" s="13">
        <v>5</v>
      </c>
      <c r="B10" s="9">
        <v>2019</v>
      </c>
      <c r="C10" s="9">
        <v>1</v>
      </c>
      <c r="D10" s="9" t="s">
        <v>14</v>
      </c>
      <c r="E10" s="9" t="s">
        <v>15</v>
      </c>
      <c r="F10" s="9" t="s">
        <v>14</v>
      </c>
      <c r="G10" s="9" t="s">
        <v>16</v>
      </c>
      <c r="H10" s="9" t="s">
        <v>17</v>
      </c>
      <c r="I10" s="9" t="s">
        <v>18</v>
      </c>
      <c r="J10" s="9">
        <v>1609</v>
      </c>
      <c r="K10" s="9">
        <v>1370</v>
      </c>
      <c r="L10" s="9">
        <v>17.877777777777698</v>
      </c>
      <c r="M10" s="9">
        <v>15.2222222222222</v>
      </c>
      <c r="N10" s="14">
        <v>85.146053449347406</v>
      </c>
      <c r="O10" s="14">
        <f t="shared" si="0"/>
        <v>79.516710816251404</v>
      </c>
      <c r="P10" s="14">
        <f t="shared" si="1"/>
        <v>5.6293426330960017</v>
      </c>
      <c r="Q10" s="14">
        <f t="shared" si="2"/>
        <v>31.689498480792224</v>
      </c>
      <c r="T10" s="11" t="s">
        <v>56</v>
      </c>
      <c r="U10" s="15">
        <f>AVERAGE(Q6:Q17)</f>
        <v>127.57907656838803</v>
      </c>
    </row>
    <row r="11" spans="1:21" x14ac:dyDescent="0.35">
      <c r="A11" s="13">
        <v>6</v>
      </c>
      <c r="B11" s="9">
        <v>2019</v>
      </c>
      <c r="C11" s="9">
        <v>2</v>
      </c>
      <c r="D11" s="9" t="s">
        <v>14</v>
      </c>
      <c r="E11" s="9" t="s">
        <v>15</v>
      </c>
      <c r="F11" s="9" t="s">
        <v>14</v>
      </c>
      <c r="G11" s="9" t="s">
        <v>16</v>
      </c>
      <c r="H11" s="9" t="s">
        <v>17</v>
      </c>
      <c r="I11" s="9" t="s">
        <v>18</v>
      </c>
      <c r="J11" s="9">
        <v>1787</v>
      </c>
      <c r="K11" s="9">
        <v>1532</v>
      </c>
      <c r="L11" s="9">
        <v>19.6373626373626</v>
      </c>
      <c r="M11" s="9">
        <v>16.8351648351648</v>
      </c>
      <c r="N11" s="14">
        <v>85.730274202574094</v>
      </c>
      <c r="O11" s="14">
        <f t="shared" si="0"/>
        <v>78.356221474057634</v>
      </c>
      <c r="P11" s="14">
        <f t="shared" si="1"/>
        <v>7.3740527285164603</v>
      </c>
      <c r="Q11" s="14">
        <f t="shared" si="2"/>
        <v>54.376653642941051</v>
      </c>
    </row>
    <row r="12" spans="1:21" x14ac:dyDescent="0.35">
      <c r="A12" s="13">
        <v>7</v>
      </c>
      <c r="B12" s="9">
        <v>2019</v>
      </c>
      <c r="C12" s="9">
        <v>3</v>
      </c>
      <c r="D12" s="9" t="s">
        <v>14</v>
      </c>
      <c r="E12" s="9" t="s">
        <v>15</v>
      </c>
      <c r="F12" s="9" t="s">
        <v>14</v>
      </c>
      <c r="G12" s="9" t="s">
        <v>16</v>
      </c>
      <c r="H12" s="9" t="s">
        <v>17</v>
      </c>
      <c r="I12" s="9" t="s">
        <v>18</v>
      </c>
      <c r="J12" s="9">
        <v>1465</v>
      </c>
      <c r="K12" s="9">
        <v>1270</v>
      </c>
      <c r="L12" s="9">
        <v>15.923913043478199</v>
      </c>
      <c r="M12" s="9">
        <v>13.8043478260869</v>
      </c>
      <c r="N12" s="14">
        <v>86.689419795221795</v>
      </c>
      <c r="O12" s="14">
        <f t="shared" si="0"/>
        <v>77.195732131863878</v>
      </c>
      <c r="P12" s="14">
        <f t="shared" si="1"/>
        <v>9.4936876633579175</v>
      </c>
      <c r="Q12" s="14">
        <f t="shared" si="2"/>
        <v>90.130105449394321</v>
      </c>
    </row>
    <row r="13" spans="1:21" x14ac:dyDescent="0.35">
      <c r="A13" s="13">
        <v>8</v>
      </c>
      <c r="B13" s="9">
        <v>2019</v>
      </c>
      <c r="C13" s="9">
        <v>4</v>
      </c>
      <c r="D13" s="9" t="s">
        <v>14</v>
      </c>
      <c r="E13" s="9" t="s">
        <v>15</v>
      </c>
      <c r="F13" s="9" t="s">
        <v>14</v>
      </c>
      <c r="G13" s="9" t="s">
        <v>16</v>
      </c>
      <c r="H13" s="9" t="s">
        <v>17</v>
      </c>
      <c r="I13" s="9" t="s">
        <v>18</v>
      </c>
      <c r="J13" s="9">
        <v>1510</v>
      </c>
      <c r="K13" s="9">
        <v>1299</v>
      </c>
      <c r="L13" s="9">
        <v>16.4130434782608</v>
      </c>
      <c r="M13" s="9">
        <v>14.119565217391299</v>
      </c>
      <c r="N13" s="14">
        <v>86.026490066225094</v>
      </c>
      <c r="O13" s="14">
        <f t="shared" si="0"/>
        <v>76.035242789670122</v>
      </c>
      <c r="P13" s="14">
        <f t="shared" si="1"/>
        <v>9.9912472765549722</v>
      </c>
      <c r="Q13" s="14">
        <f t="shared" si="2"/>
        <v>99.825022141267155</v>
      </c>
    </row>
    <row r="14" spans="1:21" x14ac:dyDescent="0.35">
      <c r="A14" s="13">
        <v>9</v>
      </c>
      <c r="B14" s="9">
        <v>2021</v>
      </c>
      <c r="C14" s="9">
        <v>1</v>
      </c>
      <c r="D14" s="9" t="s">
        <v>14</v>
      </c>
      <c r="E14" s="9" t="s">
        <v>15</v>
      </c>
      <c r="F14" s="9" t="s">
        <v>14</v>
      </c>
      <c r="G14" s="9" t="s">
        <v>16</v>
      </c>
      <c r="H14" s="9" t="s">
        <v>17</v>
      </c>
      <c r="I14" s="9" t="s">
        <v>18</v>
      </c>
      <c r="J14" s="9">
        <v>1791</v>
      </c>
      <c r="K14" s="9">
        <v>838</v>
      </c>
      <c r="L14" s="9">
        <v>19.899999999999999</v>
      </c>
      <c r="M14" s="9">
        <v>9.31111111111111</v>
      </c>
      <c r="N14" s="14">
        <v>46.789503070910101</v>
      </c>
      <c r="O14" s="14">
        <f t="shared" si="0"/>
        <v>74.874753447476365</v>
      </c>
      <c r="P14" s="14">
        <f t="shared" si="1"/>
        <v>-28.085250376566265</v>
      </c>
      <c r="Q14" s="14">
        <f t="shared" si="2"/>
        <v>788.7812887144155</v>
      </c>
    </row>
    <row r="15" spans="1:21" x14ac:dyDescent="0.35">
      <c r="A15" s="13">
        <v>10</v>
      </c>
      <c r="B15" s="9">
        <v>2021</v>
      </c>
      <c r="C15" s="9">
        <v>2</v>
      </c>
      <c r="D15" s="9" t="s">
        <v>14</v>
      </c>
      <c r="E15" s="9" t="s">
        <v>15</v>
      </c>
      <c r="F15" s="9" t="s">
        <v>14</v>
      </c>
      <c r="G15" s="9" t="s">
        <v>16</v>
      </c>
      <c r="H15" s="9" t="s">
        <v>17</v>
      </c>
      <c r="I15" s="9" t="s">
        <v>18</v>
      </c>
      <c r="J15" s="9">
        <v>1760</v>
      </c>
      <c r="K15" s="9">
        <v>1118</v>
      </c>
      <c r="L15" s="9">
        <v>19.3406593406593</v>
      </c>
      <c r="M15" s="9">
        <v>12.285714285714199</v>
      </c>
      <c r="N15" s="14">
        <v>63.522727272727202</v>
      </c>
      <c r="O15" s="14">
        <f t="shared" si="0"/>
        <v>73.714264105282595</v>
      </c>
      <c r="P15" s="14">
        <f t="shared" si="1"/>
        <v>-10.191536832555393</v>
      </c>
      <c r="Q15" s="14">
        <f t="shared" si="2"/>
        <v>103.86742300933321</v>
      </c>
    </row>
    <row r="16" spans="1:21" x14ac:dyDescent="0.35">
      <c r="A16" s="13">
        <v>11</v>
      </c>
      <c r="B16" s="9">
        <v>2021</v>
      </c>
      <c r="C16" s="9">
        <v>3</v>
      </c>
      <c r="D16" s="9" t="s">
        <v>14</v>
      </c>
      <c r="E16" s="9" t="s">
        <v>15</v>
      </c>
      <c r="F16" s="9" t="s">
        <v>14</v>
      </c>
      <c r="G16" s="9" t="s">
        <v>16</v>
      </c>
      <c r="H16" s="9" t="s">
        <v>17</v>
      </c>
      <c r="I16" s="9" t="s">
        <v>18</v>
      </c>
      <c r="J16" s="9">
        <v>1360</v>
      </c>
      <c r="K16" s="9">
        <v>923</v>
      </c>
      <c r="L16" s="9">
        <v>14.782608695652099</v>
      </c>
      <c r="M16" s="9">
        <v>10.032608695652099</v>
      </c>
      <c r="N16" s="14">
        <v>67.867647058823493</v>
      </c>
      <c r="O16" s="14">
        <f t="shared" si="0"/>
        <v>72.553774763088839</v>
      </c>
      <c r="P16" s="14">
        <f t="shared" si="1"/>
        <v>-4.6861277042653455</v>
      </c>
      <c r="Q16" s="14">
        <f t="shared" si="2"/>
        <v>21.959792860683198</v>
      </c>
    </row>
    <row r="17" spans="1:21" x14ac:dyDescent="0.35">
      <c r="A17" s="13">
        <v>12</v>
      </c>
      <c r="B17" s="9">
        <v>2021</v>
      </c>
      <c r="C17" s="9">
        <v>4</v>
      </c>
      <c r="D17" s="9" t="s">
        <v>14</v>
      </c>
      <c r="E17" s="9" t="s">
        <v>15</v>
      </c>
      <c r="F17" s="9" t="s">
        <v>14</v>
      </c>
      <c r="G17" s="9" t="s">
        <v>16</v>
      </c>
      <c r="H17" s="9" t="s">
        <v>17</v>
      </c>
      <c r="I17" s="9" t="s">
        <v>18</v>
      </c>
      <c r="J17" s="9">
        <v>1191</v>
      </c>
      <c r="K17" s="9">
        <v>1059</v>
      </c>
      <c r="L17" s="9">
        <v>12.945652173913</v>
      </c>
      <c r="M17" s="9">
        <v>11.5108695652173</v>
      </c>
      <c r="N17" s="14">
        <v>88.916876574307295</v>
      </c>
      <c r="O17" s="14">
        <f t="shared" si="0"/>
        <v>71.393285420895083</v>
      </c>
      <c r="P17" s="14">
        <f t="shared" si="1"/>
        <v>17.523591153412212</v>
      </c>
      <c r="Q17" s="14">
        <f t="shared" si="2"/>
        <v>307.07624691194673</v>
      </c>
    </row>
    <row r="19" spans="1:21" ht="15" thickBot="1" x14ac:dyDescent="0.4"/>
    <row r="20" spans="1:21" x14ac:dyDescent="0.35">
      <c r="N20" s="10"/>
      <c r="O20" s="10" t="s">
        <v>45</v>
      </c>
    </row>
    <row r="21" spans="1:21" x14ac:dyDescent="0.35">
      <c r="N21" s="11" t="s">
        <v>39</v>
      </c>
      <c r="O21" s="11">
        <v>85.319157527220199</v>
      </c>
    </row>
    <row r="22" spans="1:21" ht="15" thickBot="1" x14ac:dyDescent="0.4">
      <c r="N22" s="12" t="s">
        <v>52</v>
      </c>
      <c r="O22" s="12">
        <v>-1.1604893421937599</v>
      </c>
    </row>
    <row r="27" spans="1:21" ht="18.5" x14ac:dyDescent="0.45">
      <c r="A27" s="2" t="s">
        <v>67</v>
      </c>
    </row>
    <row r="30" spans="1:21" x14ac:dyDescent="0.35">
      <c r="A30" s="13" t="s">
        <v>0</v>
      </c>
      <c r="B30" s="16" t="s">
        <v>1</v>
      </c>
      <c r="C30" s="16" t="s">
        <v>2</v>
      </c>
      <c r="D30" s="16" t="s">
        <v>3</v>
      </c>
      <c r="E30" s="16" t="s">
        <v>4</v>
      </c>
      <c r="F30" s="16" t="s">
        <v>5</v>
      </c>
      <c r="G30" s="16" t="s">
        <v>6</v>
      </c>
      <c r="H30" s="16" t="s">
        <v>7</v>
      </c>
      <c r="I30" s="16" t="s">
        <v>8</v>
      </c>
      <c r="J30" s="16" t="s">
        <v>9</v>
      </c>
      <c r="K30" s="16" t="s">
        <v>10</v>
      </c>
      <c r="L30" s="16" t="s">
        <v>11</v>
      </c>
      <c r="M30" s="16" t="s">
        <v>12</v>
      </c>
      <c r="N30" s="16" t="s">
        <v>0</v>
      </c>
      <c r="O30" s="16" t="s">
        <v>57</v>
      </c>
      <c r="P30" s="16" t="s">
        <v>58</v>
      </c>
      <c r="Q30" s="16" t="s">
        <v>59</v>
      </c>
      <c r="R30" s="16" t="s">
        <v>13</v>
      </c>
      <c r="S30" s="16" t="s">
        <v>53</v>
      </c>
      <c r="T30" s="16" t="s">
        <v>54</v>
      </c>
      <c r="U30" s="16" t="s">
        <v>55</v>
      </c>
    </row>
    <row r="31" spans="1:21" x14ac:dyDescent="0.35">
      <c r="A31" s="13">
        <v>1</v>
      </c>
      <c r="B31" s="9">
        <v>2018</v>
      </c>
      <c r="C31" s="9">
        <v>1</v>
      </c>
      <c r="D31" s="9" t="s">
        <v>14</v>
      </c>
      <c r="E31" s="9" t="s">
        <v>15</v>
      </c>
      <c r="F31" s="9" t="s">
        <v>14</v>
      </c>
      <c r="G31" s="9" t="s">
        <v>16</v>
      </c>
      <c r="H31" s="9" t="s">
        <v>17</v>
      </c>
      <c r="I31" s="9" t="s">
        <v>18</v>
      </c>
      <c r="J31" s="9">
        <v>1792</v>
      </c>
      <c r="K31" s="9">
        <v>1538</v>
      </c>
      <c r="L31" s="9">
        <v>19.911111111111101</v>
      </c>
      <c r="M31" s="9">
        <v>17.0888888888888</v>
      </c>
      <c r="N31" s="9">
        <v>1</v>
      </c>
      <c r="O31" s="9">
        <v>1</v>
      </c>
      <c r="P31" s="9">
        <v>0</v>
      </c>
      <c r="Q31" s="9">
        <v>0</v>
      </c>
      <c r="R31" s="14">
        <v>85.825892857142804</v>
      </c>
      <c r="S31" s="14">
        <f>$S$50+$S$51*N31+$S$52*O31+$S$53*P31+$S$54*Q31</f>
        <v>79.527896813544828</v>
      </c>
      <c r="T31" s="14">
        <f>R31-S31</f>
        <v>6.2979960435979763</v>
      </c>
      <c r="U31" s="14">
        <f>T31*T31</f>
        <v>39.664754165175765</v>
      </c>
    </row>
    <row r="32" spans="1:21" x14ac:dyDescent="0.35">
      <c r="A32" s="13">
        <v>2</v>
      </c>
      <c r="B32" s="9">
        <v>2018</v>
      </c>
      <c r="C32" s="9">
        <v>2</v>
      </c>
      <c r="D32" s="9" t="s">
        <v>14</v>
      </c>
      <c r="E32" s="9" t="s">
        <v>15</v>
      </c>
      <c r="F32" s="9" t="s">
        <v>14</v>
      </c>
      <c r="G32" s="9" t="s">
        <v>16</v>
      </c>
      <c r="H32" s="9" t="s">
        <v>17</v>
      </c>
      <c r="I32" s="9" t="s">
        <v>18</v>
      </c>
      <c r="J32" s="9">
        <v>1329</v>
      </c>
      <c r="K32" s="9">
        <v>1064</v>
      </c>
      <c r="L32" s="9">
        <v>14.6043956043956</v>
      </c>
      <c r="M32" s="9">
        <v>11.692307692307599</v>
      </c>
      <c r="N32" s="9">
        <v>2</v>
      </c>
      <c r="O32" s="9">
        <v>0</v>
      </c>
      <c r="P32" s="9">
        <v>1</v>
      </c>
      <c r="Q32" s="9">
        <v>0</v>
      </c>
      <c r="R32" s="14">
        <v>80.060195635816399</v>
      </c>
      <c r="S32" s="14">
        <f t="shared" ref="S32:S46" si="3">$S$50+$S$51*N32+$S$52*O32+$S$53*P32+$S$54*Q32</f>
        <v>83.378479391450625</v>
      </c>
      <c r="T32" s="14">
        <f t="shared" ref="T32:T42" si="4">R32-S32</f>
        <v>-3.3182837556342264</v>
      </c>
      <c r="U32" s="14">
        <f t="shared" ref="U32:U42" si="5">T32*T32</f>
        <v>11.011007082905987</v>
      </c>
    </row>
    <row r="33" spans="1:24" x14ac:dyDescent="0.35">
      <c r="A33" s="13">
        <v>3</v>
      </c>
      <c r="B33" s="9">
        <v>2018</v>
      </c>
      <c r="C33" s="9">
        <v>3</v>
      </c>
      <c r="D33" s="9" t="s">
        <v>14</v>
      </c>
      <c r="E33" s="9" t="s">
        <v>15</v>
      </c>
      <c r="F33" s="9" t="s">
        <v>14</v>
      </c>
      <c r="G33" s="9" t="s">
        <v>16</v>
      </c>
      <c r="H33" s="9" t="s">
        <v>17</v>
      </c>
      <c r="I33" s="9" t="s">
        <v>18</v>
      </c>
      <c r="J33" s="9">
        <v>1492</v>
      </c>
      <c r="K33" s="9">
        <v>1154</v>
      </c>
      <c r="L33" s="9">
        <v>16.2173913043478</v>
      </c>
      <c r="M33" s="9">
        <v>12.543478260869501</v>
      </c>
      <c r="N33" s="9">
        <v>3</v>
      </c>
      <c r="O33" s="9">
        <v>0</v>
      </c>
      <c r="P33" s="9">
        <v>0</v>
      </c>
      <c r="Q33" s="9">
        <v>1</v>
      </c>
      <c r="R33" s="14">
        <v>77.3458445040214</v>
      </c>
      <c r="S33" s="14">
        <f t="shared" si="3"/>
        <v>84.241717473766954</v>
      </c>
      <c r="T33" s="14">
        <f t="shared" si="4"/>
        <v>-6.8958729697455539</v>
      </c>
      <c r="U33" s="14">
        <f t="shared" si="5"/>
        <v>47.553064014867367</v>
      </c>
    </row>
    <row r="34" spans="1:24" x14ac:dyDescent="0.35">
      <c r="A34" s="13">
        <v>4</v>
      </c>
      <c r="B34" s="9">
        <v>2018</v>
      </c>
      <c r="C34" s="9">
        <v>4</v>
      </c>
      <c r="D34" s="9" t="s">
        <v>14</v>
      </c>
      <c r="E34" s="9" t="s">
        <v>15</v>
      </c>
      <c r="F34" s="9" t="s">
        <v>14</v>
      </c>
      <c r="G34" s="9" t="s">
        <v>16</v>
      </c>
      <c r="H34" s="9" t="s">
        <v>17</v>
      </c>
      <c r="I34" s="9" t="s">
        <v>18</v>
      </c>
      <c r="J34" s="9">
        <v>1543</v>
      </c>
      <c r="K34" s="9">
        <v>1225</v>
      </c>
      <c r="L34" s="9">
        <v>16.7717391304347</v>
      </c>
      <c r="M34" s="9">
        <v>13.3152173913043</v>
      </c>
      <c r="N34" s="9">
        <v>4</v>
      </c>
      <c r="O34" s="9">
        <v>0</v>
      </c>
      <c r="P34" s="9">
        <v>0</v>
      </c>
      <c r="Q34" s="9">
        <v>0</v>
      </c>
      <c r="R34" s="14">
        <v>79.390797148412105</v>
      </c>
      <c r="S34" s="14">
        <f t="shared" si="3"/>
        <v>91.718801617392884</v>
      </c>
      <c r="T34" s="14">
        <f t="shared" si="4"/>
        <v>-12.32800446898078</v>
      </c>
      <c r="U34" s="14">
        <f t="shared" si="5"/>
        <v>151.97969418721007</v>
      </c>
      <c r="W34" s="11"/>
      <c r="X34" s="11" t="s">
        <v>68</v>
      </c>
    </row>
    <row r="35" spans="1:24" x14ac:dyDescent="0.35">
      <c r="A35" s="13">
        <v>5</v>
      </c>
      <c r="B35" s="9">
        <v>2019</v>
      </c>
      <c r="C35" s="9">
        <v>1</v>
      </c>
      <c r="D35" s="9" t="s">
        <v>14</v>
      </c>
      <c r="E35" s="9" t="s">
        <v>15</v>
      </c>
      <c r="F35" s="9" t="s">
        <v>14</v>
      </c>
      <c r="G35" s="9" t="s">
        <v>16</v>
      </c>
      <c r="H35" s="9" t="s">
        <v>17</v>
      </c>
      <c r="I35" s="9" t="s">
        <v>18</v>
      </c>
      <c r="J35" s="9">
        <v>1609</v>
      </c>
      <c r="K35" s="9">
        <v>1370</v>
      </c>
      <c r="L35" s="9">
        <v>17.877777777777698</v>
      </c>
      <c r="M35" s="9">
        <v>15.2222222222222</v>
      </c>
      <c r="N35" s="9">
        <v>5</v>
      </c>
      <c r="O35" s="9">
        <v>1</v>
      </c>
      <c r="P35" s="9">
        <v>0</v>
      </c>
      <c r="Q35" s="9">
        <v>0</v>
      </c>
      <c r="R35" s="14">
        <v>85.146053449347406</v>
      </c>
      <c r="S35" s="14">
        <f t="shared" si="3"/>
        <v>72.587149792466761</v>
      </c>
      <c r="T35" s="14">
        <f t="shared" si="4"/>
        <v>12.558903656880645</v>
      </c>
      <c r="U35" s="14">
        <f t="shared" si="5"/>
        <v>157.72606106281003</v>
      </c>
      <c r="W35" s="11" t="s">
        <v>56</v>
      </c>
      <c r="X35" s="15">
        <f>AVERAGE(U31:U42)</f>
        <v>92.019308204558584</v>
      </c>
    </row>
    <row r="36" spans="1:24" x14ac:dyDescent="0.35">
      <c r="A36" s="13">
        <v>6</v>
      </c>
      <c r="B36" s="9">
        <v>2019</v>
      </c>
      <c r="C36" s="9">
        <v>2</v>
      </c>
      <c r="D36" s="9" t="s">
        <v>14</v>
      </c>
      <c r="E36" s="9" t="s">
        <v>15</v>
      </c>
      <c r="F36" s="9" t="s">
        <v>14</v>
      </c>
      <c r="G36" s="9" t="s">
        <v>16</v>
      </c>
      <c r="H36" s="9" t="s">
        <v>17</v>
      </c>
      <c r="I36" s="9" t="s">
        <v>18</v>
      </c>
      <c r="J36" s="9">
        <v>1787</v>
      </c>
      <c r="K36" s="9">
        <v>1532</v>
      </c>
      <c r="L36" s="9">
        <v>19.6373626373626</v>
      </c>
      <c r="M36" s="9">
        <v>16.8351648351648</v>
      </c>
      <c r="N36" s="9">
        <v>6</v>
      </c>
      <c r="O36" s="9">
        <v>0</v>
      </c>
      <c r="P36" s="9">
        <v>1</v>
      </c>
      <c r="Q36" s="9">
        <v>0</v>
      </c>
      <c r="R36" s="14">
        <v>85.730274202574094</v>
      </c>
      <c r="S36" s="14">
        <f t="shared" si="3"/>
        <v>76.437732370372544</v>
      </c>
      <c r="T36" s="14">
        <f t="shared" si="4"/>
        <v>9.2925418322015503</v>
      </c>
      <c r="U36" s="14">
        <f t="shared" si="5"/>
        <v>86.351333703215744</v>
      </c>
    </row>
    <row r="37" spans="1:24" x14ac:dyDescent="0.35">
      <c r="A37" s="13">
        <v>7</v>
      </c>
      <c r="B37" s="9">
        <v>2019</v>
      </c>
      <c r="C37" s="9">
        <v>3</v>
      </c>
      <c r="D37" s="9" t="s">
        <v>14</v>
      </c>
      <c r="E37" s="9" t="s">
        <v>15</v>
      </c>
      <c r="F37" s="9" t="s">
        <v>14</v>
      </c>
      <c r="G37" s="9" t="s">
        <v>16</v>
      </c>
      <c r="H37" s="9" t="s">
        <v>17</v>
      </c>
      <c r="I37" s="9" t="s">
        <v>18</v>
      </c>
      <c r="J37" s="9">
        <v>1465</v>
      </c>
      <c r="K37" s="9">
        <v>1270</v>
      </c>
      <c r="L37" s="9">
        <v>15.923913043478199</v>
      </c>
      <c r="M37" s="9">
        <v>13.8043478260869</v>
      </c>
      <c r="N37" s="9">
        <v>7</v>
      </c>
      <c r="O37" s="9">
        <v>0</v>
      </c>
      <c r="P37" s="9">
        <v>0</v>
      </c>
      <c r="Q37" s="9">
        <v>1</v>
      </c>
      <c r="R37" s="14">
        <v>86.689419795221795</v>
      </c>
      <c r="S37" s="14">
        <f t="shared" si="3"/>
        <v>77.300970452688873</v>
      </c>
      <c r="T37" s="14">
        <f t="shared" si="4"/>
        <v>9.3884493425329225</v>
      </c>
      <c r="U37" s="14">
        <f t="shared" si="5"/>
        <v>88.142981057306869</v>
      </c>
    </row>
    <row r="38" spans="1:24" x14ac:dyDescent="0.35">
      <c r="A38" s="13">
        <v>8</v>
      </c>
      <c r="B38" s="9">
        <v>2019</v>
      </c>
      <c r="C38" s="9">
        <v>4</v>
      </c>
      <c r="D38" s="9" t="s">
        <v>14</v>
      </c>
      <c r="E38" s="9" t="s">
        <v>15</v>
      </c>
      <c r="F38" s="9" t="s">
        <v>14</v>
      </c>
      <c r="G38" s="9" t="s">
        <v>16</v>
      </c>
      <c r="H38" s="9" t="s">
        <v>17</v>
      </c>
      <c r="I38" s="9" t="s">
        <v>18</v>
      </c>
      <c r="J38" s="9">
        <v>1510</v>
      </c>
      <c r="K38" s="9">
        <v>1299</v>
      </c>
      <c r="L38" s="9">
        <v>16.4130434782608</v>
      </c>
      <c r="M38" s="9">
        <v>14.119565217391299</v>
      </c>
      <c r="N38" s="9">
        <v>8</v>
      </c>
      <c r="O38" s="9">
        <v>0</v>
      </c>
      <c r="P38" s="9">
        <v>0</v>
      </c>
      <c r="Q38" s="9">
        <v>0</v>
      </c>
      <c r="R38" s="14">
        <v>86.026490066225094</v>
      </c>
      <c r="S38" s="14">
        <f t="shared" si="3"/>
        <v>84.778054596314817</v>
      </c>
      <c r="T38" s="14">
        <f t="shared" si="4"/>
        <v>1.2484354699102767</v>
      </c>
      <c r="U38" s="14">
        <f t="shared" si="5"/>
        <v>1.5585911225300932</v>
      </c>
    </row>
    <row r="39" spans="1:24" x14ac:dyDescent="0.35">
      <c r="A39" s="13">
        <v>9</v>
      </c>
      <c r="B39" s="9">
        <v>2021</v>
      </c>
      <c r="C39" s="9">
        <v>1</v>
      </c>
      <c r="D39" s="9" t="s">
        <v>14</v>
      </c>
      <c r="E39" s="9" t="s">
        <v>15</v>
      </c>
      <c r="F39" s="9" t="s">
        <v>14</v>
      </c>
      <c r="G39" s="9" t="s">
        <v>16</v>
      </c>
      <c r="H39" s="9" t="s">
        <v>17</v>
      </c>
      <c r="I39" s="9" t="s">
        <v>18</v>
      </c>
      <c r="J39" s="9">
        <v>1791</v>
      </c>
      <c r="K39" s="9">
        <v>838</v>
      </c>
      <c r="L39" s="9">
        <v>19.899999999999999</v>
      </c>
      <c r="M39" s="9">
        <v>9.31111111111111</v>
      </c>
      <c r="N39" s="9">
        <v>9</v>
      </c>
      <c r="O39" s="9">
        <v>1</v>
      </c>
      <c r="P39" s="9">
        <v>0</v>
      </c>
      <c r="Q39" s="9">
        <v>0</v>
      </c>
      <c r="R39" s="14">
        <v>46.789503070910101</v>
      </c>
      <c r="S39" s="14">
        <f t="shared" si="3"/>
        <v>65.646402771388679</v>
      </c>
      <c r="T39" s="14">
        <f t="shared" si="4"/>
        <v>-18.856899700478579</v>
      </c>
      <c r="U39" s="14">
        <f t="shared" si="5"/>
        <v>355.5826663139091</v>
      </c>
    </row>
    <row r="40" spans="1:24" x14ac:dyDescent="0.35">
      <c r="A40" s="13">
        <v>10</v>
      </c>
      <c r="B40" s="9">
        <v>2021</v>
      </c>
      <c r="C40" s="9">
        <v>2</v>
      </c>
      <c r="D40" s="9" t="s">
        <v>14</v>
      </c>
      <c r="E40" s="9" t="s">
        <v>15</v>
      </c>
      <c r="F40" s="9" t="s">
        <v>14</v>
      </c>
      <c r="G40" s="9" t="s">
        <v>16</v>
      </c>
      <c r="H40" s="9" t="s">
        <v>17</v>
      </c>
      <c r="I40" s="9" t="s">
        <v>18</v>
      </c>
      <c r="J40" s="9">
        <v>1760</v>
      </c>
      <c r="K40" s="9">
        <v>1118</v>
      </c>
      <c r="L40" s="9">
        <v>19.3406593406593</v>
      </c>
      <c r="M40" s="9">
        <v>12.285714285714199</v>
      </c>
      <c r="N40" s="9">
        <v>10</v>
      </c>
      <c r="O40" s="9">
        <v>0</v>
      </c>
      <c r="P40" s="9">
        <v>1</v>
      </c>
      <c r="Q40" s="9">
        <v>0</v>
      </c>
      <c r="R40" s="14">
        <v>63.522727272727202</v>
      </c>
      <c r="S40" s="14">
        <f t="shared" si="3"/>
        <v>69.496985349294476</v>
      </c>
      <c r="T40" s="14">
        <f t="shared" si="4"/>
        <v>-5.9742580765672741</v>
      </c>
      <c r="U40" s="14">
        <f t="shared" si="5"/>
        <v>35.691759565429308</v>
      </c>
    </row>
    <row r="41" spans="1:24" x14ac:dyDescent="0.35">
      <c r="A41" s="13">
        <v>11</v>
      </c>
      <c r="B41" s="9">
        <v>2021</v>
      </c>
      <c r="C41" s="9">
        <v>3</v>
      </c>
      <c r="D41" s="9" t="s">
        <v>14</v>
      </c>
      <c r="E41" s="9" t="s">
        <v>15</v>
      </c>
      <c r="F41" s="9" t="s">
        <v>14</v>
      </c>
      <c r="G41" s="9" t="s">
        <v>16</v>
      </c>
      <c r="H41" s="9" t="s">
        <v>17</v>
      </c>
      <c r="I41" s="9" t="s">
        <v>18</v>
      </c>
      <c r="J41" s="9">
        <v>1360</v>
      </c>
      <c r="K41" s="9">
        <v>923</v>
      </c>
      <c r="L41" s="9">
        <v>14.782608695652099</v>
      </c>
      <c r="M41" s="9">
        <v>10.032608695652099</v>
      </c>
      <c r="N41" s="9">
        <v>11</v>
      </c>
      <c r="O41" s="9">
        <v>0</v>
      </c>
      <c r="P41" s="9">
        <v>0</v>
      </c>
      <c r="Q41" s="9">
        <v>1</v>
      </c>
      <c r="R41" s="14">
        <v>67.867647058823493</v>
      </c>
      <c r="S41" s="14">
        <f t="shared" si="3"/>
        <v>70.360223431610805</v>
      </c>
      <c r="T41" s="14">
        <f t="shared" si="4"/>
        <v>-2.4925763727873118</v>
      </c>
      <c r="U41" s="14">
        <f t="shared" si="5"/>
        <v>6.212936974177552</v>
      </c>
    </row>
    <row r="42" spans="1:24" x14ac:dyDescent="0.35">
      <c r="A42" s="13">
        <v>12</v>
      </c>
      <c r="B42" s="9">
        <v>2021</v>
      </c>
      <c r="C42" s="9">
        <v>4</v>
      </c>
      <c r="D42" s="9" t="s">
        <v>14</v>
      </c>
      <c r="E42" s="9" t="s">
        <v>15</v>
      </c>
      <c r="F42" s="9" t="s">
        <v>14</v>
      </c>
      <c r="G42" s="9" t="s">
        <v>16</v>
      </c>
      <c r="H42" s="9" t="s">
        <v>17</v>
      </c>
      <c r="I42" s="9" t="s">
        <v>18</v>
      </c>
      <c r="J42" s="9">
        <v>1191</v>
      </c>
      <c r="K42" s="9">
        <v>1059</v>
      </c>
      <c r="L42" s="9">
        <v>12.945652173913</v>
      </c>
      <c r="M42" s="9">
        <v>11.5108695652173</v>
      </c>
      <c r="N42" s="9">
        <v>12</v>
      </c>
      <c r="O42" s="9">
        <v>0</v>
      </c>
      <c r="P42" s="9">
        <v>0</v>
      </c>
      <c r="Q42" s="9">
        <v>0</v>
      </c>
      <c r="R42" s="14">
        <v>88.916876574307295</v>
      </c>
      <c r="S42" s="14">
        <f t="shared" si="3"/>
        <v>77.837307575236736</v>
      </c>
      <c r="T42" s="14">
        <f t="shared" si="4"/>
        <v>11.07956899907056</v>
      </c>
      <c r="U42" s="14">
        <f t="shared" si="5"/>
        <v>122.75684920516541</v>
      </c>
    </row>
    <row r="43" spans="1:24" x14ac:dyDescent="0.35">
      <c r="A43" s="13">
        <v>13</v>
      </c>
      <c r="B43" s="9">
        <v>2022</v>
      </c>
      <c r="C43" s="9">
        <v>1</v>
      </c>
      <c r="D43" s="9" t="s">
        <v>14</v>
      </c>
      <c r="E43" s="9" t="s">
        <v>15</v>
      </c>
      <c r="F43" s="9"/>
      <c r="G43" s="9"/>
      <c r="H43" s="9"/>
      <c r="I43" s="9"/>
      <c r="J43" s="9"/>
      <c r="K43" s="9"/>
      <c r="L43" s="9"/>
      <c r="M43" s="9"/>
      <c r="N43" s="9">
        <v>13</v>
      </c>
      <c r="O43" s="9">
        <v>1</v>
      </c>
      <c r="P43" s="9">
        <v>0</v>
      </c>
      <c r="Q43" s="9">
        <v>0</v>
      </c>
      <c r="R43" s="9"/>
      <c r="S43" s="14">
        <f t="shared" si="3"/>
        <v>58.705655750310612</v>
      </c>
      <c r="T43" s="9"/>
      <c r="U43" s="9"/>
    </row>
    <row r="44" spans="1:24" x14ac:dyDescent="0.35">
      <c r="A44" s="13">
        <v>14</v>
      </c>
      <c r="B44" s="9">
        <v>2022</v>
      </c>
      <c r="C44" s="9">
        <v>2</v>
      </c>
      <c r="D44" s="9" t="s">
        <v>14</v>
      </c>
      <c r="E44" s="9" t="s">
        <v>15</v>
      </c>
      <c r="F44" s="9"/>
      <c r="G44" s="9"/>
      <c r="H44" s="9"/>
      <c r="I44" s="9"/>
      <c r="J44" s="9"/>
      <c r="K44" s="9"/>
      <c r="L44" s="9"/>
      <c r="M44" s="9"/>
      <c r="N44" s="9">
        <v>14</v>
      </c>
      <c r="O44" s="9">
        <v>0</v>
      </c>
      <c r="P44" s="9">
        <v>1</v>
      </c>
      <c r="Q44" s="9">
        <v>0</v>
      </c>
      <c r="R44" s="9"/>
      <c r="S44" s="14">
        <f t="shared" si="3"/>
        <v>62.556238328216402</v>
      </c>
      <c r="T44" s="9"/>
      <c r="U44" s="9"/>
    </row>
    <row r="45" spans="1:24" x14ac:dyDescent="0.35">
      <c r="A45" s="13">
        <v>15</v>
      </c>
      <c r="B45" s="9">
        <v>2022</v>
      </c>
      <c r="C45" s="9">
        <v>3</v>
      </c>
      <c r="D45" s="9" t="s">
        <v>14</v>
      </c>
      <c r="E45" s="9" t="s">
        <v>15</v>
      </c>
      <c r="F45" s="9"/>
      <c r="G45" s="9"/>
      <c r="H45" s="9"/>
      <c r="I45" s="9"/>
      <c r="J45" s="9"/>
      <c r="K45" s="9"/>
      <c r="L45" s="9"/>
      <c r="M45" s="9"/>
      <c r="N45" s="9">
        <v>15</v>
      </c>
      <c r="O45" s="9">
        <v>0</v>
      </c>
      <c r="P45" s="9">
        <v>0</v>
      </c>
      <c r="Q45" s="9">
        <v>1</v>
      </c>
      <c r="R45" s="9"/>
      <c r="S45" s="14">
        <f t="shared" si="3"/>
        <v>63.419476410532738</v>
      </c>
      <c r="T45" s="9"/>
      <c r="U45" s="9"/>
    </row>
    <row r="46" spans="1:24" x14ac:dyDescent="0.35">
      <c r="A46" s="13">
        <v>16</v>
      </c>
      <c r="B46" s="9">
        <v>2022</v>
      </c>
      <c r="C46" s="9">
        <v>4</v>
      </c>
      <c r="D46" s="9" t="s">
        <v>14</v>
      </c>
      <c r="E46" s="9" t="s">
        <v>15</v>
      </c>
      <c r="F46" s="9"/>
      <c r="G46" s="9"/>
      <c r="H46" s="9"/>
      <c r="I46" s="9"/>
      <c r="J46" s="9"/>
      <c r="K46" s="9"/>
      <c r="L46" s="9"/>
      <c r="M46" s="9"/>
      <c r="N46" s="9">
        <v>16</v>
      </c>
      <c r="O46" s="9">
        <v>0</v>
      </c>
      <c r="P46" s="9">
        <v>0</v>
      </c>
      <c r="Q46" s="9">
        <v>0</v>
      </c>
      <c r="R46" s="9"/>
      <c r="S46" s="14">
        <f t="shared" si="3"/>
        <v>70.896560554158668</v>
      </c>
      <c r="T46" s="9"/>
      <c r="U46" s="9"/>
    </row>
    <row r="48" spans="1:24" ht="15" thickBot="1" x14ac:dyDescent="0.4"/>
    <row r="49" spans="1:19" x14ac:dyDescent="0.35">
      <c r="R49" s="10"/>
      <c r="S49" s="10" t="s">
        <v>45</v>
      </c>
    </row>
    <row r="50" spans="1:19" x14ac:dyDescent="0.35">
      <c r="R50" s="11" t="s">
        <v>39</v>
      </c>
      <c r="S50" s="11">
        <v>98.659548638470966</v>
      </c>
    </row>
    <row r="51" spans="1:19" x14ac:dyDescent="0.35">
      <c r="R51" s="11" t="s">
        <v>52</v>
      </c>
      <c r="S51" s="11">
        <v>-1.7351867552695188</v>
      </c>
    </row>
    <row r="52" spans="1:19" x14ac:dyDescent="0.35">
      <c r="R52" s="11" t="s">
        <v>60</v>
      </c>
      <c r="S52" s="11">
        <v>-17.396465069656614</v>
      </c>
    </row>
    <row r="53" spans="1:19" x14ac:dyDescent="0.35">
      <c r="R53" s="11" t="s">
        <v>61</v>
      </c>
      <c r="S53" s="11">
        <v>-11.810695736481302</v>
      </c>
    </row>
    <row r="54" spans="1:19" ht="15" thickBot="1" x14ac:dyDescent="0.4">
      <c r="R54" s="12" t="s">
        <v>62</v>
      </c>
      <c r="S54" s="12">
        <v>-9.212270898895456</v>
      </c>
    </row>
    <row r="58" spans="1:19" ht="18.5" x14ac:dyDescent="0.45">
      <c r="A58" s="2" t="s">
        <v>69</v>
      </c>
      <c r="N58" t="s">
        <v>63</v>
      </c>
      <c r="O58">
        <v>0.2</v>
      </c>
    </row>
    <row r="61" spans="1:19" x14ac:dyDescent="0.35">
      <c r="A61" s="13" t="s">
        <v>0</v>
      </c>
      <c r="B61" s="8" t="s">
        <v>1</v>
      </c>
      <c r="C61" s="8" t="s">
        <v>2</v>
      </c>
      <c r="D61" s="8" t="s">
        <v>3</v>
      </c>
      <c r="E61" s="8" t="s">
        <v>4</v>
      </c>
      <c r="F61" s="8" t="s">
        <v>5</v>
      </c>
      <c r="G61" s="8" t="s">
        <v>6</v>
      </c>
      <c r="H61" s="8" t="s">
        <v>7</v>
      </c>
      <c r="I61" s="8" t="s">
        <v>8</v>
      </c>
      <c r="J61" s="8" t="s">
        <v>9</v>
      </c>
      <c r="K61" s="8" t="s">
        <v>10</v>
      </c>
      <c r="L61" s="8" t="s">
        <v>11</v>
      </c>
      <c r="M61" s="8" t="s">
        <v>12</v>
      </c>
      <c r="N61" s="8" t="s">
        <v>13</v>
      </c>
      <c r="O61" s="8" t="s">
        <v>53</v>
      </c>
      <c r="P61" s="8" t="s">
        <v>54</v>
      </c>
      <c r="Q61" s="8" t="s">
        <v>55</v>
      </c>
    </row>
    <row r="62" spans="1:19" x14ac:dyDescent="0.35">
      <c r="A62" s="13">
        <v>1</v>
      </c>
      <c r="B62" s="9">
        <v>2018</v>
      </c>
      <c r="C62" s="9">
        <v>1</v>
      </c>
      <c r="D62" s="9" t="s">
        <v>14</v>
      </c>
      <c r="E62" s="9" t="s">
        <v>15</v>
      </c>
      <c r="F62" s="9" t="s">
        <v>14</v>
      </c>
      <c r="G62" s="9" t="s">
        <v>16</v>
      </c>
      <c r="H62" s="9" t="s">
        <v>17</v>
      </c>
      <c r="I62" s="9" t="s">
        <v>18</v>
      </c>
      <c r="J62" s="9">
        <v>1792</v>
      </c>
      <c r="K62" s="9">
        <v>1538</v>
      </c>
      <c r="L62" s="9">
        <v>19.911111111111101</v>
      </c>
      <c r="M62" s="9">
        <v>17.0888888888888</v>
      </c>
      <c r="N62" s="14">
        <v>85.825892857142804</v>
      </c>
      <c r="O62" s="14"/>
      <c r="P62" s="14"/>
      <c r="Q62" s="14"/>
    </row>
    <row r="63" spans="1:19" x14ac:dyDescent="0.35">
      <c r="A63" s="13">
        <v>2</v>
      </c>
      <c r="B63" s="9">
        <v>2018</v>
      </c>
      <c r="C63" s="9">
        <v>2</v>
      </c>
      <c r="D63" s="9" t="s">
        <v>14</v>
      </c>
      <c r="E63" s="9" t="s">
        <v>15</v>
      </c>
      <c r="F63" s="9" t="s">
        <v>14</v>
      </c>
      <c r="G63" s="9" t="s">
        <v>16</v>
      </c>
      <c r="H63" s="9" t="s">
        <v>17</v>
      </c>
      <c r="I63" s="9" t="s">
        <v>18</v>
      </c>
      <c r="J63" s="9">
        <v>1329</v>
      </c>
      <c r="K63" s="9">
        <v>1064</v>
      </c>
      <c r="L63" s="9">
        <v>14.6043956043956</v>
      </c>
      <c r="M63" s="9">
        <v>11.692307692307599</v>
      </c>
      <c r="N63" s="14">
        <v>80.060195635816399</v>
      </c>
      <c r="O63" s="14">
        <f>N62</f>
        <v>85.825892857142804</v>
      </c>
      <c r="P63" s="14">
        <f t="shared" ref="P63:P73" si="6">N63-O63</f>
        <v>-5.7656972213264055</v>
      </c>
      <c r="Q63" s="14">
        <f t="shared" ref="Q63:Q73" si="7">P63*P63</f>
        <v>33.243264448011033</v>
      </c>
    </row>
    <row r="64" spans="1:19" x14ac:dyDescent="0.35">
      <c r="A64" s="13">
        <v>3</v>
      </c>
      <c r="B64" s="9">
        <v>2018</v>
      </c>
      <c r="C64" s="9">
        <v>3</v>
      </c>
      <c r="D64" s="9" t="s">
        <v>14</v>
      </c>
      <c r="E64" s="9" t="s">
        <v>15</v>
      </c>
      <c r="F64" s="9" t="s">
        <v>14</v>
      </c>
      <c r="G64" s="9" t="s">
        <v>16</v>
      </c>
      <c r="H64" s="9" t="s">
        <v>17</v>
      </c>
      <c r="I64" s="9" t="s">
        <v>18</v>
      </c>
      <c r="J64" s="9">
        <v>1492</v>
      </c>
      <c r="K64" s="9">
        <v>1154</v>
      </c>
      <c r="L64" s="9">
        <v>16.2173913043478</v>
      </c>
      <c r="M64" s="9">
        <v>12.543478260869501</v>
      </c>
      <c r="N64" s="14">
        <v>77.3458445040214</v>
      </c>
      <c r="O64" s="14">
        <f>$O$58*N63+(1-$O$58)*O63</f>
        <v>84.672753412877526</v>
      </c>
      <c r="P64" s="14">
        <f t="shared" si="6"/>
        <v>-7.3269089088561259</v>
      </c>
      <c r="Q64" s="14">
        <f t="shared" si="7"/>
        <v>53.683594158675263</v>
      </c>
    </row>
    <row r="65" spans="1:21" x14ac:dyDescent="0.35">
      <c r="A65" s="13">
        <v>4</v>
      </c>
      <c r="B65" s="9">
        <v>2018</v>
      </c>
      <c r="C65" s="9">
        <v>4</v>
      </c>
      <c r="D65" s="9" t="s">
        <v>14</v>
      </c>
      <c r="E65" s="9" t="s">
        <v>15</v>
      </c>
      <c r="F65" s="9" t="s">
        <v>14</v>
      </c>
      <c r="G65" s="9" t="s">
        <v>16</v>
      </c>
      <c r="H65" s="9" t="s">
        <v>17</v>
      </c>
      <c r="I65" s="9" t="s">
        <v>18</v>
      </c>
      <c r="J65" s="9">
        <v>1543</v>
      </c>
      <c r="K65" s="9">
        <v>1225</v>
      </c>
      <c r="L65" s="9">
        <v>16.7717391304347</v>
      </c>
      <c r="M65" s="9">
        <v>13.3152173913043</v>
      </c>
      <c r="N65" s="14">
        <v>79.390797148412105</v>
      </c>
      <c r="O65" s="14">
        <f t="shared" ref="O65:O74" si="8">$O$58*N64+(1-$O$58)*O64</f>
        <v>83.207371631106298</v>
      </c>
      <c r="P65" s="14">
        <f t="shared" si="6"/>
        <v>-3.8165744826941932</v>
      </c>
      <c r="Q65" s="14">
        <f t="shared" si="7"/>
        <v>14.566240781952448</v>
      </c>
      <c r="T65" s="11"/>
      <c r="U65" s="11" t="s">
        <v>68</v>
      </c>
    </row>
    <row r="66" spans="1:21" x14ac:dyDescent="0.35">
      <c r="A66" s="13">
        <v>5</v>
      </c>
      <c r="B66" s="9">
        <v>2019</v>
      </c>
      <c r="C66" s="9">
        <v>1</v>
      </c>
      <c r="D66" s="9" t="s">
        <v>14</v>
      </c>
      <c r="E66" s="9" t="s">
        <v>15</v>
      </c>
      <c r="F66" s="9" t="s">
        <v>14</v>
      </c>
      <c r="G66" s="9" t="s">
        <v>16</v>
      </c>
      <c r="H66" s="9" t="s">
        <v>17</v>
      </c>
      <c r="I66" s="9" t="s">
        <v>18</v>
      </c>
      <c r="J66" s="9">
        <v>1609</v>
      </c>
      <c r="K66" s="9">
        <v>1370</v>
      </c>
      <c r="L66" s="9">
        <v>17.877777777777698</v>
      </c>
      <c r="M66" s="9">
        <v>15.2222222222222</v>
      </c>
      <c r="N66" s="14">
        <v>85.146053449347406</v>
      </c>
      <c r="O66" s="14">
        <f t="shared" si="8"/>
        <v>82.444056734567468</v>
      </c>
      <c r="P66" s="14">
        <f t="shared" si="6"/>
        <v>2.7019967147799377</v>
      </c>
      <c r="Q66" s="14">
        <f t="shared" si="7"/>
        <v>7.3007862466815761</v>
      </c>
      <c r="T66" s="11" t="s">
        <v>56</v>
      </c>
      <c r="U66" s="15">
        <f>AVERAGE(Q63:Q73)</f>
        <v>184.57301854834256</v>
      </c>
    </row>
    <row r="67" spans="1:21" x14ac:dyDescent="0.35">
      <c r="A67" s="13">
        <v>6</v>
      </c>
      <c r="B67" s="9">
        <v>2019</v>
      </c>
      <c r="C67" s="9">
        <v>2</v>
      </c>
      <c r="D67" s="9" t="s">
        <v>14</v>
      </c>
      <c r="E67" s="9" t="s">
        <v>15</v>
      </c>
      <c r="F67" s="9" t="s">
        <v>14</v>
      </c>
      <c r="G67" s="9" t="s">
        <v>16</v>
      </c>
      <c r="H67" s="9" t="s">
        <v>17</v>
      </c>
      <c r="I67" s="9" t="s">
        <v>18</v>
      </c>
      <c r="J67" s="9">
        <v>1787</v>
      </c>
      <c r="K67" s="9">
        <v>1532</v>
      </c>
      <c r="L67" s="9">
        <v>19.6373626373626</v>
      </c>
      <c r="M67" s="9">
        <v>16.8351648351648</v>
      </c>
      <c r="N67" s="14">
        <v>85.730274202574094</v>
      </c>
      <c r="O67" s="14">
        <f t="shared" si="8"/>
        <v>82.984456077523461</v>
      </c>
      <c r="P67" s="14">
        <f t="shared" si="6"/>
        <v>2.7458181250506328</v>
      </c>
      <c r="Q67" s="14">
        <f t="shared" si="7"/>
        <v>7.5395171758565729</v>
      </c>
    </row>
    <row r="68" spans="1:21" x14ac:dyDescent="0.35">
      <c r="A68" s="13">
        <v>7</v>
      </c>
      <c r="B68" s="9">
        <v>2019</v>
      </c>
      <c r="C68" s="9">
        <v>3</v>
      </c>
      <c r="D68" s="9" t="s">
        <v>14</v>
      </c>
      <c r="E68" s="9" t="s">
        <v>15</v>
      </c>
      <c r="F68" s="9" t="s">
        <v>14</v>
      </c>
      <c r="G68" s="9" t="s">
        <v>16</v>
      </c>
      <c r="H68" s="9" t="s">
        <v>17</v>
      </c>
      <c r="I68" s="9" t="s">
        <v>18</v>
      </c>
      <c r="J68" s="9">
        <v>1465</v>
      </c>
      <c r="K68" s="9">
        <v>1270</v>
      </c>
      <c r="L68" s="9">
        <v>15.923913043478199</v>
      </c>
      <c r="M68" s="9">
        <v>13.8043478260869</v>
      </c>
      <c r="N68" s="14">
        <v>86.689419795221795</v>
      </c>
      <c r="O68" s="14">
        <f t="shared" si="8"/>
        <v>83.533619702533599</v>
      </c>
      <c r="P68" s="14">
        <f t="shared" si="6"/>
        <v>3.1558000926881959</v>
      </c>
      <c r="Q68" s="14">
        <f t="shared" si="7"/>
        <v>9.9590742250108253</v>
      </c>
      <c r="T68" s="11" t="s">
        <v>64</v>
      </c>
      <c r="U68" s="11" t="s">
        <v>56</v>
      </c>
    </row>
    <row r="69" spans="1:21" x14ac:dyDescent="0.35">
      <c r="A69" s="13">
        <v>8</v>
      </c>
      <c r="B69" s="9">
        <v>2019</v>
      </c>
      <c r="C69" s="9">
        <v>4</v>
      </c>
      <c r="D69" s="9" t="s">
        <v>14</v>
      </c>
      <c r="E69" s="9" t="s">
        <v>15</v>
      </c>
      <c r="F69" s="9" t="s">
        <v>14</v>
      </c>
      <c r="G69" s="9" t="s">
        <v>16</v>
      </c>
      <c r="H69" s="9" t="s">
        <v>17</v>
      </c>
      <c r="I69" s="9" t="s">
        <v>18</v>
      </c>
      <c r="J69" s="9">
        <v>1510</v>
      </c>
      <c r="K69" s="9">
        <v>1299</v>
      </c>
      <c r="L69" s="9">
        <v>16.4130434782608</v>
      </c>
      <c r="M69" s="9">
        <v>14.119565217391299</v>
      </c>
      <c r="N69" s="14">
        <v>86.026490066225094</v>
      </c>
      <c r="O69" s="14">
        <f t="shared" si="8"/>
        <v>84.164779721071241</v>
      </c>
      <c r="P69" s="14">
        <f t="shared" si="6"/>
        <v>1.8617103451538526</v>
      </c>
      <c r="Q69" s="14">
        <f t="shared" si="7"/>
        <v>3.4659654092528771</v>
      </c>
      <c r="T69" s="11">
        <v>0.2</v>
      </c>
      <c r="U69" s="11">
        <v>184.57</v>
      </c>
    </row>
    <row r="70" spans="1:21" x14ac:dyDescent="0.35">
      <c r="A70" s="13">
        <v>9</v>
      </c>
      <c r="B70" s="9">
        <v>2021</v>
      </c>
      <c r="C70" s="9">
        <v>1</v>
      </c>
      <c r="D70" s="9" t="s">
        <v>14</v>
      </c>
      <c r="E70" s="9" t="s">
        <v>15</v>
      </c>
      <c r="F70" s="9" t="s">
        <v>14</v>
      </c>
      <c r="G70" s="9" t="s">
        <v>16</v>
      </c>
      <c r="H70" s="9" t="s">
        <v>17</v>
      </c>
      <c r="I70" s="9" t="s">
        <v>18</v>
      </c>
      <c r="J70" s="9">
        <v>1791</v>
      </c>
      <c r="K70" s="9">
        <v>838</v>
      </c>
      <c r="L70" s="9">
        <v>19.899999999999999</v>
      </c>
      <c r="M70" s="9">
        <v>9.31111111111111</v>
      </c>
      <c r="N70" s="14">
        <v>46.789503070910101</v>
      </c>
      <c r="O70" s="14">
        <f t="shared" si="8"/>
        <v>84.53712179010202</v>
      </c>
      <c r="P70" s="14">
        <f t="shared" si="6"/>
        <v>-37.747618719191919</v>
      </c>
      <c r="Q70" s="14">
        <f t="shared" si="7"/>
        <v>1424.8827189694882</v>
      </c>
      <c r="T70" s="11">
        <v>0.4</v>
      </c>
      <c r="U70" s="11">
        <v>191.09</v>
      </c>
    </row>
    <row r="71" spans="1:21" x14ac:dyDescent="0.35">
      <c r="A71" s="13">
        <v>10</v>
      </c>
      <c r="B71" s="9">
        <v>2021</v>
      </c>
      <c r="C71" s="9">
        <v>2</v>
      </c>
      <c r="D71" s="9" t="s">
        <v>14</v>
      </c>
      <c r="E71" s="9" t="s">
        <v>15</v>
      </c>
      <c r="F71" s="9" t="s">
        <v>14</v>
      </c>
      <c r="G71" s="9" t="s">
        <v>16</v>
      </c>
      <c r="H71" s="9" t="s">
        <v>17</v>
      </c>
      <c r="I71" s="9" t="s">
        <v>18</v>
      </c>
      <c r="J71" s="9">
        <v>1760</v>
      </c>
      <c r="K71" s="9">
        <v>1118</v>
      </c>
      <c r="L71" s="9">
        <v>19.3406593406593</v>
      </c>
      <c r="M71" s="9">
        <v>12.285714285714199</v>
      </c>
      <c r="N71" s="14">
        <v>63.522727272727202</v>
      </c>
      <c r="O71" s="14">
        <f t="shared" si="8"/>
        <v>76.987598046263628</v>
      </c>
      <c r="P71" s="14">
        <f t="shared" si="6"/>
        <v>-13.464870773536425</v>
      </c>
      <c r="Q71" s="14">
        <f t="shared" si="7"/>
        <v>181.30274494803541</v>
      </c>
      <c r="T71" s="11">
        <v>0.6</v>
      </c>
      <c r="U71" s="11">
        <v>199.04</v>
      </c>
    </row>
    <row r="72" spans="1:21" x14ac:dyDescent="0.35">
      <c r="A72" s="13">
        <v>11</v>
      </c>
      <c r="B72" s="9">
        <v>2021</v>
      </c>
      <c r="C72" s="9">
        <v>3</v>
      </c>
      <c r="D72" s="9" t="s">
        <v>14</v>
      </c>
      <c r="E72" s="9" t="s">
        <v>15</v>
      </c>
      <c r="F72" s="9" t="s">
        <v>14</v>
      </c>
      <c r="G72" s="9" t="s">
        <v>16</v>
      </c>
      <c r="H72" s="9" t="s">
        <v>17</v>
      </c>
      <c r="I72" s="9" t="s">
        <v>18</v>
      </c>
      <c r="J72" s="9">
        <v>1360</v>
      </c>
      <c r="K72" s="9">
        <v>923</v>
      </c>
      <c r="L72" s="9">
        <v>14.782608695652099</v>
      </c>
      <c r="M72" s="9">
        <v>10.032608695652099</v>
      </c>
      <c r="N72" s="14">
        <v>67.867647058823493</v>
      </c>
      <c r="O72" s="14">
        <f t="shared" si="8"/>
        <v>74.294623891556341</v>
      </c>
      <c r="P72" s="14">
        <f t="shared" si="6"/>
        <v>-6.4269768327328478</v>
      </c>
      <c r="Q72" s="14">
        <f t="shared" si="7"/>
        <v>41.306031208484747</v>
      </c>
      <c r="T72" s="11">
        <v>0.8</v>
      </c>
      <c r="U72" s="11">
        <v>204.46</v>
      </c>
    </row>
    <row r="73" spans="1:21" x14ac:dyDescent="0.35">
      <c r="A73" s="13">
        <v>12</v>
      </c>
      <c r="B73" s="9">
        <v>2021</v>
      </c>
      <c r="C73" s="9">
        <v>4</v>
      </c>
      <c r="D73" s="9" t="s">
        <v>14</v>
      </c>
      <c r="E73" s="9" t="s">
        <v>15</v>
      </c>
      <c r="F73" s="9" t="s">
        <v>14</v>
      </c>
      <c r="G73" s="9" t="s">
        <v>16</v>
      </c>
      <c r="H73" s="9" t="s">
        <v>17</v>
      </c>
      <c r="I73" s="9" t="s">
        <v>18</v>
      </c>
      <c r="J73" s="9">
        <v>1191</v>
      </c>
      <c r="K73" s="9">
        <v>1059</v>
      </c>
      <c r="L73" s="9">
        <v>12.945652173913</v>
      </c>
      <c r="M73" s="9">
        <v>11.5108695652173</v>
      </c>
      <c r="N73" s="14">
        <v>88.916876574307295</v>
      </c>
      <c r="O73" s="14">
        <f t="shared" si="8"/>
        <v>73.009228525009775</v>
      </c>
      <c r="P73" s="14">
        <f t="shared" si="6"/>
        <v>15.907648049297521</v>
      </c>
      <c r="Q73" s="14">
        <f t="shared" si="7"/>
        <v>253.05326646031921</v>
      </c>
      <c r="T73" s="11">
        <v>0.8</v>
      </c>
      <c r="U73" s="11">
        <v>208.32</v>
      </c>
    </row>
    <row r="74" spans="1:21" x14ac:dyDescent="0.35">
      <c r="A74" s="13">
        <v>13</v>
      </c>
      <c r="B74" s="9">
        <v>2022</v>
      </c>
      <c r="C74" s="9">
        <v>1</v>
      </c>
      <c r="D74" s="9" t="s">
        <v>14</v>
      </c>
      <c r="E74" s="9" t="s">
        <v>15</v>
      </c>
      <c r="F74" s="9"/>
      <c r="G74" s="9"/>
      <c r="H74" s="9"/>
      <c r="I74" s="9"/>
      <c r="J74" s="9"/>
      <c r="K74" s="9"/>
      <c r="L74" s="9"/>
      <c r="M74" s="9"/>
      <c r="N74" s="9"/>
      <c r="O74" s="14">
        <f t="shared" si="8"/>
        <v>76.190758134869284</v>
      </c>
      <c r="P74" s="9"/>
      <c r="Q74" s="9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0270-EFEE-45BF-BE05-D981554BD806}">
  <dimension ref="A1:I18"/>
  <sheetViews>
    <sheetView workbookViewId="0">
      <selection activeCell="B21" sqref="B21"/>
    </sheetView>
  </sheetViews>
  <sheetFormatPr defaultRowHeight="14.5" x14ac:dyDescent="0.35"/>
  <sheetData>
    <row r="1" spans="1:9" x14ac:dyDescent="0.35">
      <c r="A1" t="s">
        <v>28</v>
      </c>
    </row>
    <row r="2" spans="1:9" ht="15" thickBot="1" x14ac:dyDescent="0.4"/>
    <row r="3" spans="1:9" x14ac:dyDescent="0.35">
      <c r="A3" s="5" t="s">
        <v>29</v>
      </c>
      <c r="B3" s="5"/>
    </row>
    <row r="4" spans="1:9" x14ac:dyDescent="0.35">
      <c r="A4" t="s">
        <v>30</v>
      </c>
      <c r="B4">
        <v>0.33427160544210927</v>
      </c>
    </row>
    <row r="5" spans="1:9" x14ac:dyDescent="0.35">
      <c r="A5" t="s">
        <v>31</v>
      </c>
      <c r="B5">
        <v>0.11173750620484516</v>
      </c>
    </row>
    <row r="6" spans="1:9" x14ac:dyDescent="0.35">
      <c r="A6" t="s">
        <v>32</v>
      </c>
      <c r="B6">
        <v>2.2911256825329664E-2</v>
      </c>
    </row>
    <row r="7" spans="1:9" x14ac:dyDescent="0.35">
      <c r="A7" t="s">
        <v>33</v>
      </c>
      <c r="B7">
        <v>12.373152059280029</v>
      </c>
    </row>
    <row r="8" spans="1:9" ht="15" thickBot="1" x14ac:dyDescent="0.4">
      <c r="A8" s="3" t="s">
        <v>34</v>
      </c>
      <c r="B8" s="3">
        <v>12</v>
      </c>
    </row>
    <row r="10" spans="1:9" ht="15" thickBot="1" x14ac:dyDescent="0.4">
      <c r="A10" t="s">
        <v>35</v>
      </c>
    </row>
    <row r="11" spans="1:9" x14ac:dyDescent="0.35">
      <c r="A11" s="4"/>
      <c r="B11" s="4" t="s">
        <v>40</v>
      </c>
      <c r="C11" s="4" t="s">
        <v>41</v>
      </c>
      <c r="D11" s="4" t="s">
        <v>42</v>
      </c>
      <c r="E11" s="4" t="s">
        <v>43</v>
      </c>
      <c r="F11" s="4" t="s">
        <v>44</v>
      </c>
    </row>
    <row r="12" spans="1:9" x14ac:dyDescent="0.35">
      <c r="A12" t="s">
        <v>36</v>
      </c>
      <c r="B12">
        <v>1</v>
      </c>
      <c r="C12">
        <v>192.58317840837913</v>
      </c>
      <c r="D12">
        <v>192.58317840837913</v>
      </c>
      <c r="E12">
        <v>1.257933403530751</v>
      </c>
      <c r="F12">
        <v>0.28825212587667298</v>
      </c>
    </row>
    <row r="13" spans="1:9" x14ac:dyDescent="0.35">
      <c r="A13" t="s">
        <v>37</v>
      </c>
      <c r="B13">
        <v>10</v>
      </c>
      <c r="C13">
        <v>1530.9489188206562</v>
      </c>
      <c r="D13">
        <v>153.09489188206561</v>
      </c>
    </row>
    <row r="14" spans="1:9" ht="15" thickBot="1" x14ac:dyDescent="0.4">
      <c r="A14" s="3" t="s">
        <v>38</v>
      </c>
      <c r="B14" s="3">
        <v>11</v>
      </c>
      <c r="C14" s="3">
        <v>1723.5320972290353</v>
      </c>
      <c r="D14" s="3"/>
      <c r="E14" s="3"/>
      <c r="F14" s="3"/>
    </row>
    <row r="15" spans="1:9" ht="15" thickBot="1" x14ac:dyDescent="0.4"/>
    <row r="16" spans="1:9" x14ac:dyDescent="0.35">
      <c r="A16" s="4"/>
      <c r="B16" s="4" t="s">
        <v>45</v>
      </c>
      <c r="C16" s="4" t="s">
        <v>33</v>
      </c>
      <c r="D16" s="4" t="s">
        <v>46</v>
      </c>
      <c r="E16" s="4" t="s">
        <v>47</v>
      </c>
      <c r="F16" s="4" t="s">
        <v>48</v>
      </c>
      <c r="G16" s="4" t="s">
        <v>49</v>
      </c>
      <c r="H16" s="4" t="s">
        <v>50</v>
      </c>
      <c r="I16" s="4" t="s">
        <v>51</v>
      </c>
    </row>
    <row r="17" spans="1:9" x14ac:dyDescent="0.35">
      <c r="A17" t="s">
        <v>39</v>
      </c>
      <c r="B17">
        <v>85.319157527220199</v>
      </c>
      <c r="C17">
        <v>7.6151486754539004</v>
      </c>
      <c r="D17">
        <v>11.203872854410784</v>
      </c>
      <c r="E17">
        <v>5.5561651898774483E-7</v>
      </c>
      <c r="F17">
        <v>68.351548899789549</v>
      </c>
      <c r="G17">
        <v>102.28676615465085</v>
      </c>
      <c r="H17">
        <v>68.351548899789549</v>
      </c>
      <c r="I17">
        <v>102.28676615465085</v>
      </c>
    </row>
    <row r="18" spans="1:9" ht="15" thickBot="1" x14ac:dyDescent="0.4">
      <c r="A18" s="3" t="s">
        <v>52</v>
      </c>
      <c r="B18" s="3">
        <v>-1.1604893421937599</v>
      </c>
      <c r="C18" s="3">
        <v>1.0346949548175706</v>
      </c>
      <c r="D18" s="3">
        <v>-1.1215763030354859</v>
      </c>
      <c r="E18" s="3">
        <v>0.28825212587667337</v>
      </c>
      <c r="F18" s="3">
        <v>-3.4659333709769715</v>
      </c>
      <c r="G18" s="3">
        <v>1.144954686589452</v>
      </c>
      <c r="H18" s="3">
        <v>-3.4659333709769715</v>
      </c>
      <c r="I18" s="3">
        <v>1.144954686589452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4A47B-2F00-480B-9D98-116BCB3EEE91}">
  <dimension ref="A1:I21"/>
  <sheetViews>
    <sheetView topLeftCell="A7" workbookViewId="0">
      <selection activeCell="A16" sqref="A16:B21"/>
    </sheetView>
  </sheetViews>
  <sheetFormatPr defaultRowHeight="14.5" x14ac:dyDescent="0.35"/>
  <sheetData>
    <row r="1" spans="1:9" x14ac:dyDescent="0.35">
      <c r="A1" t="s">
        <v>28</v>
      </c>
    </row>
    <row r="2" spans="1:9" ht="15" thickBot="1" x14ac:dyDescent="0.4"/>
    <row r="3" spans="1:9" x14ac:dyDescent="0.35">
      <c r="A3" s="5" t="s">
        <v>29</v>
      </c>
      <c r="B3" s="5"/>
    </row>
    <row r="4" spans="1:9" x14ac:dyDescent="0.35">
      <c r="A4" t="s">
        <v>30</v>
      </c>
      <c r="B4">
        <v>0.59943347472361996</v>
      </c>
    </row>
    <row r="5" spans="1:9" x14ac:dyDescent="0.35">
      <c r="A5" t="s">
        <v>31</v>
      </c>
      <c r="B5">
        <v>0.35932049061923271</v>
      </c>
    </row>
    <row r="6" spans="1:9" x14ac:dyDescent="0.35">
      <c r="A6" t="s">
        <v>32</v>
      </c>
      <c r="B6">
        <v>-6.7820861697771894E-3</v>
      </c>
    </row>
    <row r="7" spans="1:9" x14ac:dyDescent="0.35">
      <c r="A7" t="s">
        <v>33</v>
      </c>
      <c r="B7">
        <v>12.559752604789994</v>
      </c>
    </row>
    <row r="8" spans="1:9" ht="15" thickBot="1" x14ac:dyDescent="0.4">
      <c r="A8" s="3" t="s">
        <v>34</v>
      </c>
      <c r="B8" s="3">
        <v>12</v>
      </c>
    </row>
    <row r="10" spans="1:9" ht="15" thickBot="1" x14ac:dyDescent="0.4">
      <c r="A10" t="s">
        <v>35</v>
      </c>
    </row>
    <row r="11" spans="1:9" x14ac:dyDescent="0.35">
      <c r="A11" s="4"/>
      <c r="B11" s="4" t="s">
        <v>40</v>
      </c>
      <c r="C11" s="4" t="s">
        <v>41</v>
      </c>
      <c r="D11" s="4" t="s">
        <v>42</v>
      </c>
      <c r="E11" s="4" t="s">
        <v>43</v>
      </c>
      <c r="F11" s="4" t="s">
        <v>44</v>
      </c>
    </row>
    <row r="12" spans="1:9" x14ac:dyDescent="0.35">
      <c r="A12" t="s">
        <v>36</v>
      </c>
      <c r="B12">
        <v>4</v>
      </c>
      <c r="C12">
        <v>619.30039877433205</v>
      </c>
      <c r="D12">
        <v>154.82509969358301</v>
      </c>
      <c r="E12">
        <v>0.98147490184510289</v>
      </c>
      <c r="F12">
        <v>0.47521932628802488</v>
      </c>
    </row>
    <row r="13" spans="1:9" x14ac:dyDescent="0.35">
      <c r="A13" t="s">
        <v>37</v>
      </c>
      <c r="B13">
        <v>7</v>
      </c>
      <c r="C13">
        <v>1104.2316984547033</v>
      </c>
      <c r="D13">
        <v>157.74738549352904</v>
      </c>
    </row>
    <row r="14" spans="1:9" ht="15" thickBot="1" x14ac:dyDescent="0.4">
      <c r="A14" s="3" t="s">
        <v>38</v>
      </c>
      <c r="B14" s="3">
        <v>11</v>
      </c>
      <c r="C14" s="3">
        <v>1723.5320972290353</v>
      </c>
      <c r="D14" s="3"/>
      <c r="E14" s="3"/>
      <c r="F14" s="3"/>
    </row>
    <row r="15" spans="1:9" ht="15" thickBot="1" x14ac:dyDescent="0.4"/>
    <row r="16" spans="1:9" x14ac:dyDescent="0.35">
      <c r="A16" s="4"/>
      <c r="B16" s="4" t="s">
        <v>45</v>
      </c>
      <c r="C16" s="4" t="s">
        <v>33</v>
      </c>
      <c r="D16" s="4" t="s">
        <v>46</v>
      </c>
      <c r="E16" s="4" t="s">
        <v>47</v>
      </c>
      <c r="F16" s="4" t="s">
        <v>48</v>
      </c>
      <c r="G16" s="4" t="s">
        <v>49</v>
      </c>
      <c r="H16" s="4" t="s">
        <v>50</v>
      </c>
      <c r="I16" s="4" t="s">
        <v>51</v>
      </c>
    </row>
    <row r="17" spans="1:9" x14ac:dyDescent="0.35">
      <c r="A17" t="s">
        <v>39</v>
      </c>
      <c r="B17">
        <v>98.659548638470966</v>
      </c>
      <c r="C17">
        <v>11.465433030546246</v>
      </c>
      <c r="D17">
        <v>8.6049561648148707</v>
      </c>
      <c r="E17">
        <v>5.7065315860413647E-5</v>
      </c>
      <c r="F17">
        <v>71.548107639428352</v>
      </c>
      <c r="G17">
        <v>125.77098963751358</v>
      </c>
      <c r="H17">
        <v>71.548107639428352</v>
      </c>
      <c r="I17">
        <v>125.77098963751358</v>
      </c>
    </row>
    <row r="18" spans="1:9" x14ac:dyDescent="0.35">
      <c r="A18" t="s">
        <v>52</v>
      </c>
      <c r="B18">
        <v>-1.7351867552695188</v>
      </c>
      <c r="C18">
        <v>1.110135779609051</v>
      </c>
      <c r="D18">
        <v>-1.5630401137783234</v>
      </c>
      <c r="E18">
        <v>0.16201709201568051</v>
      </c>
      <c r="F18">
        <v>-4.3602407422939438</v>
      </c>
      <c r="G18">
        <v>0.8898672317549059</v>
      </c>
      <c r="H18">
        <v>-4.3602407422939438</v>
      </c>
      <c r="I18">
        <v>0.8898672317549059</v>
      </c>
    </row>
    <row r="19" spans="1:9" x14ac:dyDescent="0.35">
      <c r="A19" t="s">
        <v>60</v>
      </c>
      <c r="B19">
        <v>-17.396465069656614</v>
      </c>
      <c r="C19">
        <v>10.782232454592435</v>
      </c>
      <c r="D19">
        <v>-1.6134381393574022</v>
      </c>
      <c r="E19">
        <v>0.15068406669624845</v>
      </c>
      <c r="F19">
        <v>-42.892393418096688</v>
      </c>
      <c r="G19">
        <v>8.0994632787834604</v>
      </c>
      <c r="H19">
        <v>-42.892393418096688</v>
      </c>
      <c r="I19">
        <v>8.0994632787834604</v>
      </c>
    </row>
    <row r="20" spans="1:9" x14ac:dyDescent="0.35">
      <c r="A20" t="s">
        <v>61</v>
      </c>
      <c r="B20">
        <v>-11.810695736481302</v>
      </c>
      <c r="C20">
        <v>10.492594029077148</v>
      </c>
      <c r="D20">
        <v>-1.1256221010506477</v>
      </c>
      <c r="E20">
        <v>0.29743293959937733</v>
      </c>
      <c r="F20">
        <v>-36.621738039754774</v>
      </c>
      <c r="G20">
        <v>13.000346566792173</v>
      </c>
      <c r="H20">
        <v>-36.621738039754774</v>
      </c>
      <c r="I20">
        <v>13.000346566792173</v>
      </c>
    </row>
    <row r="21" spans="1:9" ht="15" thickBot="1" x14ac:dyDescent="0.4">
      <c r="A21" s="3" t="s">
        <v>62</v>
      </c>
      <c r="B21" s="3">
        <v>-9.212270898895456</v>
      </c>
      <c r="C21" s="3">
        <v>10.31490790610953</v>
      </c>
      <c r="D21" s="3">
        <v>-0.89310258344032512</v>
      </c>
      <c r="E21" s="3">
        <v>0.40146174372504967</v>
      </c>
      <c r="F21" s="3">
        <v>-33.603152286628202</v>
      </c>
      <c r="G21" s="3">
        <v>15.178610488837291</v>
      </c>
      <c r="H21" s="3">
        <v>-33.603152286628202</v>
      </c>
      <c r="I21" s="3">
        <v>15.178610488837291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481BF-9C0D-4DD1-A4FA-10D7B9DED04D}">
  <dimension ref="A1:Y74"/>
  <sheetViews>
    <sheetView topLeftCell="A38" workbookViewId="0">
      <selection activeCell="Z24" sqref="Z24"/>
    </sheetView>
  </sheetViews>
  <sheetFormatPr defaultRowHeight="14.5" x14ac:dyDescent="0.35"/>
  <cols>
    <col min="5" max="5" width="10.54296875" customWidth="1"/>
    <col min="6" max="13" width="0" hidden="1" customWidth="1"/>
    <col min="14" max="14" width="19.54296875" customWidth="1"/>
    <col min="15" max="15" width="10.453125" bestFit="1" customWidth="1"/>
    <col min="17" max="17" width="10.81640625" customWidth="1"/>
    <col min="21" max="21" width="14.54296875" customWidth="1"/>
    <col min="25" max="25" width="12.54296875" customWidth="1"/>
  </cols>
  <sheetData>
    <row r="1" spans="1:21" ht="23.5" x14ac:dyDescent="0.55000000000000004">
      <c r="A1" s="1" t="s">
        <v>65</v>
      </c>
    </row>
    <row r="3" spans="1:21" ht="18.5" x14ac:dyDescent="0.45">
      <c r="A3" s="2" t="s">
        <v>66</v>
      </c>
    </row>
    <row r="5" spans="1:21" x14ac:dyDescent="0.35">
      <c r="A5" s="13" t="s">
        <v>0</v>
      </c>
      <c r="B5" s="8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8" t="s">
        <v>7</v>
      </c>
      <c r="I5" s="8" t="s">
        <v>8</v>
      </c>
      <c r="J5" s="8" t="s">
        <v>9</v>
      </c>
      <c r="K5" s="8" t="s">
        <v>10</v>
      </c>
      <c r="L5" s="8" t="s">
        <v>11</v>
      </c>
      <c r="M5" s="8" t="s">
        <v>12</v>
      </c>
      <c r="N5" s="8" t="s">
        <v>13</v>
      </c>
      <c r="O5" s="8" t="s">
        <v>53</v>
      </c>
      <c r="P5" s="8" t="s">
        <v>54</v>
      </c>
      <c r="Q5" s="8" t="s">
        <v>55</v>
      </c>
    </row>
    <row r="6" spans="1:21" x14ac:dyDescent="0.35">
      <c r="A6" s="13">
        <v>1</v>
      </c>
      <c r="B6" s="9">
        <v>2018</v>
      </c>
      <c r="C6" s="9">
        <v>1</v>
      </c>
      <c r="D6" s="9" t="s">
        <v>19</v>
      </c>
      <c r="E6" s="9" t="s">
        <v>20</v>
      </c>
      <c r="F6" s="9" t="s">
        <v>19</v>
      </c>
      <c r="G6" s="9" t="s">
        <v>16</v>
      </c>
      <c r="H6" s="9" t="s">
        <v>17</v>
      </c>
      <c r="I6" s="9" t="s">
        <v>18</v>
      </c>
      <c r="J6" s="9">
        <v>1957</v>
      </c>
      <c r="K6" s="9">
        <v>1889</v>
      </c>
      <c r="L6" s="9">
        <v>21.744444444444401</v>
      </c>
      <c r="M6" s="9">
        <v>20.988888888888798</v>
      </c>
      <c r="N6" s="14">
        <v>96.525293817066895</v>
      </c>
      <c r="O6" s="14">
        <f>$O$21+$O$22*A6</f>
        <v>94.741808490193961</v>
      </c>
      <c r="P6" s="14">
        <f>N6-O6</f>
        <v>1.7834853268729347</v>
      </c>
      <c r="Q6" s="14">
        <f>P6*P6</f>
        <v>3.1808199111710587</v>
      </c>
    </row>
    <row r="7" spans="1:21" x14ac:dyDescent="0.35">
      <c r="A7" s="13">
        <v>2</v>
      </c>
      <c r="B7" s="9">
        <v>2018</v>
      </c>
      <c r="C7" s="9">
        <v>2</v>
      </c>
      <c r="D7" s="9" t="s">
        <v>19</v>
      </c>
      <c r="E7" s="9" t="s">
        <v>20</v>
      </c>
      <c r="F7" s="9" t="s">
        <v>19</v>
      </c>
      <c r="G7" s="9" t="s">
        <v>16</v>
      </c>
      <c r="H7" s="9" t="s">
        <v>17</v>
      </c>
      <c r="I7" s="9" t="s">
        <v>18</v>
      </c>
      <c r="J7" s="9">
        <v>2080</v>
      </c>
      <c r="K7" s="9">
        <v>1967</v>
      </c>
      <c r="L7" s="9">
        <v>22.857142857142801</v>
      </c>
      <c r="M7" s="9">
        <v>21.615384615384599</v>
      </c>
      <c r="N7" s="14">
        <v>94.567307692307693</v>
      </c>
      <c r="O7" s="14">
        <f t="shared" ref="O7:O18" si="0">$O$21+$O$22*A7</f>
        <v>94.706589483512843</v>
      </c>
      <c r="P7" s="14">
        <f t="shared" ref="P7:P17" si="1">N7-O7</f>
        <v>-0.13928179120514983</v>
      </c>
      <c r="Q7" s="14">
        <f t="shared" ref="Q7:Q17" si="2">P7*P7</f>
        <v>1.9399417361314952E-2</v>
      </c>
    </row>
    <row r="8" spans="1:21" x14ac:dyDescent="0.35">
      <c r="A8" s="13">
        <v>3</v>
      </c>
      <c r="B8" s="9">
        <v>2018</v>
      </c>
      <c r="C8" s="9">
        <v>3</v>
      </c>
      <c r="D8" s="9" t="s">
        <v>19</v>
      </c>
      <c r="E8" s="9" t="s">
        <v>20</v>
      </c>
      <c r="F8" s="9" t="s">
        <v>19</v>
      </c>
      <c r="G8" s="9" t="s">
        <v>16</v>
      </c>
      <c r="H8" s="9" t="s">
        <v>17</v>
      </c>
      <c r="I8" s="9" t="s">
        <v>18</v>
      </c>
      <c r="J8" s="9">
        <v>2224</v>
      </c>
      <c r="K8" s="9">
        <v>2106</v>
      </c>
      <c r="L8" s="9">
        <v>24.173913043478201</v>
      </c>
      <c r="M8" s="9">
        <v>22.891304347826001</v>
      </c>
      <c r="N8" s="14">
        <v>94.694244604316495</v>
      </c>
      <c r="O8" s="14">
        <f t="shared" si="0"/>
        <v>94.671370476831726</v>
      </c>
      <c r="P8" s="14">
        <f t="shared" si="1"/>
        <v>2.2874127484769247E-2</v>
      </c>
      <c r="Q8" s="14">
        <f t="shared" si="2"/>
        <v>5.2322570818947591E-4</v>
      </c>
    </row>
    <row r="9" spans="1:21" x14ac:dyDescent="0.35">
      <c r="A9" s="13">
        <v>4</v>
      </c>
      <c r="B9" s="9">
        <v>2018</v>
      </c>
      <c r="C9" s="9">
        <v>4</v>
      </c>
      <c r="D9" s="9" t="s">
        <v>19</v>
      </c>
      <c r="E9" s="9" t="s">
        <v>20</v>
      </c>
      <c r="F9" s="9" t="s">
        <v>19</v>
      </c>
      <c r="G9" s="9" t="s">
        <v>16</v>
      </c>
      <c r="H9" s="9" t="s">
        <v>17</v>
      </c>
      <c r="I9" s="9" t="s">
        <v>18</v>
      </c>
      <c r="J9" s="9">
        <v>2641</v>
      </c>
      <c r="K9" s="9">
        <v>2546</v>
      </c>
      <c r="L9" s="9">
        <v>28.706521739130402</v>
      </c>
      <c r="M9" s="9">
        <v>27.673913043478201</v>
      </c>
      <c r="N9" s="14">
        <v>96.402877697841703</v>
      </c>
      <c r="O9" s="14">
        <f t="shared" si="0"/>
        <v>94.636151470150608</v>
      </c>
      <c r="P9" s="14">
        <f t="shared" si="1"/>
        <v>1.7667262276910947</v>
      </c>
      <c r="Q9" s="14">
        <f t="shared" si="2"/>
        <v>3.1213215636116058</v>
      </c>
    </row>
    <row r="10" spans="1:21" x14ac:dyDescent="0.35">
      <c r="A10" s="13">
        <v>5</v>
      </c>
      <c r="B10" s="9">
        <v>2019</v>
      </c>
      <c r="C10" s="9">
        <v>1</v>
      </c>
      <c r="D10" s="9" t="s">
        <v>19</v>
      </c>
      <c r="E10" s="9" t="s">
        <v>20</v>
      </c>
      <c r="F10" s="9" t="s">
        <v>19</v>
      </c>
      <c r="G10" s="9" t="s">
        <v>16</v>
      </c>
      <c r="H10" s="9" t="s">
        <v>17</v>
      </c>
      <c r="I10" s="9" t="s">
        <v>18</v>
      </c>
      <c r="J10" s="9">
        <v>2273</v>
      </c>
      <c r="K10" s="9">
        <v>2143</v>
      </c>
      <c r="L10" s="9">
        <v>25.2555555555555</v>
      </c>
      <c r="M10" s="9">
        <v>23.811111111111099</v>
      </c>
      <c r="N10" s="14">
        <v>94.280686317641795</v>
      </c>
      <c r="O10" s="14">
        <f t="shared" si="0"/>
        <v>94.600932463469491</v>
      </c>
      <c r="P10" s="14">
        <f t="shared" si="1"/>
        <v>-0.32024614582769573</v>
      </c>
      <c r="Q10" s="14">
        <f t="shared" si="2"/>
        <v>0.10255759391749376</v>
      </c>
      <c r="T10" s="11"/>
      <c r="U10" s="11" t="s">
        <v>68</v>
      </c>
    </row>
    <row r="11" spans="1:21" x14ac:dyDescent="0.35">
      <c r="A11" s="13">
        <v>6</v>
      </c>
      <c r="B11" s="9">
        <v>2019</v>
      </c>
      <c r="C11" s="9">
        <v>2</v>
      </c>
      <c r="D11" s="9" t="s">
        <v>19</v>
      </c>
      <c r="E11" s="9" t="s">
        <v>20</v>
      </c>
      <c r="F11" s="9" t="s">
        <v>19</v>
      </c>
      <c r="G11" s="9" t="s">
        <v>16</v>
      </c>
      <c r="H11" s="9" t="s">
        <v>17</v>
      </c>
      <c r="I11" s="9" t="s">
        <v>18</v>
      </c>
      <c r="J11" s="9">
        <v>2365</v>
      </c>
      <c r="K11" s="9">
        <v>2151</v>
      </c>
      <c r="L11" s="9">
        <v>25.9890109890109</v>
      </c>
      <c r="M11" s="9">
        <v>23.6373626373626</v>
      </c>
      <c r="N11" s="14">
        <v>90.951374207188096</v>
      </c>
      <c r="O11" s="14">
        <f t="shared" si="0"/>
        <v>94.565713456788373</v>
      </c>
      <c r="P11" s="14">
        <f t="shared" si="1"/>
        <v>-3.6143392496002775</v>
      </c>
      <c r="Q11" s="14">
        <f t="shared" si="2"/>
        <v>13.063448211201097</v>
      </c>
      <c r="T11" s="11" t="s">
        <v>56</v>
      </c>
      <c r="U11" s="15">
        <f>AVERAGE(Q6:Q17)</f>
        <v>7.2113793323573958</v>
      </c>
    </row>
    <row r="12" spans="1:21" x14ac:dyDescent="0.35">
      <c r="A12" s="13">
        <v>7</v>
      </c>
      <c r="B12" s="9">
        <v>2019</v>
      </c>
      <c r="C12" s="9">
        <v>3</v>
      </c>
      <c r="D12" s="9" t="s">
        <v>19</v>
      </c>
      <c r="E12" s="9" t="s">
        <v>20</v>
      </c>
      <c r="F12" s="9" t="s">
        <v>19</v>
      </c>
      <c r="G12" s="9" t="s">
        <v>16</v>
      </c>
      <c r="H12" s="9" t="s">
        <v>17</v>
      </c>
      <c r="I12" s="9" t="s">
        <v>18</v>
      </c>
      <c r="J12" s="9">
        <v>2667</v>
      </c>
      <c r="K12" s="9">
        <v>2549</v>
      </c>
      <c r="L12" s="9">
        <v>28.989130434782599</v>
      </c>
      <c r="M12" s="9">
        <v>27.706521739130402</v>
      </c>
      <c r="N12" s="14">
        <v>95.575553055867999</v>
      </c>
      <c r="O12" s="14">
        <f t="shared" si="0"/>
        <v>94.53049445010727</v>
      </c>
      <c r="P12" s="14">
        <f t="shared" si="1"/>
        <v>1.0450586057607296</v>
      </c>
      <c r="Q12" s="14">
        <f t="shared" si="2"/>
        <v>1.0921474894745602</v>
      </c>
    </row>
    <row r="13" spans="1:21" x14ac:dyDescent="0.35">
      <c r="A13" s="13">
        <v>8</v>
      </c>
      <c r="B13" s="9">
        <v>2019</v>
      </c>
      <c r="C13" s="9">
        <v>4</v>
      </c>
      <c r="D13" s="9" t="s">
        <v>19</v>
      </c>
      <c r="E13" s="9" t="s">
        <v>20</v>
      </c>
      <c r="F13" s="9" t="s">
        <v>19</v>
      </c>
      <c r="G13" s="9" t="s">
        <v>16</v>
      </c>
      <c r="H13" s="9" t="s">
        <v>17</v>
      </c>
      <c r="I13" s="9" t="s">
        <v>18</v>
      </c>
      <c r="J13" s="9">
        <v>2703</v>
      </c>
      <c r="K13" s="9">
        <v>2588</v>
      </c>
      <c r="L13" s="9">
        <v>29.380434782608599</v>
      </c>
      <c r="M13" s="9">
        <v>28.130434782608599</v>
      </c>
      <c r="N13" s="14">
        <v>95.745467998520098</v>
      </c>
      <c r="O13" s="14">
        <f t="shared" si="0"/>
        <v>94.495275443426152</v>
      </c>
      <c r="P13" s="14">
        <f t="shared" si="1"/>
        <v>1.2501925550939461</v>
      </c>
      <c r="Q13" s="14">
        <f t="shared" si="2"/>
        <v>1.5629814248123295</v>
      </c>
    </row>
    <row r="14" spans="1:21" x14ac:dyDescent="0.35">
      <c r="A14" s="13">
        <v>9</v>
      </c>
      <c r="B14" s="9">
        <v>2021</v>
      </c>
      <c r="C14" s="9">
        <v>1</v>
      </c>
      <c r="D14" s="9" t="s">
        <v>19</v>
      </c>
      <c r="E14" s="9" t="s">
        <v>20</v>
      </c>
      <c r="F14" s="9" t="s">
        <v>19</v>
      </c>
      <c r="G14" s="9" t="s">
        <v>16</v>
      </c>
      <c r="H14" s="9" t="s">
        <v>17</v>
      </c>
      <c r="I14" s="9" t="s">
        <v>18</v>
      </c>
      <c r="J14" s="9">
        <v>2635</v>
      </c>
      <c r="K14" s="9">
        <v>2301</v>
      </c>
      <c r="L14" s="9">
        <v>29.2777777777777</v>
      </c>
      <c r="M14" s="9">
        <v>25.566666666666599</v>
      </c>
      <c r="N14" s="14">
        <v>87.324478178368096</v>
      </c>
      <c r="O14" s="14">
        <f t="shared" si="0"/>
        <v>94.460056436745035</v>
      </c>
      <c r="P14" s="14">
        <f t="shared" si="1"/>
        <v>-7.1355782583769383</v>
      </c>
      <c r="Q14" s="14">
        <f t="shared" si="2"/>
        <v>50.916477081421661</v>
      </c>
    </row>
    <row r="15" spans="1:21" x14ac:dyDescent="0.35">
      <c r="A15" s="13">
        <v>10</v>
      </c>
      <c r="B15" s="9">
        <v>2021</v>
      </c>
      <c r="C15" s="9">
        <v>2</v>
      </c>
      <c r="D15" s="9" t="s">
        <v>19</v>
      </c>
      <c r="E15" s="9" t="s">
        <v>20</v>
      </c>
      <c r="F15" s="9" t="s">
        <v>19</v>
      </c>
      <c r="G15" s="9" t="s">
        <v>16</v>
      </c>
      <c r="H15" s="9" t="s">
        <v>17</v>
      </c>
      <c r="I15" s="9" t="s">
        <v>18</v>
      </c>
      <c r="J15" s="9">
        <v>2471</v>
      </c>
      <c r="K15" s="9">
        <v>2345</v>
      </c>
      <c r="L15" s="9">
        <v>27.1538461538461</v>
      </c>
      <c r="M15" s="9">
        <v>25.769230769230699</v>
      </c>
      <c r="N15" s="14">
        <v>94.900849858356906</v>
      </c>
      <c r="O15" s="14">
        <f t="shared" si="0"/>
        <v>94.424837430063917</v>
      </c>
      <c r="P15" s="14">
        <f t="shared" si="1"/>
        <v>0.4760124282929894</v>
      </c>
      <c r="Q15" s="14">
        <f t="shared" si="2"/>
        <v>0.22658783188938839</v>
      </c>
    </row>
    <row r="16" spans="1:21" x14ac:dyDescent="0.35">
      <c r="A16" s="13">
        <v>11</v>
      </c>
      <c r="B16" s="9">
        <v>2021</v>
      </c>
      <c r="C16" s="9">
        <v>3</v>
      </c>
      <c r="D16" s="9" t="s">
        <v>19</v>
      </c>
      <c r="E16" s="9" t="s">
        <v>20</v>
      </c>
      <c r="F16" s="9" t="s">
        <v>19</v>
      </c>
      <c r="G16" s="9" t="s">
        <v>16</v>
      </c>
      <c r="H16" s="9" t="s">
        <v>17</v>
      </c>
      <c r="I16" s="9" t="s">
        <v>18</v>
      </c>
      <c r="J16" s="9">
        <v>2712</v>
      </c>
      <c r="K16" s="9">
        <v>2603</v>
      </c>
      <c r="L16" s="9">
        <v>29.478260869565201</v>
      </c>
      <c r="M16" s="9">
        <v>28.293478260869499</v>
      </c>
      <c r="N16" s="14">
        <v>95.980825958701999</v>
      </c>
      <c r="O16" s="14">
        <f t="shared" si="0"/>
        <v>94.3896184233828</v>
      </c>
      <c r="P16" s="14">
        <f t="shared" si="1"/>
        <v>1.5912075353191995</v>
      </c>
      <c r="Q16" s="14">
        <f t="shared" si="2"/>
        <v>2.5319414204566013</v>
      </c>
    </row>
    <row r="17" spans="1:21" x14ac:dyDescent="0.35">
      <c r="A17" s="13">
        <v>12</v>
      </c>
      <c r="B17" s="9">
        <v>2021</v>
      </c>
      <c r="C17" s="9">
        <v>4</v>
      </c>
      <c r="D17" s="9" t="s">
        <v>19</v>
      </c>
      <c r="E17" s="9" t="s">
        <v>20</v>
      </c>
      <c r="F17" s="9" t="s">
        <v>19</v>
      </c>
      <c r="G17" s="9" t="s">
        <v>16</v>
      </c>
      <c r="H17" s="9" t="s">
        <v>17</v>
      </c>
      <c r="I17" s="9" t="s">
        <v>18</v>
      </c>
      <c r="J17" s="9">
        <v>2319</v>
      </c>
      <c r="K17" s="9">
        <v>2264</v>
      </c>
      <c r="L17" s="9">
        <v>25.206521739130402</v>
      </c>
      <c r="M17" s="9">
        <v>24.6086956521739</v>
      </c>
      <c r="N17" s="14">
        <v>97.628288055196194</v>
      </c>
      <c r="O17" s="14">
        <f t="shared" si="0"/>
        <v>94.354399416701682</v>
      </c>
      <c r="P17" s="14">
        <f t="shared" si="1"/>
        <v>3.2738886384945118</v>
      </c>
      <c r="Q17" s="14">
        <f t="shared" si="2"/>
        <v>10.718346817263448</v>
      </c>
    </row>
    <row r="18" spans="1:21" x14ac:dyDescent="0.35">
      <c r="A18" s="13">
        <v>13</v>
      </c>
      <c r="B18" s="9">
        <v>2022</v>
      </c>
      <c r="C18" s="9">
        <v>1</v>
      </c>
      <c r="D18" s="9" t="s">
        <v>19</v>
      </c>
      <c r="E18" s="9" t="s">
        <v>20</v>
      </c>
      <c r="F18" s="9"/>
      <c r="G18" s="9"/>
      <c r="H18" s="9"/>
      <c r="I18" s="9"/>
      <c r="J18" s="9"/>
      <c r="K18" s="9"/>
      <c r="L18" s="9"/>
      <c r="M18" s="9"/>
      <c r="N18" s="9"/>
      <c r="O18" s="14">
        <f t="shared" si="0"/>
        <v>94.319180410020564</v>
      </c>
      <c r="P18" s="9"/>
      <c r="Q18" s="9"/>
    </row>
    <row r="19" spans="1:21" ht="15" thickBot="1" x14ac:dyDescent="0.4"/>
    <row r="20" spans="1:21" x14ac:dyDescent="0.35">
      <c r="N20" s="10"/>
      <c r="O20" s="10" t="s">
        <v>45</v>
      </c>
    </row>
    <row r="21" spans="1:21" x14ac:dyDescent="0.35">
      <c r="N21" s="11" t="s">
        <v>39</v>
      </c>
      <c r="O21" s="11">
        <v>94.777027496875078</v>
      </c>
    </row>
    <row r="22" spans="1:21" ht="15" thickBot="1" x14ac:dyDescent="0.4">
      <c r="N22" s="12" t="s">
        <v>52</v>
      </c>
      <c r="O22" s="12">
        <v>-3.5219006681116466E-2</v>
      </c>
    </row>
    <row r="26" spans="1:21" ht="18.5" x14ac:dyDescent="0.45">
      <c r="A26" s="2" t="s">
        <v>70</v>
      </c>
    </row>
    <row r="29" spans="1:21" x14ac:dyDescent="0.35">
      <c r="A29" s="13" t="s">
        <v>0</v>
      </c>
      <c r="B29" s="8" t="s">
        <v>1</v>
      </c>
      <c r="C29" s="8" t="s">
        <v>2</v>
      </c>
      <c r="D29" s="8" t="s">
        <v>3</v>
      </c>
      <c r="E29" s="8" t="s">
        <v>4</v>
      </c>
      <c r="F29" s="8" t="s">
        <v>5</v>
      </c>
      <c r="G29" s="8" t="s">
        <v>6</v>
      </c>
      <c r="H29" s="8" t="s">
        <v>7</v>
      </c>
      <c r="I29" s="8" t="s">
        <v>8</v>
      </c>
      <c r="J29" s="8" t="s">
        <v>9</v>
      </c>
      <c r="K29" s="8" t="s">
        <v>10</v>
      </c>
      <c r="L29" s="8" t="s">
        <v>11</v>
      </c>
      <c r="M29" s="8" t="s">
        <v>12</v>
      </c>
      <c r="N29" s="8" t="s">
        <v>0</v>
      </c>
      <c r="O29" s="8" t="s">
        <v>57</v>
      </c>
      <c r="P29" s="8" t="s">
        <v>58</v>
      </c>
      <c r="Q29" s="8" t="s">
        <v>59</v>
      </c>
      <c r="R29" s="8" t="s">
        <v>13</v>
      </c>
      <c r="S29" s="8" t="s">
        <v>53</v>
      </c>
      <c r="T29" s="8" t="s">
        <v>54</v>
      </c>
      <c r="U29" s="8" t="s">
        <v>55</v>
      </c>
    </row>
    <row r="30" spans="1:21" x14ac:dyDescent="0.35">
      <c r="A30" s="13">
        <v>1</v>
      </c>
      <c r="B30" s="9">
        <v>2018</v>
      </c>
      <c r="C30" s="9">
        <v>1</v>
      </c>
      <c r="D30" s="9" t="s">
        <v>19</v>
      </c>
      <c r="E30" s="9" t="s">
        <v>20</v>
      </c>
      <c r="F30" s="9" t="s">
        <v>19</v>
      </c>
      <c r="G30" s="9" t="s">
        <v>16</v>
      </c>
      <c r="H30" s="9" t="s">
        <v>17</v>
      </c>
      <c r="I30" s="9" t="s">
        <v>18</v>
      </c>
      <c r="J30" s="9">
        <v>1957</v>
      </c>
      <c r="K30" s="9">
        <v>1889</v>
      </c>
      <c r="L30" s="9">
        <v>21.744444444444401</v>
      </c>
      <c r="M30" s="9">
        <v>20.988888888888798</v>
      </c>
      <c r="N30" s="9">
        <v>1</v>
      </c>
      <c r="O30" s="9">
        <v>1</v>
      </c>
      <c r="P30" s="9">
        <v>0</v>
      </c>
      <c r="Q30" s="9">
        <v>0</v>
      </c>
      <c r="R30" s="14">
        <v>96.525293817066895</v>
      </c>
      <c r="S30" s="14">
        <f t="shared" ref="S30:S45" si="3">$V$48+$V$49*N30+$V$50*O30+$V$51*P30+$V$52*Q30</f>
        <v>93.504562991139281</v>
      </c>
      <c r="T30" s="14">
        <f>R30-S30</f>
        <v>3.0207308259276147</v>
      </c>
      <c r="U30" s="14">
        <f>T30*T30</f>
        <v>9.1248147227093295</v>
      </c>
    </row>
    <row r="31" spans="1:21" x14ac:dyDescent="0.35">
      <c r="A31" s="13">
        <v>2</v>
      </c>
      <c r="B31" s="9">
        <v>2018</v>
      </c>
      <c r="C31" s="9">
        <v>2</v>
      </c>
      <c r="D31" s="9" t="s">
        <v>19</v>
      </c>
      <c r="E31" s="9" t="s">
        <v>20</v>
      </c>
      <c r="F31" s="9" t="s">
        <v>19</v>
      </c>
      <c r="G31" s="9" t="s">
        <v>16</v>
      </c>
      <c r="H31" s="9" t="s">
        <v>17</v>
      </c>
      <c r="I31" s="9" t="s">
        <v>18</v>
      </c>
      <c r="J31" s="9">
        <v>2080</v>
      </c>
      <c r="K31" s="9">
        <v>1967</v>
      </c>
      <c r="L31" s="9">
        <v>22.857142857142801</v>
      </c>
      <c r="M31" s="9">
        <v>21.615384615384599</v>
      </c>
      <c r="N31" s="9">
        <v>2</v>
      </c>
      <c r="O31" s="9">
        <v>0</v>
      </c>
      <c r="P31" s="9">
        <v>1</v>
      </c>
      <c r="Q31" s="9">
        <v>0</v>
      </c>
      <c r="R31" s="14">
        <v>94.567307692307693</v>
      </c>
      <c r="S31" s="14">
        <f t="shared" si="3"/>
        <v>94.267587472731265</v>
      </c>
      <c r="T31" s="14">
        <f t="shared" ref="T31:T41" si="4">R31-S31</f>
        <v>0.2997202195764288</v>
      </c>
      <c r="U31" s="14">
        <f t="shared" ref="U31:U41" si="5">T31*T31</f>
        <v>8.9832210022942699E-2</v>
      </c>
    </row>
    <row r="32" spans="1:21" x14ac:dyDescent="0.35">
      <c r="A32" s="13">
        <v>3</v>
      </c>
      <c r="B32" s="9">
        <v>2018</v>
      </c>
      <c r="C32" s="9">
        <v>3</v>
      </c>
      <c r="D32" s="9" t="s">
        <v>19</v>
      </c>
      <c r="E32" s="9" t="s">
        <v>20</v>
      </c>
      <c r="F32" s="9" t="s">
        <v>19</v>
      </c>
      <c r="G32" s="9" t="s">
        <v>16</v>
      </c>
      <c r="H32" s="9" t="s">
        <v>17</v>
      </c>
      <c r="I32" s="9" t="s">
        <v>18</v>
      </c>
      <c r="J32" s="9">
        <v>2224</v>
      </c>
      <c r="K32" s="9">
        <v>2106</v>
      </c>
      <c r="L32" s="9">
        <v>24.173913043478201</v>
      </c>
      <c r="M32" s="9">
        <v>22.891304347826001</v>
      </c>
      <c r="N32" s="9">
        <v>3</v>
      </c>
      <c r="O32" s="9">
        <v>0</v>
      </c>
      <c r="P32" s="9">
        <v>0</v>
      </c>
      <c r="Q32" s="9">
        <v>1</v>
      </c>
      <c r="R32" s="14">
        <v>94.694244604316495</v>
      </c>
      <c r="S32" s="14">
        <f t="shared" si="3"/>
        <v>96.211284759742526</v>
      </c>
      <c r="T32" s="14">
        <f t="shared" si="4"/>
        <v>-1.5170401554260309</v>
      </c>
      <c r="U32" s="14">
        <f t="shared" si="5"/>
        <v>2.3014108331750358</v>
      </c>
    </row>
    <row r="33" spans="1:25" x14ac:dyDescent="0.35">
      <c r="A33" s="13">
        <v>4</v>
      </c>
      <c r="B33" s="9">
        <v>2018</v>
      </c>
      <c r="C33" s="9">
        <v>4</v>
      </c>
      <c r="D33" s="9" t="s">
        <v>19</v>
      </c>
      <c r="E33" s="9" t="s">
        <v>20</v>
      </c>
      <c r="F33" s="9" t="s">
        <v>19</v>
      </c>
      <c r="G33" s="9" t="s">
        <v>16</v>
      </c>
      <c r="H33" s="9" t="s">
        <v>17</v>
      </c>
      <c r="I33" s="9" t="s">
        <v>18</v>
      </c>
      <c r="J33" s="9">
        <v>2641</v>
      </c>
      <c r="K33" s="9">
        <v>2546</v>
      </c>
      <c r="L33" s="9">
        <v>28.706521739130402</v>
      </c>
      <c r="M33" s="9">
        <v>27.673913043478201</v>
      </c>
      <c r="N33" s="9">
        <v>4</v>
      </c>
      <c r="O33" s="9">
        <v>0</v>
      </c>
      <c r="P33" s="9">
        <v>0</v>
      </c>
      <c r="Q33" s="9">
        <v>0</v>
      </c>
      <c r="R33" s="14">
        <v>96.402877697841703</v>
      </c>
      <c r="S33" s="14">
        <f t="shared" si="3"/>
        <v>97.386621470633017</v>
      </c>
      <c r="T33" s="14">
        <f t="shared" si="4"/>
        <v>-0.98374377279131409</v>
      </c>
      <c r="U33" s="14">
        <f t="shared" si="5"/>
        <v>0.96775181050568859</v>
      </c>
    </row>
    <row r="34" spans="1:25" x14ac:dyDescent="0.35">
      <c r="A34" s="13">
        <v>5</v>
      </c>
      <c r="B34" s="9">
        <v>2019</v>
      </c>
      <c r="C34" s="9">
        <v>1</v>
      </c>
      <c r="D34" s="9" t="s">
        <v>19</v>
      </c>
      <c r="E34" s="9" t="s">
        <v>20</v>
      </c>
      <c r="F34" s="9" t="s">
        <v>19</v>
      </c>
      <c r="G34" s="9" t="s">
        <v>16</v>
      </c>
      <c r="H34" s="9" t="s">
        <v>17</v>
      </c>
      <c r="I34" s="9" t="s">
        <v>18</v>
      </c>
      <c r="J34" s="9">
        <v>2273</v>
      </c>
      <c r="K34" s="9">
        <v>2143</v>
      </c>
      <c r="L34" s="9">
        <v>25.2555555555555</v>
      </c>
      <c r="M34" s="9">
        <v>23.811111111111099</v>
      </c>
      <c r="N34" s="9">
        <v>5</v>
      </c>
      <c r="O34" s="9">
        <v>1</v>
      </c>
      <c r="P34" s="9">
        <v>0</v>
      </c>
      <c r="Q34" s="9">
        <v>0</v>
      </c>
      <c r="R34" s="14">
        <v>94.280686317641795</v>
      </c>
      <c r="S34" s="14">
        <f t="shared" si="3"/>
        <v>92.710152771025591</v>
      </c>
      <c r="T34" s="14">
        <f t="shared" si="4"/>
        <v>1.570533546616204</v>
      </c>
      <c r="U34" s="14">
        <f t="shared" si="5"/>
        <v>2.4665756210468723</v>
      </c>
      <c r="X34" s="11"/>
      <c r="Y34" s="11" t="s">
        <v>68</v>
      </c>
    </row>
    <row r="35" spans="1:25" x14ac:dyDescent="0.35">
      <c r="A35" s="13">
        <v>6</v>
      </c>
      <c r="B35" s="9">
        <v>2019</v>
      </c>
      <c r="C35" s="9">
        <v>2</v>
      </c>
      <c r="D35" s="9" t="s">
        <v>19</v>
      </c>
      <c r="E35" s="9" t="s">
        <v>20</v>
      </c>
      <c r="F35" s="9" t="s">
        <v>19</v>
      </c>
      <c r="G35" s="9" t="s">
        <v>16</v>
      </c>
      <c r="H35" s="9" t="s">
        <v>17</v>
      </c>
      <c r="I35" s="9" t="s">
        <v>18</v>
      </c>
      <c r="J35" s="9">
        <v>2365</v>
      </c>
      <c r="K35" s="9">
        <v>2151</v>
      </c>
      <c r="L35" s="9">
        <v>25.9890109890109</v>
      </c>
      <c r="M35" s="9">
        <v>23.6373626373626</v>
      </c>
      <c r="N35" s="9">
        <v>6</v>
      </c>
      <c r="O35" s="9">
        <v>0</v>
      </c>
      <c r="P35" s="9">
        <v>1</v>
      </c>
      <c r="Q35" s="9">
        <v>0</v>
      </c>
      <c r="R35" s="14">
        <v>90.951374207188096</v>
      </c>
      <c r="S35" s="14">
        <f t="shared" si="3"/>
        <v>93.47317725261756</v>
      </c>
      <c r="T35" s="14">
        <f t="shared" si="4"/>
        <v>-2.5218030454294649</v>
      </c>
      <c r="U35" s="14">
        <f t="shared" si="5"/>
        <v>6.3594905999373239</v>
      </c>
      <c r="X35" s="11" t="s">
        <v>56</v>
      </c>
      <c r="Y35" s="15">
        <f>AVERAGE(U30:U41)</f>
        <v>4.4387682098334453</v>
      </c>
    </row>
    <row r="36" spans="1:25" x14ac:dyDescent="0.35">
      <c r="A36" s="13">
        <v>7</v>
      </c>
      <c r="B36" s="9">
        <v>2019</v>
      </c>
      <c r="C36" s="9">
        <v>3</v>
      </c>
      <c r="D36" s="9" t="s">
        <v>19</v>
      </c>
      <c r="E36" s="9" t="s">
        <v>20</v>
      </c>
      <c r="F36" s="9" t="s">
        <v>19</v>
      </c>
      <c r="G36" s="9" t="s">
        <v>16</v>
      </c>
      <c r="H36" s="9" t="s">
        <v>17</v>
      </c>
      <c r="I36" s="9" t="s">
        <v>18</v>
      </c>
      <c r="J36" s="9">
        <v>2667</v>
      </c>
      <c r="K36" s="9">
        <v>2549</v>
      </c>
      <c r="L36" s="9">
        <v>28.989130434782599</v>
      </c>
      <c r="M36" s="9">
        <v>27.706521739130402</v>
      </c>
      <c r="N36" s="9">
        <v>7</v>
      </c>
      <c r="O36" s="9">
        <v>0</v>
      </c>
      <c r="P36" s="9">
        <v>0</v>
      </c>
      <c r="Q36" s="9">
        <v>1</v>
      </c>
      <c r="R36" s="14">
        <v>95.575553055867999</v>
      </c>
      <c r="S36" s="14">
        <f t="shared" si="3"/>
        <v>95.416874539628822</v>
      </c>
      <c r="T36" s="14">
        <f t="shared" si="4"/>
        <v>0.15867851623917772</v>
      </c>
      <c r="U36" s="14">
        <f t="shared" si="5"/>
        <v>2.517887151586699E-2</v>
      </c>
    </row>
    <row r="37" spans="1:25" x14ac:dyDescent="0.35">
      <c r="A37" s="13">
        <v>8</v>
      </c>
      <c r="B37" s="9">
        <v>2019</v>
      </c>
      <c r="C37" s="9">
        <v>4</v>
      </c>
      <c r="D37" s="9" t="s">
        <v>19</v>
      </c>
      <c r="E37" s="9" t="s">
        <v>20</v>
      </c>
      <c r="F37" s="9" t="s">
        <v>19</v>
      </c>
      <c r="G37" s="9" t="s">
        <v>16</v>
      </c>
      <c r="H37" s="9" t="s">
        <v>17</v>
      </c>
      <c r="I37" s="9" t="s">
        <v>18</v>
      </c>
      <c r="J37" s="9">
        <v>2703</v>
      </c>
      <c r="K37" s="9">
        <v>2588</v>
      </c>
      <c r="L37" s="9">
        <v>29.380434782608599</v>
      </c>
      <c r="M37" s="9">
        <v>28.130434782608599</v>
      </c>
      <c r="N37" s="9">
        <v>8</v>
      </c>
      <c r="O37" s="9">
        <v>0</v>
      </c>
      <c r="P37" s="9">
        <v>0</v>
      </c>
      <c r="Q37" s="9">
        <v>0</v>
      </c>
      <c r="R37" s="14">
        <v>95.745467998520098</v>
      </c>
      <c r="S37" s="14">
        <f t="shared" si="3"/>
        <v>96.592211250519327</v>
      </c>
      <c r="T37" s="14">
        <f t="shared" si="4"/>
        <v>-0.84674325199922862</v>
      </c>
      <c r="U37" s="14">
        <f t="shared" si="5"/>
        <v>0.71697413480622918</v>
      </c>
    </row>
    <row r="38" spans="1:25" x14ac:dyDescent="0.35">
      <c r="A38" s="13">
        <v>9</v>
      </c>
      <c r="B38" s="9">
        <v>2021</v>
      </c>
      <c r="C38" s="9">
        <v>1</v>
      </c>
      <c r="D38" s="9" t="s">
        <v>19</v>
      </c>
      <c r="E38" s="9" t="s">
        <v>20</v>
      </c>
      <c r="F38" s="9" t="s">
        <v>19</v>
      </c>
      <c r="G38" s="9" t="s">
        <v>16</v>
      </c>
      <c r="H38" s="9" t="s">
        <v>17</v>
      </c>
      <c r="I38" s="9" t="s">
        <v>18</v>
      </c>
      <c r="J38" s="9">
        <v>2635</v>
      </c>
      <c r="K38" s="9">
        <v>2301</v>
      </c>
      <c r="L38" s="9">
        <v>29.2777777777777</v>
      </c>
      <c r="M38" s="9">
        <v>25.566666666666599</v>
      </c>
      <c r="N38" s="9">
        <v>9</v>
      </c>
      <c r="O38" s="9">
        <v>1</v>
      </c>
      <c r="P38" s="9">
        <v>0</v>
      </c>
      <c r="Q38" s="9">
        <v>0</v>
      </c>
      <c r="R38" s="14">
        <v>87.324478178368096</v>
      </c>
      <c r="S38" s="14">
        <f t="shared" si="3"/>
        <v>91.915742550911887</v>
      </c>
      <c r="T38" s="14">
        <f t="shared" si="4"/>
        <v>-4.5912643725437903</v>
      </c>
      <c r="U38" s="14">
        <f t="shared" si="5"/>
        <v>21.079708538589923</v>
      </c>
    </row>
    <row r="39" spans="1:25" x14ac:dyDescent="0.35">
      <c r="A39" s="13">
        <v>10</v>
      </c>
      <c r="B39" s="9">
        <v>2021</v>
      </c>
      <c r="C39" s="9">
        <v>2</v>
      </c>
      <c r="D39" s="9" t="s">
        <v>19</v>
      </c>
      <c r="E39" s="9" t="s">
        <v>20</v>
      </c>
      <c r="F39" s="9" t="s">
        <v>19</v>
      </c>
      <c r="G39" s="9" t="s">
        <v>16</v>
      </c>
      <c r="H39" s="9" t="s">
        <v>17</v>
      </c>
      <c r="I39" s="9" t="s">
        <v>18</v>
      </c>
      <c r="J39" s="9">
        <v>2471</v>
      </c>
      <c r="K39" s="9">
        <v>2345</v>
      </c>
      <c r="L39" s="9">
        <v>27.1538461538461</v>
      </c>
      <c r="M39" s="9">
        <v>25.769230769230699</v>
      </c>
      <c r="N39" s="9">
        <v>10</v>
      </c>
      <c r="O39" s="9">
        <v>0</v>
      </c>
      <c r="P39" s="9">
        <v>1</v>
      </c>
      <c r="Q39" s="9">
        <v>0</v>
      </c>
      <c r="R39" s="14">
        <v>94.900849858356906</v>
      </c>
      <c r="S39" s="14">
        <f t="shared" si="3"/>
        <v>92.678767032503856</v>
      </c>
      <c r="T39" s="14">
        <f t="shared" si="4"/>
        <v>2.2220828258530503</v>
      </c>
      <c r="U39" s="14">
        <f t="shared" si="5"/>
        <v>4.9376520849510772</v>
      </c>
    </row>
    <row r="40" spans="1:25" x14ac:dyDescent="0.35">
      <c r="A40" s="13">
        <v>11</v>
      </c>
      <c r="B40" s="9">
        <v>2021</v>
      </c>
      <c r="C40" s="9">
        <v>3</v>
      </c>
      <c r="D40" s="9" t="s">
        <v>19</v>
      </c>
      <c r="E40" s="9" t="s">
        <v>20</v>
      </c>
      <c r="F40" s="9" t="s">
        <v>19</v>
      </c>
      <c r="G40" s="9" t="s">
        <v>16</v>
      </c>
      <c r="H40" s="9" t="s">
        <v>17</v>
      </c>
      <c r="I40" s="9" t="s">
        <v>18</v>
      </c>
      <c r="J40" s="9">
        <v>2712</v>
      </c>
      <c r="K40" s="9">
        <v>2603</v>
      </c>
      <c r="L40" s="9">
        <v>29.478260869565201</v>
      </c>
      <c r="M40" s="9">
        <v>28.293478260869499</v>
      </c>
      <c r="N40" s="9">
        <v>11</v>
      </c>
      <c r="O40" s="9">
        <v>0</v>
      </c>
      <c r="P40" s="9">
        <v>0</v>
      </c>
      <c r="Q40" s="9">
        <v>1</v>
      </c>
      <c r="R40" s="14">
        <v>95.980825958701999</v>
      </c>
      <c r="S40" s="14">
        <f t="shared" si="3"/>
        <v>94.622464319515132</v>
      </c>
      <c r="T40" s="14">
        <f t="shared" si="4"/>
        <v>1.3583616391868674</v>
      </c>
      <c r="U40" s="14">
        <f t="shared" si="5"/>
        <v>1.8451463428144332</v>
      </c>
    </row>
    <row r="41" spans="1:25" x14ac:dyDescent="0.35">
      <c r="A41" s="13">
        <v>12</v>
      </c>
      <c r="B41" s="9">
        <v>2021</v>
      </c>
      <c r="C41" s="9">
        <v>4</v>
      </c>
      <c r="D41" s="9" t="s">
        <v>19</v>
      </c>
      <c r="E41" s="9" t="s">
        <v>20</v>
      </c>
      <c r="F41" s="9" t="s">
        <v>19</v>
      </c>
      <c r="G41" s="9" t="s">
        <v>16</v>
      </c>
      <c r="H41" s="9" t="s">
        <v>17</v>
      </c>
      <c r="I41" s="9" t="s">
        <v>18</v>
      </c>
      <c r="J41" s="9">
        <v>2319</v>
      </c>
      <c r="K41" s="9">
        <v>2264</v>
      </c>
      <c r="L41" s="9">
        <v>25.206521739130402</v>
      </c>
      <c r="M41" s="9">
        <v>24.6086956521739</v>
      </c>
      <c r="N41" s="9">
        <v>12</v>
      </c>
      <c r="O41" s="9">
        <v>0</v>
      </c>
      <c r="P41" s="9">
        <v>0</v>
      </c>
      <c r="Q41" s="9">
        <v>0</v>
      </c>
      <c r="R41" s="14">
        <v>97.628288055196194</v>
      </c>
      <c r="S41" s="14">
        <f t="shared" si="3"/>
        <v>95.797801030405623</v>
      </c>
      <c r="T41" s="14">
        <f t="shared" si="4"/>
        <v>1.8304870247905711</v>
      </c>
      <c r="U41" s="14">
        <f t="shared" si="5"/>
        <v>3.350682747926637</v>
      </c>
    </row>
    <row r="42" spans="1:25" x14ac:dyDescent="0.35">
      <c r="A42" s="13">
        <v>13</v>
      </c>
      <c r="B42" s="9">
        <v>2022</v>
      </c>
      <c r="C42" s="9">
        <v>1</v>
      </c>
      <c r="D42" s="9" t="s">
        <v>19</v>
      </c>
      <c r="E42" s="9" t="s">
        <v>20</v>
      </c>
      <c r="F42" s="9"/>
      <c r="G42" s="9"/>
      <c r="H42" s="9"/>
      <c r="I42" s="9"/>
      <c r="J42" s="9"/>
      <c r="K42" s="9"/>
      <c r="L42" s="9"/>
      <c r="M42" s="9"/>
      <c r="N42" s="9">
        <v>13</v>
      </c>
      <c r="O42" s="9">
        <v>1</v>
      </c>
      <c r="P42" s="9">
        <v>0</v>
      </c>
      <c r="Q42" s="9">
        <v>0</v>
      </c>
      <c r="R42" s="9"/>
      <c r="S42" s="14">
        <f t="shared" si="3"/>
        <v>91.121332330798182</v>
      </c>
      <c r="T42" s="9"/>
      <c r="U42" s="9"/>
    </row>
    <row r="43" spans="1:25" x14ac:dyDescent="0.35">
      <c r="A43" s="13">
        <v>14</v>
      </c>
      <c r="B43" s="9">
        <v>2022</v>
      </c>
      <c r="C43" s="9">
        <v>2</v>
      </c>
      <c r="D43" s="9" t="s">
        <v>19</v>
      </c>
      <c r="E43" s="9" t="s">
        <v>20</v>
      </c>
      <c r="F43" s="9"/>
      <c r="G43" s="9"/>
      <c r="H43" s="9"/>
      <c r="I43" s="9"/>
      <c r="J43" s="9"/>
      <c r="K43" s="9"/>
      <c r="L43" s="9"/>
      <c r="M43" s="9"/>
      <c r="N43" s="9">
        <v>14</v>
      </c>
      <c r="O43" s="9">
        <v>0</v>
      </c>
      <c r="P43" s="9">
        <v>1</v>
      </c>
      <c r="Q43" s="9">
        <v>0</v>
      </c>
      <c r="R43" s="9"/>
      <c r="S43" s="14">
        <f t="shared" si="3"/>
        <v>91.884356812390166</v>
      </c>
      <c r="T43" s="9"/>
      <c r="U43" s="9"/>
    </row>
    <row r="44" spans="1:25" x14ac:dyDescent="0.35">
      <c r="A44" s="13">
        <v>15</v>
      </c>
      <c r="B44" s="9">
        <v>2022</v>
      </c>
      <c r="C44" s="9">
        <v>3</v>
      </c>
      <c r="D44" s="9" t="s">
        <v>19</v>
      </c>
      <c r="E44" s="9" t="s">
        <v>20</v>
      </c>
      <c r="F44" s="9"/>
      <c r="G44" s="9"/>
      <c r="H44" s="9"/>
      <c r="I44" s="9"/>
      <c r="J44" s="9"/>
      <c r="K44" s="9"/>
      <c r="L44" s="9"/>
      <c r="M44" s="9"/>
      <c r="N44" s="9">
        <v>15</v>
      </c>
      <c r="O44" s="9">
        <v>0</v>
      </c>
      <c r="P44" s="9">
        <v>0</v>
      </c>
      <c r="Q44" s="9">
        <v>1</v>
      </c>
      <c r="R44" s="9"/>
      <c r="S44" s="14">
        <f t="shared" si="3"/>
        <v>93.828054099401427</v>
      </c>
      <c r="T44" s="9"/>
      <c r="U44" s="9"/>
    </row>
    <row r="45" spans="1:25" x14ac:dyDescent="0.35">
      <c r="A45" s="13">
        <v>16</v>
      </c>
      <c r="B45" s="9">
        <v>2022</v>
      </c>
      <c r="C45" s="9">
        <v>4</v>
      </c>
      <c r="D45" s="9" t="s">
        <v>19</v>
      </c>
      <c r="E45" s="9" t="s">
        <v>20</v>
      </c>
      <c r="F45" s="9"/>
      <c r="G45" s="9"/>
      <c r="H45" s="9"/>
      <c r="I45" s="9"/>
      <c r="J45" s="9"/>
      <c r="K45" s="9"/>
      <c r="L45" s="9"/>
      <c r="M45" s="9"/>
      <c r="N45" s="9">
        <v>16</v>
      </c>
      <c r="O45" s="9">
        <v>0</v>
      </c>
      <c r="P45" s="9">
        <v>0</v>
      </c>
      <c r="Q45" s="9">
        <v>0</v>
      </c>
      <c r="R45" s="9"/>
      <c r="S45" s="14">
        <f t="shared" si="3"/>
        <v>95.003390810291933</v>
      </c>
      <c r="T45" s="9"/>
      <c r="U45" s="9"/>
    </row>
    <row r="46" spans="1:25" ht="15" thickBot="1" x14ac:dyDescent="0.4"/>
    <row r="47" spans="1:25" x14ac:dyDescent="0.35">
      <c r="U47" s="10"/>
      <c r="V47" s="10" t="s">
        <v>45</v>
      </c>
    </row>
    <row r="48" spans="1:25" x14ac:dyDescent="0.35">
      <c r="U48" s="11" t="s">
        <v>39</v>
      </c>
      <c r="V48" s="11">
        <v>98.181031690746721</v>
      </c>
    </row>
    <row r="49" spans="1:22" x14ac:dyDescent="0.35">
      <c r="U49" s="11" t="s">
        <v>52</v>
      </c>
      <c r="V49" s="11">
        <v>-0.19860255502842469</v>
      </c>
    </row>
    <row r="50" spans="1:22" x14ac:dyDescent="0.35">
      <c r="U50" s="11" t="s">
        <v>60</v>
      </c>
      <c r="V50" s="11">
        <v>-4.4778661445790089</v>
      </c>
    </row>
    <row r="51" spans="1:22" x14ac:dyDescent="0.35">
      <c r="U51" s="11" t="s">
        <v>61</v>
      </c>
      <c r="V51" s="11">
        <v>-3.5162391079586151</v>
      </c>
    </row>
    <row r="52" spans="1:22" ht="15" thickBot="1" x14ac:dyDescent="0.4">
      <c r="U52" s="12" t="s">
        <v>62</v>
      </c>
      <c r="V52" s="12">
        <v>-1.3739392659189256</v>
      </c>
    </row>
    <row r="56" spans="1:22" ht="18.5" x14ac:dyDescent="0.45">
      <c r="A56" s="2" t="s">
        <v>69</v>
      </c>
      <c r="N56" t="s">
        <v>63</v>
      </c>
      <c r="O56">
        <v>0.8</v>
      </c>
    </row>
    <row r="59" spans="1:22" x14ac:dyDescent="0.35">
      <c r="A59" s="13" t="s">
        <v>0</v>
      </c>
      <c r="B59" s="8" t="s">
        <v>1</v>
      </c>
      <c r="C59" s="8" t="s">
        <v>2</v>
      </c>
      <c r="D59" s="8" t="s">
        <v>3</v>
      </c>
      <c r="E59" s="8" t="s">
        <v>4</v>
      </c>
      <c r="F59" s="8" t="s">
        <v>5</v>
      </c>
      <c r="G59" s="8" t="s">
        <v>6</v>
      </c>
      <c r="H59" s="8" t="s">
        <v>7</v>
      </c>
      <c r="I59" s="8" t="s">
        <v>8</v>
      </c>
      <c r="J59" s="8" t="s">
        <v>9</v>
      </c>
      <c r="K59" s="8" t="s">
        <v>10</v>
      </c>
      <c r="L59" s="8" t="s">
        <v>11</v>
      </c>
      <c r="M59" s="8" t="s">
        <v>12</v>
      </c>
      <c r="N59" s="8" t="s">
        <v>13</v>
      </c>
      <c r="O59" s="8" t="s">
        <v>53</v>
      </c>
      <c r="P59" s="8" t="s">
        <v>54</v>
      </c>
      <c r="Q59" s="8" t="s">
        <v>55</v>
      </c>
    </row>
    <row r="60" spans="1:22" x14ac:dyDescent="0.35">
      <c r="A60" s="13">
        <v>1</v>
      </c>
      <c r="B60" s="9">
        <v>2018</v>
      </c>
      <c r="C60" s="9">
        <v>1</v>
      </c>
      <c r="D60" s="9" t="s">
        <v>19</v>
      </c>
      <c r="E60" s="9" t="s">
        <v>20</v>
      </c>
      <c r="F60" s="9" t="s">
        <v>19</v>
      </c>
      <c r="G60" s="9" t="s">
        <v>16</v>
      </c>
      <c r="H60" s="9" t="s">
        <v>17</v>
      </c>
      <c r="I60" s="9" t="s">
        <v>18</v>
      </c>
      <c r="J60" s="9">
        <v>1957</v>
      </c>
      <c r="K60" s="9">
        <v>1889</v>
      </c>
      <c r="L60" s="9">
        <v>21.744444444444401</v>
      </c>
      <c r="M60" s="9">
        <v>20.988888888888798</v>
      </c>
      <c r="N60" s="14">
        <v>96.525293817066895</v>
      </c>
    </row>
    <row r="61" spans="1:22" x14ac:dyDescent="0.35">
      <c r="A61" s="13">
        <v>2</v>
      </c>
      <c r="B61" s="9">
        <v>2018</v>
      </c>
      <c r="C61" s="9">
        <v>2</v>
      </c>
      <c r="D61" s="9" t="s">
        <v>19</v>
      </c>
      <c r="E61" s="9" t="s">
        <v>20</v>
      </c>
      <c r="F61" s="9" t="s">
        <v>19</v>
      </c>
      <c r="G61" s="9" t="s">
        <v>16</v>
      </c>
      <c r="H61" s="9" t="s">
        <v>17</v>
      </c>
      <c r="I61" s="9" t="s">
        <v>18</v>
      </c>
      <c r="J61" s="9">
        <v>2080</v>
      </c>
      <c r="K61" s="9">
        <v>1967</v>
      </c>
      <c r="L61" s="9">
        <v>22.857142857142801</v>
      </c>
      <c r="M61" s="9">
        <v>21.615384615384599</v>
      </c>
      <c r="N61" s="14">
        <v>94.567307692307693</v>
      </c>
      <c r="O61" s="6">
        <f>N60</f>
        <v>96.525293817066895</v>
      </c>
      <c r="P61" s="6">
        <f>N61-O61</f>
        <v>-1.9579861247592021</v>
      </c>
      <c r="Q61" s="6">
        <f>P61*P61</f>
        <v>3.8337096647495579</v>
      </c>
    </row>
    <row r="62" spans="1:22" x14ac:dyDescent="0.35">
      <c r="A62" s="13">
        <v>3</v>
      </c>
      <c r="B62" s="9">
        <v>2018</v>
      </c>
      <c r="C62" s="9">
        <v>3</v>
      </c>
      <c r="D62" s="9" t="s">
        <v>19</v>
      </c>
      <c r="E62" s="9" t="s">
        <v>20</v>
      </c>
      <c r="F62" s="9" t="s">
        <v>19</v>
      </c>
      <c r="G62" s="9" t="s">
        <v>16</v>
      </c>
      <c r="H62" s="9" t="s">
        <v>17</v>
      </c>
      <c r="I62" s="9" t="s">
        <v>18</v>
      </c>
      <c r="J62" s="9">
        <v>2224</v>
      </c>
      <c r="K62" s="9">
        <v>2106</v>
      </c>
      <c r="L62" s="9">
        <v>24.173913043478201</v>
      </c>
      <c r="M62" s="9">
        <v>22.891304347826001</v>
      </c>
      <c r="N62" s="14">
        <v>94.694244604316495</v>
      </c>
      <c r="O62" s="6">
        <f>$O$56*N61+(1-$O$56)*O61</f>
        <v>94.958904917259531</v>
      </c>
      <c r="P62" s="6">
        <f t="shared" ref="P62:P71" si="6">N62-O62</f>
        <v>-0.26466031294303605</v>
      </c>
      <c r="Q62" s="6">
        <f t="shared" ref="Q62:Q71" si="7">P62*P62</f>
        <v>7.0045081247105775E-2</v>
      </c>
    </row>
    <row r="63" spans="1:22" x14ac:dyDescent="0.35">
      <c r="A63" s="13">
        <v>4</v>
      </c>
      <c r="B63" s="9">
        <v>2018</v>
      </c>
      <c r="C63" s="9">
        <v>4</v>
      </c>
      <c r="D63" s="9" t="s">
        <v>19</v>
      </c>
      <c r="E63" s="9" t="s">
        <v>20</v>
      </c>
      <c r="F63" s="9" t="s">
        <v>19</v>
      </c>
      <c r="G63" s="9" t="s">
        <v>16</v>
      </c>
      <c r="H63" s="9" t="s">
        <v>17</v>
      </c>
      <c r="I63" s="9" t="s">
        <v>18</v>
      </c>
      <c r="J63" s="9">
        <v>2641</v>
      </c>
      <c r="K63" s="9">
        <v>2546</v>
      </c>
      <c r="L63" s="9">
        <v>28.706521739130402</v>
      </c>
      <c r="M63" s="9">
        <v>27.673913043478201</v>
      </c>
      <c r="N63" s="14">
        <v>96.402877697841703</v>
      </c>
      <c r="O63" s="6">
        <f t="shared" ref="O63:O71" si="8">$O$56*N62+(1-$O$56)*O62</f>
        <v>94.747176666905105</v>
      </c>
      <c r="P63" s="6">
        <f t="shared" si="6"/>
        <v>1.6557010309365978</v>
      </c>
      <c r="Q63" s="6">
        <f t="shared" si="7"/>
        <v>2.7413459038445129</v>
      </c>
    </row>
    <row r="64" spans="1:22" x14ac:dyDescent="0.35">
      <c r="A64" s="13">
        <v>5</v>
      </c>
      <c r="B64" s="9">
        <v>2019</v>
      </c>
      <c r="C64" s="9">
        <v>1</v>
      </c>
      <c r="D64" s="9" t="s">
        <v>19</v>
      </c>
      <c r="E64" s="9" t="s">
        <v>20</v>
      </c>
      <c r="F64" s="9" t="s">
        <v>19</v>
      </c>
      <c r="G64" s="9" t="s">
        <v>16</v>
      </c>
      <c r="H64" s="9" t="s">
        <v>17</v>
      </c>
      <c r="I64" s="9" t="s">
        <v>18</v>
      </c>
      <c r="J64" s="9">
        <v>2273</v>
      </c>
      <c r="K64" s="9">
        <v>2143</v>
      </c>
      <c r="L64" s="9">
        <v>25.2555555555555</v>
      </c>
      <c r="M64" s="9">
        <v>23.811111111111099</v>
      </c>
      <c r="N64" s="14">
        <v>94.280686317641795</v>
      </c>
      <c r="O64" s="6">
        <f t="shared" si="8"/>
        <v>96.071737491654389</v>
      </c>
      <c r="P64" s="6">
        <f t="shared" si="6"/>
        <v>-1.7910511740125941</v>
      </c>
      <c r="Q64" s="6">
        <f t="shared" si="7"/>
        <v>3.2078643079318914</v>
      </c>
    </row>
    <row r="65" spans="1:21" x14ac:dyDescent="0.35">
      <c r="A65" s="13">
        <v>6</v>
      </c>
      <c r="B65" s="9">
        <v>2019</v>
      </c>
      <c r="C65" s="9">
        <v>2</v>
      </c>
      <c r="D65" s="9" t="s">
        <v>19</v>
      </c>
      <c r="E65" s="9" t="s">
        <v>20</v>
      </c>
      <c r="F65" s="9" t="s">
        <v>19</v>
      </c>
      <c r="G65" s="9" t="s">
        <v>16</v>
      </c>
      <c r="H65" s="9" t="s">
        <v>17</v>
      </c>
      <c r="I65" s="9" t="s">
        <v>18</v>
      </c>
      <c r="J65" s="9">
        <v>2365</v>
      </c>
      <c r="K65" s="9">
        <v>2151</v>
      </c>
      <c r="L65" s="9">
        <v>25.9890109890109</v>
      </c>
      <c r="M65" s="9">
        <v>23.6373626373626</v>
      </c>
      <c r="N65" s="14">
        <v>90.951374207188096</v>
      </c>
      <c r="O65" s="6">
        <f t="shared" si="8"/>
        <v>94.638896552444322</v>
      </c>
      <c r="P65" s="6">
        <f t="shared" si="6"/>
        <v>-3.6875223452562267</v>
      </c>
      <c r="Q65" s="6">
        <f t="shared" si="7"/>
        <v>13.597821046763983</v>
      </c>
    </row>
    <row r="66" spans="1:21" x14ac:dyDescent="0.35">
      <c r="A66" s="13">
        <v>7</v>
      </c>
      <c r="B66" s="9">
        <v>2019</v>
      </c>
      <c r="C66" s="9">
        <v>3</v>
      </c>
      <c r="D66" s="9" t="s">
        <v>19</v>
      </c>
      <c r="E66" s="9" t="s">
        <v>20</v>
      </c>
      <c r="F66" s="9" t="s">
        <v>19</v>
      </c>
      <c r="G66" s="9" t="s">
        <v>16</v>
      </c>
      <c r="H66" s="9" t="s">
        <v>17</v>
      </c>
      <c r="I66" s="9" t="s">
        <v>18</v>
      </c>
      <c r="J66" s="9">
        <v>2667</v>
      </c>
      <c r="K66" s="9">
        <v>2549</v>
      </c>
      <c r="L66" s="9">
        <v>28.989130434782599</v>
      </c>
      <c r="M66" s="9">
        <v>27.706521739130402</v>
      </c>
      <c r="N66" s="14">
        <v>95.575553055867999</v>
      </c>
      <c r="O66" s="6">
        <f t="shared" si="8"/>
        <v>91.688878676239341</v>
      </c>
      <c r="P66" s="6">
        <f t="shared" si="6"/>
        <v>3.8866743796286585</v>
      </c>
      <c r="Q66" s="6">
        <f t="shared" si="7"/>
        <v>15.106237733261818</v>
      </c>
      <c r="T66" s="11"/>
      <c r="U66" s="11" t="s">
        <v>68</v>
      </c>
    </row>
    <row r="67" spans="1:21" x14ac:dyDescent="0.35">
      <c r="A67" s="13">
        <v>8</v>
      </c>
      <c r="B67" s="9">
        <v>2019</v>
      </c>
      <c r="C67" s="9">
        <v>4</v>
      </c>
      <c r="D67" s="9" t="s">
        <v>19</v>
      </c>
      <c r="E67" s="9" t="s">
        <v>20</v>
      </c>
      <c r="F67" s="9" t="s">
        <v>19</v>
      </c>
      <c r="G67" s="9" t="s">
        <v>16</v>
      </c>
      <c r="H67" s="9" t="s">
        <v>17</v>
      </c>
      <c r="I67" s="9" t="s">
        <v>18</v>
      </c>
      <c r="J67" s="9">
        <v>2703</v>
      </c>
      <c r="K67" s="9">
        <v>2588</v>
      </c>
      <c r="L67" s="9">
        <v>29.380434782608599</v>
      </c>
      <c r="M67" s="9">
        <v>28.130434782608599</v>
      </c>
      <c r="N67" s="14">
        <v>95.745467998520098</v>
      </c>
      <c r="O67" s="6">
        <f t="shared" si="8"/>
        <v>94.798218179942268</v>
      </c>
      <c r="P67" s="6">
        <f t="shared" si="6"/>
        <v>0.94724981857783064</v>
      </c>
      <c r="Q67" s="6">
        <f t="shared" si="7"/>
        <v>0.89728221879573311</v>
      </c>
      <c r="T67" s="11" t="s">
        <v>56</v>
      </c>
      <c r="U67" s="15">
        <f>AVERAGE(Q61:Q71)</f>
        <v>13.811426114041787</v>
      </c>
    </row>
    <row r="68" spans="1:21" x14ac:dyDescent="0.35">
      <c r="A68" s="13">
        <v>9</v>
      </c>
      <c r="B68" s="9">
        <v>2021</v>
      </c>
      <c r="C68" s="9">
        <v>1</v>
      </c>
      <c r="D68" s="9" t="s">
        <v>19</v>
      </c>
      <c r="E68" s="9" t="s">
        <v>20</v>
      </c>
      <c r="F68" s="9" t="s">
        <v>19</v>
      </c>
      <c r="G68" s="9" t="s">
        <v>16</v>
      </c>
      <c r="H68" s="9" t="s">
        <v>17</v>
      </c>
      <c r="I68" s="9" t="s">
        <v>18</v>
      </c>
      <c r="J68" s="9">
        <v>2635</v>
      </c>
      <c r="K68" s="9">
        <v>2301</v>
      </c>
      <c r="L68" s="9">
        <v>29.2777777777777</v>
      </c>
      <c r="M68" s="9">
        <v>25.566666666666599</v>
      </c>
      <c r="N68" s="14">
        <v>87.324478178368096</v>
      </c>
      <c r="O68" s="6">
        <f t="shared" si="8"/>
        <v>95.556018034804538</v>
      </c>
      <c r="P68" s="6">
        <f t="shared" si="6"/>
        <v>-8.2315398564364415</v>
      </c>
      <c r="Q68" s="6">
        <f t="shared" si="7"/>
        <v>67.758248408101679</v>
      </c>
    </row>
    <row r="69" spans="1:21" x14ac:dyDescent="0.35">
      <c r="A69" s="13">
        <v>10</v>
      </c>
      <c r="B69" s="9">
        <v>2021</v>
      </c>
      <c r="C69" s="9">
        <v>2</v>
      </c>
      <c r="D69" s="9" t="s">
        <v>19</v>
      </c>
      <c r="E69" s="9" t="s">
        <v>20</v>
      </c>
      <c r="F69" s="9" t="s">
        <v>19</v>
      </c>
      <c r="G69" s="9" t="s">
        <v>16</v>
      </c>
      <c r="H69" s="9" t="s">
        <v>17</v>
      </c>
      <c r="I69" s="9" t="s">
        <v>18</v>
      </c>
      <c r="J69" s="9">
        <v>2471</v>
      </c>
      <c r="K69" s="9">
        <v>2345</v>
      </c>
      <c r="L69" s="9">
        <v>27.1538461538461</v>
      </c>
      <c r="M69" s="9">
        <v>25.769230769230699</v>
      </c>
      <c r="N69" s="14">
        <v>94.900849858356906</v>
      </c>
      <c r="O69" s="6">
        <f t="shared" si="8"/>
        <v>88.970786149655382</v>
      </c>
      <c r="P69" s="6">
        <f t="shared" si="6"/>
        <v>5.9300637087015247</v>
      </c>
      <c r="Q69" s="6">
        <f t="shared" si="7"/>
        <v>35.165655589258883</v>
      </c>
      <c r="T69" s="11" t="s">
        <v>64</v>
      </c>
      <c r="U69" s="11" t="s">
        <v>56</v>
      </c>
    </row>
    <row r="70" spans="1:21" x14ac:dyDescent="0.35">
      <c r="A70" s="13">
        <v>11</v>
      </c>
      <c r="B70" s="9">
        <v>2021</v>
      </c>
      <c r="C70" s="9">
        <v>3</v>
      </c>
      <c r="D70" s="9" t="s">
        <v>19</v>
      </c>
      <c r="E70" s="9" t="s">
        <v>20</v>
      </c>
      <c r="F70" s="9" t="s">
        <v>19</v>
      </c>
      <c r="G70" s="9" t="s">
        <v>16</v>
      </c>
      <c r="H70" s="9" t="s">
        <v>17</v>
      </c>
      <c r="I70" s="9" t="s">
        <v>18</v>
      </c>
      <c r="J70" s="9">
        <v>2712</v>
      </c>
      <c r="K70" s="9">
        <v>2603</v>
      </c>
      <c r="L70" s="9">
        <v>29.478260869565201</v>
      </c>
      <c r="M70" s="9">
        <v>28.293478260869499</v>
      </c>
      <c r="N70" s="14">
        <v>95.980825958701999</v>
      </c>
      <c r="O70" s="6">
        <f t="shared" si="8"/>
        <v>93.714837116616607</v>
      </c>
      <c r="P70" s="6">
        <f t="shared" si="6"/>
        <v>2.2659888420853918</v>
      </c>
      <c r="Q70" s="6">
        <f t="shared" si="7"/>
        <v>5.1347054324554948</v>
      </c>
      <c r="T70" s="11">
        <v>0.1</v>
      </c>
      <c r="U70" s="11">
        <v>10.210000000000001</v>
      </c>
    </row>
    <row r="71" spans="1:21" x14ac:dyDescent="0.35">
      <c r="A71" s="13">
        <v>12</v>
      </c>
      <c r="B71" s="9">
        <v>2021</v>
      </c>
      <c r="C71" s="9">
        <v>4</v>
      </c>
      <c r="D71" s="9" t="s">
        <v>19</v>
      </c>
      <c r="E71" s="9" t="s">
        <v>20</v>
      </c>
      <c r="F71" s="9" t="s">
        <v>19</v>
      </c>
      <c r="G71" s="9" t="s">
        <v>16</v>
      </c>
      <c r="H71" s="9" t="s">
        <v>17</v>
      </c>
      <c r="I71" s="9" t="s">
        <v>18</v>
      </c>
      <c r="J71" s="9">
        <v>2319</v>
      </c>
      <c r="K71" s="9">
        <v>2264</v>
      </c>
      <c r="L71" s="9">
        <v>25.206521739130402</v>
      </c>
      <c r="M71" s="9">
        <v>24.6086956521739</v>
      </c>
      <c r="N71" s="14">
        <v>97.628288055196194</v>
      </c>
      <c r="O71" s="6">
        <f t="shared" si="8"/>
        <v>95.527628190284929</v>
      </c>
      <c r="P71" s="6">
        <f t="shared" si="6"/>
        <v>2.1006598649112647</v>
      </c>
      <c r="Q71" s="6">
        <f t="shared" si="7"/>
        <v>4.4127718680490124</v>
      </c>
      <c r="T71" s="11">
        <v>0.2</v>
      </c>
      <c r="U71" s="11">
        <v>10.039999999999999</v>
      </c>
    </row>
    <row r="72" spans="1:21" x14ac:dyDescent="0.35">
      <c r="A72" s="13">
        <v>13</v>
      </c>
      <c r="B72" s="9">
        <v>2022</v>
      </c>
      <c r="C72" s="9">
        <v>1</v>
      </c>
      <c r="D72" s="9" t="s">
        <v>19</v>
      </c>
      <c r="E72" s="9" t="s">
        <v>20</v>
      </c>
      <c r="F72" s="9"/>
      <c r="G72" s="9"/>
      <c r="H72" s="9"/>
      <c r="I72" s="9"/>
      <c r="J72" s="9"/>
      <c r="K72" s="9"/>
      <c r="L72" s="9"/>
      <c r="M72" s="9"/>
      <c r="N72" s="9"/>
      <c r="O72" s="6">
        <f>$O$56*N71+(1-$O$56)*O71</f>
        <v>97.208156082213947</v>
      </c>
      <c r="T72" s="11">
        <v>0.4</v>
      </c>
      <c r="U72" s="11">
        <v>10.8</v>
      </c>
    </row>
    <row r="73" spans="1:21" x14ac:dyDescent="0.35">
      <c r="T73" s="11">
        <v>0.6</v>
      </c>
      <c r="U73" s="11">
        <v>12.08</v>
      </c>
    </row>
    <row r="74" spans="1:21" x14ac:dyDescent="0.35">
      <c r="T74" s="11">
        <v>0.8</v>
      </c>
      <c r="U74" s="11">
        <v>13.81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754B6-7F6A-4672-94E2-AC9EB017AF4C}">
  <dimension ref="A1:I18"/>
  <sheetViews>
    <sheetView workbookViewId="0">
      <selection activeCell="A16" sqref="A16:B18"/>
    </sheetView>
  </sheetViews>
  <sheetFormatPr defaultRowHeight="14.5" x14ac:dyDescent="0.35"/>
  <sheetData>
    <row r="1" spans="1:9" x14ac:dyDescent="0.35">
      <c r="A1" t="s">
        <v>28</v>
      </c>
    </row>
    <row r="2" spans="1:9" ht="15" thickBot="1" x14ac:dyDescent="0.4"/>
    <row r="3" spans="1:9" x14ac:dyDescent="0.35">
      <c r="A3" s="5" t="s">
        <v>29</v>
      </c>
      <c r="B3" s="5"/>
    </row>
    <row r="4" spans="1:9" x14ac:dyDescent="0.35">
      <c r="A4" t="s">
        <v>30</v>
      </c>
      <c r="B4">
        <v>4.5227303629981869E-2</v>
      </c>
    </row>
    <row r="5" spans="1:9" x14ac:dyDescent="0.35">
      <c r="A5" t="s">
        <v>31</v>
      </c>
      <c r="B5">
        <v>2.0455089936385713E-3</v>
      </c>
    </row>
    <row r="6" spans="1:9" x14ac:dyDescent="0.35">
      <c r="A6" t="s">
        <v>32</v>
      </c>
      <c r="B6">
        <v>-9.7749940106997571E-2</v>
      </c>
    </row>
    <row r="7" spans="1:9" x14ac:dyDescent="0.35">
      <c r="A7" t="s">
        <v>33</v>
      </c>
      <c r="B7">
        <v>2.9417095707817378</v>
      </c>
    </row>
    <row r="8" spans="1:9" ht="15" thickBot="1" x14ac:dyDescent="0.4">
      <c r="A8" s="3" t="s">
        <v>34</v>
      </c>
      <c r="B8" s="3">
        <v>12</v>
      </c>
    </row>
    <row r="10" spans="1:9" ht="15" thickBot="1" x14ac:dyDescent="0.4">
      <c r="A10" t="s">
        <v>35</v>
      </c>
    </row>
    <row r="11" spans="1:9" x14ac:dyDescent="0.35">
      <c r="A11" s="4"/>
      <c r="B11" s="4" t="s">
        <v>40</v>
      </c>
      <c r="C11" s="4" t="s">
        <v>41</v>
      </c>
      <c r="D11" s="4" t="s">
        <v>42</v>
      </c>
      <c r="E11" s="4" t="s">
        <v>43</v>
      </c>
      <c r="F11" s="4" t="s">
        <v>44</v>
      </c>
    </row>
    <row r="12" spans="1:9" x14ac:dyDescent="0.35">
      <c r="A12" t="s">
        <v>36</v>
      </c>
      <c r="B12">
        <v>1</v>
      </c>
      <c r="C12">
        <v>0.17737411571945927</v>
      </c>
      <c r="D12">
        <v>0.17737411571945927</v>
      </c>
      <c r="E12">
        <v>2.0497016768528498E-2</v>
      </c>
      <c r="F12">
        <v>0.88900143198984749</v>
      </c>
    </row>
    <row r="13" spans="1:9" x14ac:dyDescent="0.35">
      <c r="A13" t="s">
        <v>37</v>
      </c>
      <c r="B13">
        <v>10</v>
      </c>
      <c r="C13">
        <v>86.53655198828875</v>
      </c>
      <c r="D13">
        <v>8.6536551988288757</v>
      </c>
    </row>
    <row r="14" spans="1:9" ht="15" thickBot="1" x14ac:dyDescent="0.4">
      <c r="A14" s="3" t="s">
        <v>38</v>
      </c>
      <c r="B14" s="3">
        <v>11</v>
      </c>
      <c r="C14" s="3">
        <v>86.713926104008209</v>
      </c>
      <c r="D14" s="3"/>
      <c r="E14" s="3"/>
      <c r="F14" s="3"/>
    </row>
    <row r="15" spans="1:9" ht="15" thickBot="1" x14ac:dyDescent="0.4"/>
    <row r="16" spans="1:9" x14ac:dyDescent="0.35">
      <c r="A16" s="4"/>
      <c r="B16" s="4" t="s">
        <v>45</v>
      </c>
      <c r="C16" s="4" t="s">
        <v>33</v>
      </c>
      <c r="D16" s="4" t="s">
        <v>46</v>
      </c>
      <c r="E16" s="4" t="s">
        <v>47</v>
      </c>
      <c r="F16" s="4" t="s">
        <v>48</v>
      </c>
      <c r="G16" s="4" t="s">
        <v>49</v>
      </c>
      <c r="H16" s="4" t="s">
        <v>50</v>
      </c>
      <c r="I16" s="4" t="s">
        <v>51</v>
      </c>
    </row>
    <row r="17" spans="1:9" x14ac:dyDescent="0.35">
      <c r="A17" t="s">
        <v>39</v>
      </c>
      <c r="B17">
        <v>94.777027496875078</v>
      </c>
      <c r="C17">
        <v>1.8104970854784854</v>
      </c>
      <c r="D17">
        <v>52.348621965236156</v>
      </c>
      <c r="E17">
        <v>1.5660205432970772E-13</v>
      </c>
      <c r="F17">
        <v>90.742988599312554</v>
      </c>
      <c r="G17">
        <v>98.811066394437603</v>
      </c>
      <c r="H17">
        <v>90.742988599312554</v>
      </c>
      <c r="I17">
        <v>98.811066394437603</v>
      </c>
    </row>
    <row r="18" spans="1:9" ht="15" thickBot="1" x14ac:dyDescent="0.4">
      <c r="A18" s="3" t="s">
        <v>52</v>
      </c>
      <c r="B18" s="3">
        <v>-3.5219006681116466E-2</v>
      </c>
      <c r="C18" s="3">
        <v>0.24599811243276168</v>
      </c>
      <c r="D18" s="3">
        <v>-0.143167792357524</v>
      </c>
      <c r="E18" s="3">
        <v>0.88900143198985115</v>
      </c>
      <c r="F18" s="3">
        <v>-0.58333695850784051</v>
      </c>
      <c r="G18" s="3">
        <v>0.51289894514560763</v>
      </c>
      <c r="H18" s="3">
        <v>-0.58333695850784051</v>
      </c>
      <c r="I18" s="3">
        <v>0.51289894514560763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044E2-54D2-4E13-A05E-F1C2DAA63C04}">
  <dimension ref="A1:I21"/>
  <sheetViews>
    <sheetView topLeftCell="A7" workbookViewId="0">
      <selection activeCell="A16" sqref="A16:B21"/>
    </sheetView>
  </sheetViews>
  <sheetFormatPr defaultRowHeight="14.5" x14ac:dyDescent="0.35"/>
  <sheetData>
    <row r="1" spans="1:9" x14ac:dyDescent="0.35">
      <c r="A1" t="s">
        <v>28</v>
      </c>
    </row>
    <row r="2" spans="1:9" ht="15" thickBot="1" x14ac:dyDescent="0.4"/>
    <row r="3" spans="1:9" x14ac:dyDescent="0.35">
      <c r="A3" s="5" t="s">
        <v>29</v>
      </c>
      <c r="B3" s="5"/>
    </row>
    <row r="4" spans="1:9" x14ac:dyDescent="0.35">
      <c r="A4" t="s">
        <v>30</v>
      </c>
      <c r="B4">
        <v>0.62107671308305845</v>
      </c>
    </row>
    <row r="5" spans="1:9" x14ac:dyDescent="0.35">
      <c r="A5" t="s">
        <v>31</v>
      </c>
      <c r="B5">
        <v>0.38573628353405576</v>
      </c>
    </row>
    <row r="6" spans="1:9" x14ac:dyDescent="0.35">
      <c r="A6" t="s">
        <v>32</v>
      </c>
      <c r="B6">
        <v>3.4728445553516174E-2</v>
      </c>
    </row>
    <row r="7" spans="1:9" x14ac:dyDescent="0.35">
      <c r="A7" t="s">
        <v>33</v>
      </c>
      <c r="B7">
        <v>2.7584990359148303</v>
      </c>
    </row>
    <row r="8" spans="1:9" ht="15" thickBot="1" x14ac:dyDescent="0.4">
      <c r="A8" s="3" t="s">
        <v>34</v>
      </c>
      <c r="B8" s="3">
        <v>12</v>
      </c>
    </row>
    <row r="10" spans="1:9" ht="15" thickBot="1" x14ac:dyDescent="0.4">
      <c r="A10" t="s">
        <v>35</v>
      </c>
    </row>
    <row r="11" spans="1:9" x14ac:dyDescent="0.35">
      <c r="A11" s="4"/>
      <c r="B11" s="4" t="s">
        <v>40</v>
      </c>
      <c r="C11" s="4" t="s">
        <v>41</v>
      </c>
      <c r="D11" s="4" t="s">
        <v>42</v>
      </c>
      <c r="E11" s="4" t="s">
        <v>43</v>
      </c>
      <c r="F11" s="4" t="s">
        <v>44</v>
      </c>
    </row>
    <row r="12" spans="1:9" x14ac:dyDescent="0.35">
      <c r="A12" t="s">
        <v>36</v>
      </c>
      <c r="B12">
        <v>4</v>
      </c>
      <c r="C12">
        <v>33.448707586006869</v>
      </c>
      <c r="D12">
        <v>8.3621768965017171</v>
      </c>
      <c r="E12">
        <v>1.0989392309679467</v>
      </c>
      <c r="F12">
        <v>0.42689799128799921</v>
      </c>
    </row>
    <row r="13" spans="1:9" x14ac:dyDescent="0.35">
      <c r="A13" t="s">
        <v>37</v>
      </c>
      <c r="B13">
        <v>7</v>
      </c>
      <c r="C13">
        <v>53.26521851800134</v>
      </c>
      <c r="D13">
        <v>7.6093169311430486</v>
      </c>
    </row>
    <row r="14" spans="1:9" ht="15" thickBot="1" x14ac:dyDescent="0.4">
      <c r="A14" s="3" t="s">
        <v>38</v>
      </c>
      <c r="B14" s="3">
        <v>11</v>
      </c>
      <c r="C14" s="3">
        <v>86.713926104008209</v>
      </c>
      <c r="D14" s="3"/>
      <c r="E14" s="3"/>
      <c r="F14" s="3"/>
    </row>
    <row r="15" spans="1:9" ht="15" thickBot="1" x14ac:dyDescent="0.4"/>
    <row r="16" spans="1:9" x14ac:dyDescent="0.35">
      <c r="A16" s="4"/>
      <c r="B16" s="4" t="s">
        <v>45</v>
      </c>
      <c r="C16" s="4" t="s">
        <v>33</v>
      </c>
      <c r="D16" s="4" t="s">
        <v>46</v>
      </c>
      <c r="E16" s="4" t="s">
        <v>47</v>
      </c>
      <c r="F16" s="4" t="s">
        <v>48</v>
      </c>
      <c r="G16" s="4" t="s">
        <v>49</v>
      </c>
      <c r="H16" s="4" t="s">
        <v>50</v>
      </c>
      <c r="I16" s="4" t="s">
        <v>51</v>
      </c>
    </row>
    <row r="17" spans="1:9" x14ac:dyDescent="0.35">
      <c r="A17" t="s">
        <v>39</v>
      </c>
      <c r="B17">
        <v>98.181031690746721</v>
      </c>
      <c r="C17">
        <v>2.5181535780446769</v>
      </c>
      <c r="D17">
        <v>38.989294595361173</v>
      </c>
      <c r="E17">
        <v>1.9008588830131087E-9</v>
      </c>
      <c r="F17">
        <v>92.226544670867128</v>
      </c>
      <c r="G17">
        <v>104.13551871062631</v>
      </c>
      <c r="H17">
        <v>92.226544670867128</v>
      </c>
      <c r="I17">
        <v>104.13551871062631</v>
      </c>
    </row>
    <row r="18" spans="1:9" x14ac:dyDescent="0.35">
      <c r="A18" t="s">
        <v>52</v>
      </c>
      <c r="B18">
        <v>-0.19860255502842469</v>
      </c>
      <c r="C18">
        <v>0.24381917177399129</v>
      </c>
      <c r="D18">
        <v>-0.8145485590137258</v>
      </c>
      <c r="E18">
        <v>0.44215643829112372</v>
      </c>
      <c r="F18">
        <v>-0.77514328160847157</v>
      </c>
      <c r="G18">
        <v>0.37793817155162213</v>
      </c>
      <c r="H18">
        <v>-0.77514328160847157</v>
      </c>
      <c r="I18">
        <v>0.37793817155162213</v>
      </c>
    </row>
    <row r="19" spans="1:9" x14ac:dyDescent="0.35">
      <c r="A19" t="s">
        <v>60</v>
      </c>
      <c r="B19">
        <v>-4.4778661445790089</v>
      </c>
      <c r="C19">
        <v>2.3681022044701447</v>
      </c>
      <c r="D19">
        <v>-1.8909091576057702</v>
      </c>
      <c r="E19">
        <v>0.10054090952647107</v>
      </c>
      <c r="F19">
        <v>-10.07753804751945</v>
      </c>
      <c r="G19">
        <v>1.1218057583614316</v>
      </c>
      <c r="H19">
        <v>-10.07753804751945</v>
      </c>
      <c r="I19">
        <v>1.1218057583614316</v>
      </c>
    </row>
    <row r="20" spans="1:9" x14ac:dyDescent="0.35">
      <c r="A20" t="s">
        <v>61</v>
      </c>
      <c r="B20">
        <v>-3.5162391079586151</v>
      </c>
      <c r="C20">
        <v>2.3044889038989935</v>
      </c>
      <c r="D20">
        <v>-1.5258216700498954</v>
      </c>
      <c r="E20">
        <v>0.17088615819725342</v>
      </c>
      <c r="F20">
        <v>-8.9654894576446509</v>
      </c>
      <c r="G20">
        <v>1.9330112417274199</v>
      </c>
      <c r="H20">
        <v>-8.9654894576446509</v>
      </c>
      <c r="I20">
        <v>1.9330112417274199</v>
      </c>
    </row>
    <row r="21" spans="1:9" ht="15" thickBot="1" x14ac:dyDescent="0.4">
      <c r="A21" s="3" t="s">
        <v>62</v>
      </c>
      <c r="B21" s="3">
        <v>-1.3739392659189256</v>
      </c>
      <c r="C21" s="3">
        <v>2.2654636926289329</v>
      </c>
      <c r="D21" s="3">
        <v>-0.60647154504804823</v>
      </c>
      <c r="E21" s="3">
        <v>0.56334484215134284</v>
      </c>
      <c r="F21" s="3">
        <v>-6.7309096546122422</v>
      </c>
      <c r="G21" s="3">
        <v>3.9830311227743915</v>
      </c>
      <c r="H21" s="3">
        <v>-6.7309096546122422</v>
      </c>
      <c r="I21" s="3">
        <v>3.9830311227743915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82E97-4A24-48C0-80BD-9FBCA3B2D06E}">
  <dimension ref="A1:S23"/>
  <sheetViews>
    <sheetView workbookViewId="0">
      <selection activeCell="P29" sqref="P29"/>
    </sheetView>
  </sheetViews>
  <sheetFormatPr defaultRowHeight="14.5" x14ac:dyDescent="0.35"/>
  <cols>
    <col min="6" max="13" width="0" hidden="1" customWidth="1"/>
    <col min="14" max="14" width="19.54296875" customWidth="1"/>
    <col min="17" max="17" width="11.54296875" customWidth="1"/>
    <col min="19" max="19" width="13.26953125" customWidth="1"/>
  </cols>
  <sheetData>
    <row r="1" spans="1:19" ht="23.5" x14ac:dyDescent="0.55000000000000004">
      <c r="A1" s="1" t="s">
        <v>65</v>
      </c>
    </row>
    <row r="3" spans="1:19" ht="18.5" x14ac:dyDescent="0.45">
      <c r="A3" s="2" t="s">
        <v>66</v>
      </c>
    </row>
    <row r="5" spans="1:19" x14ac:dyDescent="0.35">
      <c r="A5" s="13" t="s">
        <v>0</v>
      </c>
      <c r="B5" s="8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8" t="s">
        <v>7</v>
      </c>
      <c r="I5" s="8" t="s">
        <v>8</v>
      </c>
      <c r="J5" s="8" t="s">
        <v>9</v>
      </c>
      <c r="K5" s="8" t="s">
        <v>10</v>
      </c>
      <c r="L5" s="8" t="s">
        <v>11</v>
      </c>
      <c r="M5" s="8" t="s">
        <v>12</v>
      </c>
      <c r="N5" s="8" t="s">
        <v>13</v>
      </c>
      <c r="O5" s="8" t="s">
        <v>53</v>
      </c>
      <c r="P5" s="8" t="s">
        <v>54</v>
      </c>
      <c r="Q5" s="8" t="s">
        <v>55</v>
      </c>
    </row>
    <row r="6" spans="1:19" x14ac:dyDescent="0.35">
      <c r="A6" s="13">
        <v>1</v>
      </c>
      <c r="B6" s="9">
        <v>2018</v>
      </c>
      <c r="C6" s="9">
        <v>1</v>
      </c>
      <c r="D6" s="9" t="s">
        <v>21</v>
      </c>
      <c r="E6" s="9" t="s">
        <v>22</v>
      </c>
      <c r="F6" s="9" t="s">
        <v>21</v>
      </c>
      <c r="G6" s="9" t="s">
        <v>16</v>
      </c>
      <c r="H6" s="9" t="s">
        <v>17</v>
      </c>
      <c r="I6" s="9" t="s">
        <v>18</v>
      </c>
      <c r="J6" s="9">
        <v>191</v>
      </c>
      <c r="K6" s="9">
        <v>191</v>
      </c>
      <c r="L6" s="9">
        <v>2.12222222222222</v>
      </c>
      <c r="M6" s="9">
        <v>2.12222222222222</v>
      </c>
      <c r="N6" s="9">
        <v>100</v>
      </c>
      <c r="O6" s="9">
        <f>$O$22+$O$23*A6</f>
        <v>100</v>
      </c>
      <c r="P6">
        <f>N6-O6</f>
        <v>0</v>
      </c>
      <c r="Q6">
        <f>P6*P6</f>
        <v>0</v>
      </c>
    </row>
    <row r="7" spans="1:19" x14ac:dyDescent="0.35">
      <c r="A7" s="13">
        <v>2</v>
      </c>
      <c r="B7" s="9">
        <v>2018</v>
      </c>
      <c r="C7" s="9">
        <v>2</v>
      </c>
      <c r="D7" s="9" t="s">
        <v>21</v>
      </c>
      <c r="E7" s="9" t="s">
        <v>22</v>
      </c>
      <c r="F7" s="9" t="s">
        <v>21</v>
      </c>
      <c r="G7" s="9" t="s">
        <v>16</v>
      </c>
      <c r="H7" s="9" t="s">
        <v>17</v>
      </c>
      <c r="I7" s="9" t="s">
        <v>18</v>
      </c>
      <c r="J7" s="9">
        <v>88</v>
      </c>
      <c r="K7" s="9">
        <v>88</v>
      </c>
      <c r="L7" s="9">
        <v>0.96703296703296704</v>
      </c>
      <c r="M7" s="9">
        <v>0.96703296703296704</v>
      </c>
      <c r="N7" s="9">
        <v>100</v>
      </c>
      <c r="O7" s="9">
        <f t="shared" ref="O7:O17" si="0">$O$22+$O$23*A7</f>
        <v>100</v>
      </c>
      <c r="P7">
        <f t="shared" ref="P7:P17" si="1">N7-O7</f>
        <v>0</v>
      </c>
      <c r="Q7">
        <f t="shared" ref="Q7:Q17" si="2">P7*P7</f>
        <v>0</v>
      </c>
    </row>
    <row r="8" spans="1:19" x14ac:dyDescent="0.35">
      <c r="A8" s="13">
        <v>3</v>
      </c>
      <c r="B8" s="9">
        <v>2018</v>
      </c>
      <c r="C8" s="9">
        <v>3</v>
      </c>
      <c r="D8" s="9" t="s">
        <v>21</v>
      </c>
      <c r="E8" s="9" t="s">
        <v>22</v>
      </c>
      <c r="F8" s="9" t="s">
        <v>21</v>
      </c>
      <c r="G8" s="9" t="s">
        <v>16</v>
      </c>
      <c r="H8" s="9" t="s">
        <v>17</v>
      </c>
      <c r="I8" s="9" t="s">
        <v>18</v>
      </c>
      <c r="J8" s="9">
        <v>99</v>
      </c>
      <c r="K8" s="9">
        <v>99</v>
      </c>
      <c r="L8" s="9">
        <v>1.0760869565217299</v>
      </c>
      <c r="M8" s="9">
        <v>1.0760869565217299</v>
      </c>
      <c r="N8" s="9">
        <v>100</v>
      </c>
      <c r="O8" s="9">
        <f t="shared" si="0"/>
        <v>100</v>
      </c>
      <c r="P8">
        <f t="shared" si="1"/>
        <v>0</v>
      </c>
      <c r="Q8">
        <f t="shared" si="2"/>
        <v>0</v>
      </c>
    </row>
    <row r="9" spans="1:19" x14ac:dyDescent="0.35">
      <c r="A9" s="13">
        <v>4</v>
      </c>
      <c r="B9" s="9">
        <v>2018</v>
      </c>
      <c r="C9" s="9">
        <v>4</v>
      </c>
      <c r="D9" s="9" t="s">
        <v>21</v>
      </c>
      <c r="E9" s="9" t="s">
        <v>22</v>
      </c>
      <c r="F9" s="9" t="s">
        <v>21</v>
      </c>
      <c r="G9" s="9" t="s">
        <v>16</v>
      </c>
      <c r="H9" s="9" t="s">
        <v>17</v>
      </c>
      <c r="I9" s="9" t="s">
        <v>18</v>
      </c>
      <c r="J9" s="9">
        <v>201</v>
      </c>
      <c r="K9" s="9">
        <v>201</v>
      </c>
      <c r="L9" s="9">
        <v>2.1847826086956501</v>
      </c>
      <c r="M9" s="9">
        <v>2.1847826086956501</v>
      </c>
      <c r="N9" s="9">
        <v>100</v>
      </c>
      <c r="O9" s="9">
        <f t="shared" si="0"/>
        <v>100</v>
      </c>
      <c r="P9">
        <f t="shared" si="1"/>
        <v>0</v>
      </c>
      <c r="Q9">
        <f t="shared" si="2"/>
        <v>0</v>
      </c>
    </row>
    <row r="10" spans="1:19" x14ac:dyDescent="0.35">
      <c r="A10" s="13">
        <v>5</v>
      </c>
      <c r="B10" s="9">
        <v>2019</v>
      </c>
      <c r="C10" s="9">
        <v>1</v>
      </c>
      <c r="D10" s="9" t="s">
        <v>21</v>
      </c>
      <c r="E10" s="9" t="s">
        <v>22</v>
      </c>
      <c r="F10" s="9" t="s">
        <v>21</v>
      </c>
      <c r="G10" s="9" t="s">
        <v>16</v>
      </c>
      <c r="H10" s="9" t="s">
        <v>17</v>
      </c>
      <c r="I10" s="9" t="s">
        <v>18</v>
      </c>
      <c r="J10" s="9">
        <v>203</v>
      </c>
      <c r="K10" s="9">
        <v>203</v>
      </c>
      <c r="L10" s="9">
        <v>2.2555555555555502</v>
      </c>
      <c r="M10" s="9">
        <v>2.2555555555555502</v>
      </c>
      <c r="N10" s="9">
        <v>100</v>
      </c>
      <c r="O10" s="9">
        <f t="shared" si="0"/>
        <v>100</v>
      </c>
      <c r="P10">
        <f t="shared" si="1"/>
        <v>0</v>
      </c>
      <c r="Q10">
        <f t="shared" si="2"/>
        <v>0</v>
      </c>
    </row>
    <row r="11" spans="1:19" x14ac:dyDescent="0.35">
      <c r="A11" s="13">
        <v>6</v>
      </c>
      <c r="B11" s="9">
        <v>2019</v>
      </c>
      <c r="C11" s="9">
        <v>2</v>
      </c>
      <c r="D11" s="9" t="s">
        <v>21</v>
      </c>
      <c r="E11" s="9" t="s">
        <v>22</v>
      </c>
      <c r="F11" s="9" t="s">
        <v>21</v>
      </c>
      <c r="G11" s="9" t="s">
        <v>16</v>
      </c>
      <c r="H11" s="9" t="s">
        <v>17</v>
      </c>
      <c r="I11" s="9" t="s">
        <v>18</v>
      </c>
      <c r="J11" s="9">
        <v>181</v>
      </c>
      <c r="K11" s="9">
        <v>181</v>
      </c>
      <c r="L11" s="9">
        <v>1.9890109890109799</v>
      </c>
      <c r="M11" s="9">
        <v>1.9890109890109799</v>
      </c>
      <c r="N11" s="9">
        <v>100</v>
      </c>
      <c r="O11" s="9">
        <f t="shared" si="0"/>
        <v>100</v>
      </c>
      <c r="P11">
        <f t="shared" si="1"/>
        <v>0</v>
      </c>
      <c r="Q11">
        <f t="shared" si="2"/>
        <v>0</v>
      </c>
    </row>
    <row r="12" spans="1:19" x14ac:dyDescent="0.35">
      <c r="A12" s="13">
        <v>7</v>
      </c>
      <c r="B12" s="9">
        <v>2019</v>
      </c>
      <c r="C12" s="9">
        <v>3</v>
      </c>
      <c r="D12" s="9" t="s">
        <v>21</v>
      </c>
      <c r="E12" s="9" t="s">
        <v>22</v>
      </c>
      <c r="F12" s="9" t="s">
        <v>21</v>
      </c>
      <c r="G12" s="9" t="s">
        <v>16</v>
      </c>
      <c r="H12" s="9" t="s">
        <v>17</v>
      </c>
      <c r="I12" s="9" t="s">
        <v>18</v>
      </c>
      <c r="J12" s="9">
        <v>147</v>
      </c>
      <c r="K12" s="9">
        <v>147</v>
      </c>
      <c r="L12" s="9">
        <v>1.59782608695652</v>
      </c>
      <c r="M12" s="9">
        <v>1.59782608695652</v>
      </c>
      <c r="N12" s="9">
        <v>100</v>
      </c>
      <c r="O12" s="9">
        <f t="shared" si="0"/>
        <v>100</v>
      </c>
      <c r="P12">
        <f t="shared" si="1"/>
        <v>0</v>
      </c>
      <c r="Q12">
        <f t="shared" si="2"/>
        <v>0</v>
      </c>
      <c r="R12" s="11"/>
      <c r="S12" s="11" t="s">
        <v>68</v>
      </c>
    </row>
    <row r="13" spans="1:19" x14ac:dyDescent="0.35">
      <c r="A13" s="13">
        <v>8</v>
      </c>
      <c r="B13" s="9">
        <v>2019</v>
      </c>
      <c r="C13" s="9">
        <v>4</v>
      </c>
      <c r="D13" s="9" t="s">
        <v>21</v>
      </c>
      <c r="E13" s="9" t="s">
        <v>22</v>
      </c>
      <c r="F13" s="9" t="s">
        <v>21</v>
      </c>
      <c r="G13" s="9" t="s">
        <v>16</v>
      </c>
      <c r="H13" s="9" t="s">
        <v>17</v>
      </c>
      <c r="I13" s="9" t="s">
        <v>18</v>
      </c>
      <c r="J13" s="9">
        <v>184</v>
      </c>
      <c r="K13" s="9">
        <v>184</v>
      </c>
      <c r="L13" s="9">
        <v>2</v>
      </c>
      <c r="M13" s="9">
        <v>2</v>
      </c>
      <c r="N13" s="9">
        <v>100</v>
      </c>
      <c r="O13" s="9">
        <f t="shared" si="0"/>
        <v>100</v>
      </c>
      <c r="P13">
        <f t="shared" si="1"/>
        <v>0</v>
      </c>
      <c r="Q13">
        <f t="shared" si="2"/>
        <v>0</v>
      </c>
      <c r="R13" s="11" t="s">
        <v>56</v>
      </c>
      <c r="S13" s="11">
        <v>0</v>
      </c>
    </row>
    <row r="14" spans="1:19" x14ac:dyDescent="0.35">
      <c r="A14" s="13">
        <v>9</v>
      </c>
      <c r="B14" s="9">
        <v>2021</v>
      </c>
      <c r="C14" s="9">
        <v>1</v>
      </c>
      <c r="D14" s="9" t="s">
        <v>21</v>
      </c>
      <c r="E14" s="9" t="s">
        <v>22</v>
      </c>
      <c r="F14" s="9" t="s">
        <v>21</v>
      </c>
      <c r="G14" s="9" t="s">
        <v>16</v>
      </c>
      <c r="H14" s="9" t="s">
        <v>17</v>
      </c>
      <c r="I14" s="9" t="s">
        <v>18</v>
      </c>
      <c r="J14" s="9">
        <v>210</v>
      </c>
      <c r="K14" s="9">
        <v>210</v>
      </c>
      <c r="L14" s="9">
        <v>2.3333333333333299</v>
      </c>
      <c r="M14" s="9">
        <v>2.3333333333333299</v>
      </c>
      <c r="N14" s="9">
        <v>100</v>
      </c>
      <c r="O14" s="9">
        <f t="shared" si="0"/>
        <v>100</v>
      </c>
      <c r="P14">
        <f t="shared" si="1"/>
        <v>0</v>
      </c>
      <c r="Q14">
        <f t="shared" si="2"/>
        <v>0</v>
      </c>
    </row>
    <row r="15" spans="1:19" x14ac:dyDescent="0.35">
      <c r="A15" s="13">
        <v>10</v>
      </c>
      <c r="B15" s="9">
        <v>2021</v>
      </c>
      <c r="C15" s="9">
        <v>2</v>
      </c>
      <c r="D15" s="9" t="s">
        <v>21</v>
      </c>
      <c r="E15" s="9" t="s">
        <v>22</v>
      </c>
      <c r="F15" s="9" t="s">
        <v>21</v>
      </c>
      <c r="G15" s="9" t="s">
        <v>16</v>
      </c>
      <c r="H15" s="9" t="s">
        <v>17</v>
      </c>
      <c r="I15" s="9" t="s">
        <v>18</v>
      </c>
      <c r="J15" s="9">
        <v>169</v>
      </c>
      <c r="K15" s="9">
        <v>169</v>
      </c>
      <c r="L15" s="9">
        <v>1.8571428571428501</v>
      </c>
      <c r="M15" s="9">
        <v>1.8571428571428501</v>
      </c>
      <c r="N15" s="9">
        <v>100</v>
      </c>
      <c r="O15" s="9">
        <f t="shared" si="0"/>
        <v>100</v>
      </c>
      <c r="P15">
        <f t="shared" si="1"/>
        <v>0</v>
      </c>
      <c r="Q15">
        <f t="shared" si="2"/>
        <v>0</v>
      </c>
    </row>
    <row r="16" spans="1:19" x14ac:dyDescent="0.35">
      <c r="A16" s="13">
        <v>11</v>
      </c>
      <c r="B16" s="9">
        <v>2021</v>
      </c>
      <c r="C16" s="9">
        <v>3</v>
      </c>
      <c r="D16" s="9" t="s">
        <v>21</v>
      </c>
      <c r="E16" s="9" t="s">
        <v>22</v>
      </c>
      <c r="F16" s="9" t="s">
        <v>21</v>
      </c>
      <c r="G16" s="9" t="s">
        <v>16</v>
      </c>
      <c r="H16" s="9" t="s">
        <v>17</v>
      </c>
      <c r="I16" s="9" t="s">
        <v>18</v>
      </c>
      <c r="J16" s="9">
        <v>292</v>
      </c>
      <c r="K16" s="9">
        <v>292</v>
      </c>
      <c r="L16" s="9">
        <v>3.1739130434782599</v>
      </c>
      <c r="M16" s="9">
        <v>3.1739130434782599</v>
      </c>
      <c r="N16" s="9">
        <v>100</v>
      </c>
      <c r="O16" s="9">
        <f t="shared" si="0"/>
        <v>100</v>
      </c>
      <c r="P16">
        <f t="shared" si="1"/>
        <v>0</v>
      </c>
      <c r="Q16">
        <f t="shared" si="2"/>
        <v>0</v>
      </c>
    </row>
    <row r="17" spans="1:17" x14ac:dyDescent="0.35">
      <c r="A17" s="13">
        <v>12</v>
      </c>
      <c r="B17" s="9">
        <v>2021</v>
      </c>
      <c r="C17" s="9">
        <v>4</v>
      </c>
      <c r="D17" s="9" t="s">
        <v>21</v>
      </c>
      <c r="E17" s="9" t="s">
        <v>22</v>
      </c>
      <c r="F17" s="9" t="s">
        <v>21</v>
      </c>
      <c r="G17" s="9" t="s">
        <v>16</v>
      </c>
      <c r="H17" s="9" t="s">
        <v>17</v>
      </c>
      <c r="I17" s="9" t="s">
        <v>18</v>
      </c>
      <c r="J17" s="9">
        <v>142</v>
      </c>
      <c r="K17" s="9">
        <v>142</v>
      </c>
      <c r="L17" s="9">
        <v>1.5434782608695601</v>
      </c>
      <c r="M17" s="9">
        <v>1.5434782608695601</v>
      </c>
      <c r="N17" s="9">
        <v>100</v>
      </c>
      <c r="O17" s="9">
        <f t="shared" si="0"/>
        <v>100</v>
      </c>
      <c r="P17">
        <f t="shared" si="1"/>
        <v>0</v>
      </c>
      <c r="Q17">
        <f t="shared" si="2"/>
        <v>0</v>
      </c>
    </row>
    <row r="20" spans="1:17" ht="15" thickBot="1" x14ac:dyDescent="0.4"/>
    <row r="21" spans="1:17" x14ac:dyDescent="0.35">
      <c r="N21" s="10"/>
      <c r="O21" s="10" t="s">
        <v>45</v>
      </c>
    </row>
    <row r="22" spans="1:17" x14ac:dyDescent="0.35">
      <c r="N22" s="11" t="s">
        <v>39</v>
      </c>
      <c r="O22" s="11">
        <v>100</v>
      </c>
    </row>
    <row r="23" spans="1:17" ht="15" thickBot="1" x14ac:dyDescent="0.4">
      <c r="N23" s="12" t="s">
        <v>52</v>
      </c>
      <c r="O23" s="12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019A-358C-4825-A234-CE590364C54B}">
  <dimension ref="A1:I18"/>
  <sheetViews>
    <sheetView workbookViewId="0">
      <selection activeCell="A16" sqref="A16:B18"/>
    </sheetView>
  </sheetViews>
  <sheetFormatPr defaultRowHeight="14.5" x14ac:dyDescent="0.35"/>
  <sheetData>
    <row r="1" spans="1:9" x14ac:dyDescent="0.35">
      <c r="A1" t="s">
        <v>28</v>
      </c>
    </row>
    <row r="2" spans="1:9" ht="15" thickBot="1" x14ac:dyDescent="0.4"/>
    <row r="3" spans="1:9" x14ac:dyDescent="0.35">
      <c r="A3" s="5" t="s">
        <v>29</v>
      </c>
      <c r="B3" s="5"/>
    </row>
    <row r="4" spans="1:9" x14ac:dyDescent="0.35">
      <c r="A4" t="s">
        <v>30</v>
      </c>
      <c r="B4">
        <v>1</v>
      </c>
    </row>
    <row r="5" spans="1:9" x14ac:dyDescent="0.35">
      <c r="A5" t="s">
        <v>31</v>
      </c>
      <c r="B5">
        <v>1</v>
      </c>
    </row>
    <row r="6" spans="1:9" x14ac:dyDescent="0.35">
      <c r="A6" t="s">
        <v>32</v>
      </c>
      <c r="B6">
        <v>1</v>
      </c>
    </row>
    <row r="7" spans="1:9" x14ac:dyDescent="0.35">
      <c r="A7" t="s">
        <v>33</v>
      </c>
      <c r="B7">
        <v>0</v>
      </c>
    </row>
    <row r="8" spans="1:9" ht="15" thickBot="1" x14ac:dyDescent="0.4">
      <c r="A8" s="3" t="s">
        <v>34</v>
      </c>
      <c r="B8" s="3">
        <v>12</v>
      </c>
    </row>
    <row r="10" spans="1:9" ht="15" thickBot="1" x14ac:dyDescent="0.4">
      <c r="A10" t="s">
        <v>35</v>
      </c>
    </row>
    <row r="11" spans="1:9" x14ac:dyDescent="0.35">
      <c r="A11" s="4"/>
      <c r="B11" s="4" t="s">
        <v>40</v>
      </c>
      <c r="C11" s="4" t="s">
        <v>41</v>
      </c>
      <c r="D11" s="4" t="s">
        <v>42</v>
      </c>
      <c r="E11" s="4" t="s">
        <v>43</v>
      </c>
      <c r="F11" s="4" t="s">
        <v>44</v>
      </c>
    </row>
    <row r="12" spans="1:9" x14ac:dyDescent="0.35">
      <c r="A12" t="s">
        <v>36</v>
      </c>
      <c r="B12">
        <v>1</v>
      </c>
      <c r="C12">
        <v>0</v>
      </c>
      <c r="D12">
        <v>0</v>
      </c>
      <c r="E12" t="e">
        <v>#NUM!</v>
      </c>
      <c r="F12" t="e">
        <v>#NUM!</v>
      </c>
    </row>
    <row r="13" spans="1:9" x14ac:dyDescent="0.35">
      <c r="A13" t="s">
        <v>37</v>
      </c>
      <c r="B13">
        <v>10</v>
      </c>
      <c r="C13">
        <v>0</v>
      </c>
      <c r="D13">
        <v>0</v>
      </c>
    </row>
    <row r="14" spans="1:9" ht="15" thickBot="1" x14ac:dyDescent="0.4">
      <c r="A14" s="3" t="s">
        <v>38</v>
      </c>
      <c r="B14" s="3">
        <v>11</v>
      </c>
      <c r="C14" s="3">
        <v>0</v>
      </c>
      <c r="D14" s="3"/>
      <c r="E14" s="3"/>
      <c r="F14" s="3"/>
    </row>
    <row r="15" spans="1:9" ht="15" thickBot="1" x14ac:dyDescent="0.4"/>
    <row r="16" spans="1:9" x14ac:dyDescent="0.35">
      <c r="A16" s="4"/>
      <c r="B16" s="4" t="s">
        <v>45</v>
      </c>
      <c r="C16" s="4" t="s">
        <v>33</v>
      </c>
      <c r="D16" s="4" t="s">
        <v>46</v>
      </c>
      <c r="E16" s="4" t="s">
        <v>47</v>
      </c>
      <c r="F16" s="4" t="s">
        <v>48</v>
      </c>
      <c r="G16" s="4" t="s">
        <v>49</v>
      </c>
      <c r="H16" s="4" t="s">
        <v>50</v>
      </c>
      <c r="I16" s="4" t="s">
        <v>51</v>
      </c>
    </row>
    <row r="17" spans="1:9" x14ac:dyDescent="0.35">
      <c r="A17" t="s">
        <v>39</v>
      </c>
      <c r="B17">
        <v>100</v>
      </c>
      <c r="C17">
        <v>0</v>
      </c>
      <c r="D17">
        <v>65535</v>
      </c>
      <c r="E17" t="e">
        <v>#NUM!</v>
      </c>
      <c r="F17">
        <v>100</v>
      </c>
      <c r="G17">
        <v>100</v>
      </c>
      <c r="H17">
        <v>100</v>
      </c>
      <c r="I17">
        <v>100</v>
      </c>
    </row>
    <row r="18" spans="1:9" ht="15" thickBot="1" x14ac:dyDescent="0.4">
      <c r="A18" s="3" t="s">
        <v>52</v>
      </c>
      <c r="B18" s="3">
        <v>0</v>
      </c>
      <c r="C18" s="3">
        <v>0</v>
      </c>
      <c r="D18" s="3">
        <v>65535</v>
      </c>
      <c r="E18" s="3" t="e">
        <v>#NUM!</v>
      </c>
      <c r="F18" s="3">
        <v>0</v>
      </c>
      <c r="G18" s="3">
        <v>0</v>
      </c>
      <c r="H18" s="3">
        <v>0</v>
      </c>
      <c r="I18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Input Base Data</vt:lpstr>
      <vt:lpstr>Summary</vt:lpstr>
      <vt:lpstr>Grampian</vt:lpstr>
      <vt:lpstr>ReglinG</vt:lpstr>
      <vt:lpstr>RegSeaG</vt:lpstr>
      <vt:lpstr>Lothian</vt:lpstr>
      <vt:lpstr>ReglinL</vt:lpstr>
      <vt:lpstr>RegseaL</vt:lpstr>
      <vt:lpstr>Tayside</vt:lpstr>
      <vt:lpstr>ReglinT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Neha U</cp:lastModifiedBy>
  <dcterms:created xsi:type="dcterms:W3CDTF">2023-04-29T21:03:42Z</dcterms:created>
  <dcterms:modified xsi:type="dcterms:W3CDTF">2023-05-19T01:45:32Z</dcterms:modified>
</cp:coreProperties>
</file>