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 U\Desktop\DMU\Sem 2\BI Application\Assignments\Group Assignment'\Final Excel\"/>
    </mc:Choice>
  </mc:AlternateContent>
  <xr:revisionPtr revIDLastSave="0" documentId="13_ncr:1_{052143E3-5754-44EC-A011-49013310D551}" xr6:coauthVersionLast="47" xr6:coauthVersionMax="47" xr10:uidLastSave="{00000000-0000-0000-0000-000000000000}"/>
  <bookViews>
    <workbookView xWindow="-110" yWindow="-110" windowWidth="19420" windowHeight="10300" firstSheet="1" activeTab="1" xr2:uid="{6F485B48-A4A2-4389-8F87-E61CD1DDE589}"/>
  </bookViews>
  <sheets>
    <sheet name="Final_CancerWaitingTime" sheetId="10" r:id="rId1"/>
    <sheet name="Summary" sheetId="11" r:id="rId2"/>
    <sheet name="S08000020_Grampian20x" sheetId="1" r:id="rId3"/>
    <sheet name="Regtrend_Grampian_without2020" sheetId="2" r:id="rId4"/>
    <sheet name="Regtrend_GrampianSeasonality20x" sheetId="3" r:id="rId5"/>
    <sheet name="S08000024_Lothian" sheetId="4" r:id="rId6"/>
    <sheet name="Regtrend_Lothian_without2020" sheetId="5" r:id="rId7"/>
    <sheet name="Regtrend_Lothian_Seasonality20x" sheetId="6" r:id="rId8"/>
    <sheet name="S08000030_Tayside20x" sheetId="7" r:id="rId9"/>
    <sheet name="Regtrend_Tayside_without2020" sheetId="8" r:id="rId10"/>
    <sheet name="RegTrend_Tayside_seasonality20x" sheetId="9" r:id="rId11"/>
  </sheets>
  <externalReferences>
    <externalReference r:id="rId12"/>
  </externalReferences>
  <definedNames>
    <definedName name="_xlnm._FilterDatabase" localSheetId="0" hidden="1">Final_CancerWaitingTime!$A$1:$H$561</definedName>
    <definedName name="_xlnm._FilterDatabase" localSheetId="2" hidden="1">S08000020_Grampian20x!$A$2:$H$38</definedName>
    <definedName name="_xlnm._FilterDatabase" localSheetId="5" hidden="1">S08000024_Lothian!$A$2:$H$38</definedName>
    <definedName name="_xlnm._FilterDatabase" localSheetId="8" hidden="1">S08000030_Tayside20x!$A$2:$H$38</definedName>
    <definedName name="HBTable">[1]hb14_hb19!$A$1:$E$19</definedName>
    <definedName name="SHBTable">'[1]special-health-boards_19022021'!$A$1:$C$10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" i="7" l="1"/>
  <c r="I139" i="7" s="1"/>
  <c r="J137" i="7"/>
  <c r="K137" i="7" s="1"/>
  <c r="I137" i="7"/>
  <c r="M125" i="7"/>
  <c r="M124" i="7"/>
  <c r="M123" i="7"/>
  <c r="M122" i="7"/>
  <c r="M121" i="7"/>
  <c r="N121" i="7" s="1"/>
  <c r="O121" i="7" s="1"/>
  <c r="M120" i="7"/>
  <c r="N120" i="7" s="1"/>
  <c r="O120" i="7" s="1"/>
  <c r="M119" i="7"/>
  <c r="N119" i="7" s="1"/>
  <c r="O119" i="7" s="1"/>
  <c r="M118" i="7"/>
  <c r="N118" i="7" s="1"/>
  <c r="O118" i="7" s="1"/>
  <c r="M117" i="7"/>
  <c r="N117" i="7" s="1"/>
  <c r="O117" i="7" s="1"/>
  <c r="N116" i="7"/>
  <c r="O116" i="7" s="1"/>
  <c r="M116" i="7"/>
  <c r="M115" i="7"/>
  <c r="N115" i="7" s="1"/>
  <c r="O115" i="7" s="1"/>
  <c r="M114" i="7"/>
  <c r="N114" i="7" s="1"/>
  <c r="O114" i="7" s="1"/>
  <c r="M113" i="7"/>
  <c r="N113" i="7" s="1"/>
  <c r="O113" i="7" s="1"/>
  <c r="M112" i="7"/>
  <c r="N112" i="7" s="1"/>
  <c r="O112" i="7" s="1"/>
  <c r="M111" i="7"/>
  <c r="N111" i="7" s="1"/>
  <c r="O111" i="7" s="1"/>
  <c r="M110" i="7"/>
  <c r="N110" i="7" s="1"/>
  <c r="O110" i="7" s="1"/>
  <c r="M109" i="7"/>
  <c r="N109" i="7" s="1"/>
  <c r="O109" i="7" s="1"/>
  <c r="M108" i="7"/>
  <c r="N108" i="7" s="1"/>
  <c r="O108" i="7" s="1"/>
  <c r="M107" i="7"/>
  <c r="N107" i="7" s="1"/>
  <c r="O107" i="7" s="1"/>
  <c r="M106" i="7"/>
  <c r="N106" i="7" s="1"/>
  <c r="O106" i="7" s="1"/>
  <c r="M105" i="7"/>
  <c r="N105" i="7" s="1"/>
  <c r="O105" i="7" s="1"/>
  <c r="M104" i="7"/>
  <c r="N104" i="7" s="1"/>
  <c r="O104" i="7" s="1"/>
  <c r="M103" i="7"/>
  <c r="N103" i="7" s="1"/>
  <c r="O103" i="7" s="1"/>
  <c r="M102" i="7"/>
  <c r="N102" i="7" s="1"/>
  <c r="O102" i="7" s="1"/>
  <c r="M101" i="7"/>
  <c r="N101" i="7" s="1"/>
  <c r="O101" i="7" s="1"/>
  <c r="N100" i="7"/>
  <c r="O100" i="7" s="1"/>
  <c r="M100" i="7"/>
  <c r="M99" i="7"/>
  <c r="N99" i="7" s="1"/>
  <c r="O99" i="7" s="1"/>
  <c r="M98" i="7"/>
  <c r="N98" i="7" s="1"/>
  <c r="O98" i="7" s="1"/>
  <c r="M97" i="7"/>
  <c r="N97" i="7" s="1"/>
  <c r="O97" i="7" s="1"/>
  <c r="O96" i="7"/>
  <c r="N96" i="7"/>
  <c r="M96" i="7"/>
  <c r="M95" i="7"/>
  <c r="N95" i="7" s="1"/>
  <c r="O95" i="7" s="1"/>
  <c r="M94" i="7"/>
  <c r="N94" i="7" s="1"/>
  <c r="O94" i="7" s="1"/>
  <c r="M93" i="7"/>
  <c r="N93" i="7" s="1"/>
  <c r="O93" i="7" s="1"/>
  <c r="M92" i="7"/>
  <c r="N92" i="7" s="1"/>
  <c r="O92" i="7" s="1"/>
  <c r="N91" i="7"/>
  <c r="O91" i="7" s="1"/>
  <c r="M91" i="7"/>
  <c r="M90" i="7"/>
  <c r="N90" i="7" s="1"/>
  <c r="O90" i="7" s="1"/>
  <c r="O89" i="7"/>
  <c r="N89" i="7"/>
  <c r="M89" i="7"/>
  <c r="M88" i="7"/>
  <c r="N88" i="7" s="1"/>
  <c r="O88" i="7" s="1"/>
  <c r="M87" i="7"/>
  <c r="N87" i="7" s="1"/>
  <c r="O87" i="7" s="1"/>
  <c r="M86" i="7"/>
  <c r="N86" i="7" s="1"/>
  <c r="O86" i="7" s="1"/>
  <c r="I78" i="7"/>
  <c r="J78" i="7" s="1"/>
  <c r="K78" i="7" s="1"/>
  <c r="I77" i="7"/>
  <c r="J77" i="7" s="1"/>
  <c r="K77" i="7" s="1"/>
  <c r="J76" i="7"/>
  <c r="K76" i="7" s="1"/>
  <c r="I76" i="7"/>
  <c r="I75" i="7"/>
  <c r="J75" i="7" s="1"/>
  <c r="K75" i="7" s="1"/>
  <c r="I74" i="7"/>
  <c r="J74" i="7" s="1"/>
  <c r="K74" i="7" s="1"/>
  <c r="I73" i="7"/>
  <c r="J73" i="7" s="1"/>
  <c r="K73" i="7" s="1"/>
  <c r="I72" i="7"/>
  <c r="J72" i="7" s="1"/>
  <c r="K72" i="7" s="1"/>
  <c r="J71" i="7"/>
  <c r="K71" i="7" s="1"/>
  <c r="I71" i="7"/>
  <c r="I70" i="7"/>
  <c r="J70" i="7" s="1"/>
  <c r="K70" i="7" s="1"/>
  <c r="I69" i="7"/>
  <c r="J69" i="7" s="1"/>
  <c r="K69" i="7" s="1"/>
  <c r="J68" i="7"/>
  <c r="K68" i="7" s="1"/>
  <c r="I68" i="7"/>
  <c r="I67" i="7"/>
  <c r="J67" i="7" s="1"/>
  <c r="K67" i="7" s="1"/>
  <c r="I66" i="7"/>
  <c r="J66" i="7" s="1"/>
  <c r="K66" i="7" s="1"/>
  <c r="I65" i="7"/>
  <c r="J65" i="7" s="1"/>
  <c r="K65" i="7" s="1"/>
  <c r="I64" i="7"/>
  <c r="J64" i="7" s="1"/>
  <c r="K64" i="7" s="1"/>
  <c r="J63" i="7"/>
  <c r="K63" i="7" s="1"/>
  <c r="I63" i="7"/>
  <c r="I62" i="7"/>
  <c r="J62" i="7" s="1"/>
  <c r="K62" i="7" s="1"/>
  <c r="I61" i="7"/>
  <c r="J61" i="7" s="1"/>
  <c r="K61" i="7" s="1"/>
  <c r="J60" i="7"/>
  <c r="K60" i="7" s="1"/>
  <c r="I60" i="7"/>
  <c r="I59" i="7"/>
  <c r="J59" i="7" s="1"/>
  <c r="K59" i="7" s="1"/>
  <c r="I58" i="7"/>
  <c r="J58" i="7" s="1"/>
  <c r="K58" i="7" s="1"/>
  <c r="I57" i="7"/>
  <c r="J57" i="7" s="1"/>
  <c r="K57" i="7" s="1"/>
  <c r="I56" i="7"/>
  <c r="J56" i="7" s="1"/>
  <c r="K56" i="7" s="1"/>
  <c r="J55" i="7"/>
  <c r="K55" i="7" s="1"/>
  <c r="I55" i="7"/>
  <c r="I54" i="7"/>
  <c r="J54" i="7" s="1"/>
  <c r="K54" i="7" s="1"/>
  <c r="I53" i="7"/>
  <c r="J53" i="7" s="1"/>
  <c r="K53" i="7" s="1"/>
  <c r="J52" i="7"/>
  <c r="K52" i="7" s="1"/>
  <c r="I52" i="7"/>
  <c r="I51" i="7"/>
  <c r="J51" i="7" s="1"/>
  <c r="K51" i="7" s="1"/>
  <c r="I50" i="7"/>
  <c r="J50" i="7" s="1"/>
  <c r="K50" i="7" s="1"/>
  <c r="I49" i="7"/>
  <c r="J49" i="7" s="1"/>
  <c r="K49" i="7" s="1"/>
  <c r="I48" i="7"/>
  <c r="J48" i="7" s="1"/>
  <c r="K48" i="7" s="1"/>
  <c r="J47" i="7"/>
  <c r="K47" i="7" s="1"/>
  <c r="I47" i="7"/>
  <c r="I46" i="7"/>
  <c r="J46" i="7" s="1"/>
  <c r="K46" i="7" s="1"/>
  <c r="I45" i="7"/>
  <c r="J45" i="7" s="1"/>
  <c r="K45" i="7" s="1"/>
  <c r="J44" i="7"/>
  <c r="K44" i="7" s="1"/>
  <c r="I44" i="7"/>
  <c r="I43" i="7"/>
  <c r="J43" i="7" s="1"/>
  <c r="K43" i="7" s="1"/>
  <c r="I139" i="4"/>
  <c r="I140" i="4" s="1"/>
  <c r="M126" i="4"/>
  <c r="M125" i="4"/>
  <c r="M124" i="4"/>
  <c r="M123" i="4"/>
  <c r="N122" i="4"/>
  <c r="O122" i="4" s="1"/>
  <c r="M122" i="4"/>
  <c r="M121" i="4"/>
  <c r="N121" i="4" s="1"/>
  <c r="O121" i="4" s="1"/>
  <c r="M120" i="4"/>
  <c r="N120" i="4" s="1"/>
  <c r="O120" i="4" s="1"/>
  <c r="M119" i="4"/>
  <c r="N119" i="4" s="1"/>
  <c r="O119" i="4" s="1"/>
  <c r="M118" i="4"/>
  <c r="N118" i="4" s="1"/>
  <c r="O118" i="4" s="1"/>
  <c r="N117" i="4"/>
  <c r="O117" i="4" s="1"/>
  <c r="M117" i="4"/>
  <c r="N116" i="4"/>
  <c r="O116" i="4" s="1"/>
  <c r="M116" i="4"/>
  <c r="M115" i="4"/>
  <c r="N115" i="4" s="1"/>
  <c r="O115" i="4" s="1"/>
  <c r="N114" i="4"/>
  <c r="O114" i="4" s="1"/>
  <c r="M114" i="4"/>
  <c r="M113" i="4"/>
  <c r="N113" i="4" s="1"/>
  <c r="O113" i="4" s="1"/>
  <c r="M112" i="4"/>
  <c r="N112" i="4" s="1"/>
  <c r="O112" i="4" s="1"/>
  <c r="M111" i="4"/>
  <c r="N111" i="4" s="1"/>
  <c r="O111" i="4" s="1"/>
  <c r="M110" i="4"/>
  <c r="N110" i="4" s="1"/>
  <c r="O110" i="4" s="1"/>
  <c r="M109" i="4"/>
  <c r="N109" i="4" s="1"/>
  <c r="O109" i="4" s="1"/>
  <c r="N108" i="4"/>
  <c r="O108" i="4" s="1"/>
  <c r="M108" i="4"/>
  <c r="M107" i="4"/>
  <c r="N107" i="4" s="1"/>
  <c r="O107" i="4" s="1"/>
  <c r="M106" i="4"/>
  <c r="N106" i="4" s="1"/>
  <c r="O106" i="4" s="1"/>
  <c r="M105" i="4"/>
  <c r="N105" i="4" s="1"/>
  <c r="O105" i="4" s="1"/>
  <c r="M104" i="4"/>
  <c r="N104" i="4" s="1"/>
  <c r="O104" i="4" s="1"/>
  <c r="M103" i="4"/>
  <c r="N103" i="4" s="1"/>
  <c r="O103" i="4" s="1"/>
  <c r="M102" i="4"/>
  <c r="N102" i="4" s="1"/>
  <c r="O102" i="4" s="1"/>
  <c r="N101" i="4"/>
  <c r="O101" i="4" s="1"/>
  <c r="M101" i="4"/>
  <c r="M100" i="4"/>
  <c r="N100" i="4" s="1"/>
  <c r="O100" i="4" s="1"/>
  <c r="M99" i="4"/>
  <c r="N99" i="4" s="1"/>
  <c r="O99" i="4" s="1"/>
  <c r="M98" i="4"/>
  <c r="N98" i="4" s="1"/>
  <c r="O98" i="4" s="1"/>
  <c r="M97" i="4"/>
  <c r="N97" i="4" s="1"/>
  <c r="O97" i="4" s="1"/>
  <c r="M96" i="4"/>
  <c r="N96" i="4" s="1"/>
  <c r="O96" i="4" s="1"/>
  <c r="M95" i="4"/>
  <c r="N95" i="4" s="1"/>
  <c r="O95" i="4" s="1"/>
  <c r="M94" i="4"/>
  <c r="N94" i="4" s="1"/>
  <c r="O94" i="4" s="1"/>
  <c r="N93" i="4"/>
  <c r="O93" i="4" s="1"/>
  <c r="M93" i="4"/>
  <c r="M92" i="4"/>
  <c r="N92" i="4" s="1"/>
  <c r="O92" i="4" s="1"/>
  <c r="M91" i="4"/>
  <c r="N91" i="4" s="1"/>
  <c r="O91" i="4" s="1"/>
  <c r="M90" i="4"/>
  <c r="N90" i="4" s="1"/>
  <c r="O90" i="4" s="1"/>
  <c r="M89" i="4"/>
  <c r="N89" i="4" s="1"/>
  <c r="O89" i="4" s="1"/>
  <c r="M88" i="4"/>
  <c r="N88" i="4" s="1"/>
  <c r="O88" i="4" s="1"/>
  <c r="M87" i="4"/>
  <c r="N87" i="4" s="1"/>
  <c r="O87" i="4" s="1"/>
  <c r="I78" i="4"/>
  <c r="J78" i="4" s="1"/>
  <c r="K78" i="4" s="1"/>
  <c r="I77" i="4"/>
  <c r="J77" i="4" s="1"/>
  <c r="K77" i="4" s="1"/>
  <c r="I76" i="4"/>
  <c r="J76" i="4" s="1"/>
  <c r="K76" i="4" s="1"/>
  <c r="I75" i="4"/>
  <c r="J75" i="4" s="1"/>
  <c r="K75" i="4" s="1"/>
  <c r="I74" i="4"/>
  <c r="J74" i="4" s="1"/>
  <c r="K74" i="4" s="1"/>
  <c r="I73" i="4"/>
  <c r="J73" i="4" s="1"/>
  <c r="K73" i="4" s="1"/>
  <c r="I72" i="4"/>
  <c r="J72" i="4" s="1"/>
  <c r="K72" i="4" s="1"/>
  <c r="I71" i="4"/>
  <c r="J71" i="4" s="1"/>
  <c r="K71" i="4" s="1"/>
  <c r="J70" i="4"/>
  <c r="K70" i="4" s="1"/>
  <c r="I70" i="4"/>
  <c r="I69" i="4"/>
  <c r="J69" i="4" s="1"/>
  <c r="K69" i="4" s="1"/>
  <c r="I68" i="4"/>
  <c r="J68" i="4" s="1"/>
  <c r="K68" i="4" s="1"/>
  <c r="I67" i="4"/>
  <c r="J67" i="4" s="1"/>
  <c r="K67" i="4" s="1"/>
  <c r="I66" i="4"/>
  <c r="J66" i="4" s="1"/>
  <c r="K66" i="4" s="1"/>
  <c r="I65" i="4"/>
  <c r="J65" i="4" s="1"/>
  <c r="K65" i="4" s="1"/>
  <c r="I64" i="4"/>
  <c r="J64" i="4" s="1"/>
  <c r="K64" i="4" s="1"/>
  <c r="I63" i="4"/>
  <c r="J63" i="4" s="1"/>
  <c r="K63" i="4" s="1"/>
  <c r="I62" i="4"/>
  <c r="J62" i="4" s="1"/>
  <c r="K62" i="4" s="1"/>
  <c r="K61" i="4"/>
  <c r="J61" i="4"/>
  <c r="I61" i="4"/>
  <c r="I60" i="4"/>
  <c r="J60" i="4" s="1"/>
  <c r="K60" i="4" s="1"/>
  <c r="I59" i="4"/>
  <c r="J59" i="4" s="1"/>
  <c r="K59" i="4" s="1"/>
  <c r="I58" i="4"/>
  <c r="J58" i="4" s="1"/>
  <c r="K58" i="4" s="1"/>
  <c r="I57" i="4"/>
  <c r="J57" i="4" s="1"/>
  <c r="K57" i="4" s="1"/>
  <c r="I56" i="4"/>
  <c r="J56" i="4" s="1"/>
  <c r="K56" i="4" s="1"/>
  <c r="J55" i="4"/>
  <c r="K55" i="4" s="1"/>
  <c r="I55" i="4"/>
  <c r="J54" i="4"/>
  <c r="K54" i="4" s="1"/>
  <c r="I54" i="4"/>
  <c r="I53" i="4"/>
  <c r="J53" i="4" s="1"/>
  <c r="K53" i="4" s="1"/>
  <c r="I52" i="4"/>
  <c r="J52" i="4" s="1"/>
  <c r="K52" i="4" s="1"/>
  <c r="I51" i="4"/>
  <c r="J51" i="4" s="1"/>
  <c r="K51" i="4" s="1"/>
  <c r="I50" i="4"/>
  <c r="J50" i="4" s="1"/>
  <c r="K50" i="4" s="1"/>
  <c r="I49" i="4"/>
  <c r="J49" i="4" s="1"/>
  <c r="K49" i="4" s="1"/>
  <c r="I48" i="4"/>
  <c r="J48" i="4" s="1"/>
  <c r="K48" i="4" s="1"/>
  <c r="I47" i="4"/>
  <c r="J47" i="4" s="1"/>
  <c r="K47" i="4" s="1"/>
  <c r="J46" i="4"/>
  <c r="K46" i="4" s="1"/>
  <c r="I46" i="4"/>
  <c r="J45" i="4"/>
  <c r="K45" i="4" s="1"/>
  <c r="I45" i="4"/>
  <c r="I44" i="4"/>
  <c r="J44" i="4" s="1"/>
  <c r="K44" i="4" s="1"/>
  <c r="I43" i="4"/>
  <c r="J43" i="4" s="1"/>
  <c r="K43" i="4" s="1"/>
  <c r="I138" i="1"/>
  <c r="J138" i="1" s="1"/>
  <c r="K138" i="1" s="1"/>
  <c r="M125" i="1"/>
  <c r="M124" i="1"/>
  <c r="M123" i="1"/>
  <c r="M122" i="1"/>
  <c r="M121" i="1"/>
  <c r="N121" i="1" s="1"/>
  <c r="O121" i="1" s="1"/>
  <c r="M120" i="1"/>
  <c r="N120" i="1" s="1"/>
  <c r="O120" i="1" s="1"/>
  <c r="M119" i="1"/>
  <c r="N119" i="1" s="1"/>
  <c r="O119" i="1" s="1"/>
  <c r="M118" i="1"/>
  <c r="N118" i="1" s="1"/>
  <c r="O118" i="1" s="1"/>
  <c r="M117" i="1"/>
  <c r="N117" i="1" s="1"/>
  <c r="O117" i="1" s="1"/>
  <c r="M116" i="1"/>
  <c r="N116" i="1" s="1"/>
  <c r="O116" i="1" s="1"/>
  <c r="M115" i="1"/>
  <c r="N115" i="1" s="1"/>
  <c r="O115" i="1" s="1"/>
  <c r="M114" i="1"/>
  <c r="N114" i="1" s="1"/>
  <c r="O114" i="1" s="1"/>
  <c r="M113" i="1"/>
  <c r="N113" i="1" s="1"/>
  <c r="O113" i="1" s="1"/>
  <c r="M112" i="1"/>
  <c r="N112" i="1" s="1"/>
  <c r="O112" i="1" s="1"/>
  <c r="M111" i="1"/>
  <c r="N111" i="1" s="1"/>
  <c r="O111" i="1" s="1"/>
  <c r="M110" i="1"/>
  <c r="N110" i="1" s="1"/>
  <c r="O110" i="1" s="1"/>
  <c r="M109" i="1"/>
  <c r="N109" i="1" s="1"/>
  <c r="O109" i="1" s="1"/>
  <c r="M108" i="1"/>
  <c r="N108" i="1" s="1"/>
  <c r="O108" i="1" s="1"/>
  <c r="M107" i="1"/>
  <c r="N107" i="1" s="1"/>
  <c r="O107" i="1" s="1"/>
  <c r="M106" i="1"/>
  <c r="N106" i="1" s="1"/>
  <c r="O106" i="1" s="1"/>
  <c r="M105" i="1"/>
  <c r="N105" i="1" s="1"/>
  <c r="O105" i="1" s="1"/>
  <c r="M104" i="1"/>
  <c r="N104" i="1" s="1"/>
  <c r="O104" i="1" s="1"/>
  <c r="M103" i="1"/>
  <c r="N103" i="1" s="1"/>
  <c r="O103" i="1" s="1"/>
  <c r="M102" i="1"/>
  <c r="N102" i="1" s="1"/>
  <c r="O102" i="1" s="1"/>
  <c r="M101" i="1"/>
  <c r="N101" i="1" s="1"/>
  <c r="O101" i="1" s="1"/>
  <c r="M100" i="1"/>
  <c r="N100" i="1" s="1"/>
  <c r="O100" i="1" s="1"/>
  <c r="M99" i="1"/>
  <c r="N99" i="1" s="1"/>
  <c r="O99" i="1" s="1"/>
  <c r="M98" i="1"/>
  <c r="N98" i="1" s="1"/>
  <c r="O98" i="1" s="1"/>
  <c r="M97" i="1"/>
  <c r="N97" i="1" s="1"/>
  <c r="O97" i="1" s="1"/>
  <c r="M96" i="1"/>
  <c r="N96" i="1" s="1"/>
  <c r="O96" i="1" s="1"/>
  <c r="M95" i="1"/>
  <c r="N95" i="1" s="1"/>
  <c r="O95" i="1" s="1"/>
  <c r="M94" i="1"/>
  <c r="N94" i="1" s="1"/>
  <c r="O94" i="1" s="1"/>
  <c r="M93" i="1"/>
  <c r="N93" i="1" s="1"/>
  <c r="O93" i="1" s="1"/>
  <c r="M92" i="1"/>
  <c r="N92" i="1" s="1"/>
  <c r="O92" i="1" s="1"/>
  <c r="M91" i="1"/>
  <c r="N91" i="1" s="1"/>
  <c r="O91" i="1" s="1"/>
  <c r="M90" i="1"/>
  <c r="N90" i="1" s="1"/>
  <c r="O90" i="1" s="1"/>
  <c r="M89" i="1"/>
  <c r="N89" i="1" s="1"/>
  <c r="O89" i="1" s="1"/>
  <c r="M88" i="1"/>
  <c r="N88" i="1" s="1"/>
  <c r="O88" i="1" s="1"/>
  <c r="M87" i="1"/>
  <c r="N87" i="1" s="1"/>
  <c r="O87" i="1" s="1"/>
  <c r="M86" i="1"/>
  <c r="N86" i="1" s="1"/>
  <c r="O86" i="1" s="1"/>
  <c r="I78" i="1"/>
  <c r="J78" i="1" s="1"/>
  <c r="K78" i="1" s="1"/>
  <c r="I77" i="1"/>
  <c r="J77" i="1" s="1"/>
  <c r="K77" i="1" s="1"/>
  <c r="I76" i="1"/>
  <c r="J76" i="1" s="1"/>
  <c r="K76" i="1" s="1"/>
  <c r="I75" i="1"/>
  <c r="J75" i="1" s="1"/>
  <c r="K75" i="1" s="1"/>
  <c r="I74" i="1"/>
  <c r="J74" i="1" s="1"/>
  <c r="K74" i="1" s="1"/>
  <c r="I73" i="1"/>
  <c r="J73" i="1" s="1"/>
  <c r="K73" i="1" s="1"/>
  <c r="I72" i="1"/>
  <c r="J72" i="1" s="1"/>
  <c r="K72" i="1" s="1"/>
  <c r="I71" i="1"/>
  <c r="J71" i="1" s="1"/>
  <c r="K71" i="1" s="1"/>
  <c r="I70" i="1"/>
  <c r="J70" i="1" s="1"/>
  <c r="K70" i="1" s="1"/>
  <c r="I69" i="1"/>
  <c r="J69" i="1" s="1"/>
  <c r="K69" i="1" s="1"/>
  <c r="I68" i="1"/>
  <c r="J68" i="1" s="1"/>
  <c r="K68" i="1" s="1"/>
  <c r="I67" i="1"/>
  <c r="J67" i="1" s="1"/>
  <c r="K67" i="1" s="1"/>
  <c r="I66" i="1"/>
  <c r="J66" i="1" s="1"/>
  <c r="K66" i="1" s="1"/>
  <c r="I65" i="1"/>
  <c r="J65" i="1" s="1"/>
  <c r="K65" i="1" s="1"/>
  <c r="I64" i="1"/>
  <c r="J64" i="1" s="1"/>
  <c r="K64" i="1" s="1"/>
  <c r="I63" i="1"/>
  <c r="J63" i="1" s="1"/>
  <c r="K63" i="1" s="1"/>
  <c r="I62" i="1"/>
  <c r="J62" i="1" s="1"/>
  <c r="K62" i="1" s="1"/>
  <c r="I61" i="1"/>
  <c r="J61" i="1" s="1"/>
  <c r="K61" i="1" s="1"/>
  <c r="I60" i="1"/>
  <c r="J60" i="1" s="1"/>
  <c r="K60" i="1" s="1"/>
  <c r="I59" i="1"/>
  <c r="J59" i="1" s="1"/>
  <c r="K59" i="1" s="1"/>
  <c r="I58" i="1"/>
  <c r="J58" i="1" s="1"/>
  <c r="K58" i="1" s="1"/>
  <c r="I57" i="1"/>
  <c r="J57" i="1" s="1"/>
  <c r="K57" i="1" s="1"/>
  <c r="I56" i="1"/>
  <c r="J56" i="1" s="1"/>
  <c r="K56" i="1" s="1"/>
  <c r="I55" i="1"/>
  <c r="J55" i="1" s="1"/>
  <c r="K55" i="1" s="1"/>
  <c r="I54" i="1"/>
  <c r="J54" i="1" s="1"/>
  <c r="K54" i="1" s="1"/>
  <c r="I53" i="1"/>
  <c r="J53" i="1" s="1"/>
  <c r="K53" i="1" s="1"/>
  <c r="I52" i="1"/>
  <c r="J52" i="1" s="1"/>
  <c r="K52" i="1" s="1"/>
  <c r="I51" i="1"/>
  <c r="J51" i="1" s="1"/>
  <c r="K51" i="1" s="1"/>
  <c r="I50" i="1"/>
  <c r="J50" i="1" s="1"/>
  <c r="K50" i="1" s="1"/>
  <c r="I49" i="1"/>
  <c r="J49" i="1" s="1"/>
  <c r="K49" i="1" s="1"/>
  <c r="I48" i="1"/>
  <c r="J48" i="1" s="1"/>
  <c r="K48" i="1" s="1"/>
  <c r="I47" i="1"/>
  <c r="J47" i="1" s="1"/>
  <c r="K47" i="1" s="1"/>
  <c r="I46" i="1"/>
  <c r="J46" i="1" s="1"/>
  <c r="K46" i="1" s="1"/>
  <c r="I45" i="1"/>
  <c r="J45" i="1" s="1"/>
  <c r="K45" i="1" s="1"/>
  <c r="I44" i="1"/>
  <c r="J44" i="1" s="1"/>
  <c r="K44" i="1" s="1"/>
  <c r="I43" i="1"/>
  <c r="J43" i="1" s="1"/>
  <c r="K43" i="1" s="1"/>
  <c r="J139" i="4" l="1"/>
  <c r="K139" i="4" s="1"/>
  <c r="R86" i="4"/>
  <c r="I140" i="7"/>
  <c r="J139" i="7"/>
  <c r="K139" i="7" s="1"/>
  <c r="N42" i="7"/>
  <c r="R85" i="7"/>
  <c r="J138" i="7"/>
  <c r="K138" i="7" s="1"/>
  <c r="N42" i="4"/>
  <c r="J140" i="4"/>
  <c r="K140" i="4" s="1"/>
  <c r="I141" i="4"/>
  <c r="N42" i="1"/>
  <c r="R85" i="1"/>
  <c r="I139" i="1"/>
  <c r="J140" i="7" l="1"/>
  <c r="K140" i="7" s="1"/>
  <c r="I141" i="7"/>
  <c r="I142" i="4"/>
  <c r="J141" i="4"/>
  <c r="K141" i="4" s="1"/>
  <c r="I140" i="1"/>
  <c r="J139" i="1"/>
  <c r="K139" i="1" s="1"/>
  <c r="I142" i="7" l="1"/>
  <c r="J141" i="7"/>
  <c r="K141" i="7" s="1"/>
  <c r="I143" i="4"/>
  <c r="J142" i="4"/>
  <c r="K142" i="4" s="1"/>
  <c r="I141" i="1"/>
  <c r="J140" i="1"/>
  <c r="K140" i="1" s="1"/>
  <c r="J142" i="7" l="1"/>
  <c r="K142" i="7" s="1"/>
  <c r="I143" i="7"/>
  <c r="I144" i="4"/>
  <c r="J143" i="4"/>
  <c r="K143" i="4" s="1"/>
  <c r="J141" i="1"/>
  <c r="K141" i="1" s="1"/>
  <c r="I142" i="1"/>
  <c r="I144" i="7" l="1"/>
  <c r="J143" i="7"/>
  <c r="K143" i="7" s="1"/>
  <c r="J144" i="4"/>
  <c r="K144" i="4" s="1"/>
  <c r="I145" i="4"/>
  <c r="I143" i="1"/>
  <c r="J142" i="1"/>
  <c r="K142" i="1" s="1"/>
  <c r="I145" i="7" l="1"/>
  <c r="J144" i="7"/>
  <c r="K144" i="7" s="1"/>
  <c r="I146" i="4"/>
  <c r="J145" i="4"/>
  <c r="K145" i="4" s="1"/>
  <c r="J143" i="1"/>
  <c r="K143" i="1" s="1"/>
  <c r="I144" i="1"/>
  <c r="J145" i="7" l="1"/>
  <c r="K145" i="7" s="1"/>
  <c r="I146" i="7"/>
  <c r="I147" i="4"/>
  <c r="J146" i="4"/>
  <c r="K146" i="4" s="1"/>
  <c r="I145" i="1"/>
  <c r="J144" i="1"/>
  <c r="K144" i="1" s="1"/>
  <c r="I147" i="7" l="1"/>
  <c r="J146" i="7"/>
  <c r="K146" i="7" s="1"/>
  <c r="J147" i="4"/>
  <c r="K147" i="4" s="1"/>
  <c r="I148" i="4"/>
  <c r="I146" i="1"/>
  <c r="J145" i="1"/>
  <c r="K145" i="1" s="1"/>
  <c r="I148" i="7" l="1"/>
  <c r="J147" i="7"/>
  <c r="K147" i="7" s="1"/>
  <c r="J148" i="4"/>
  <c r="K148" i="4" s="1"/>
  <c r="I149" i="4"/>
  <c r="J146" i="1"/>
  <c r="K146" i="1" s="1"/>
  <c r="I147" i="1"/>
  <c r="J148" i="7" l="1"/>
  <c r="K148" i="7" s="1"/>
  <c r="I149" i="7"/>
  <c r="I150" i="4"/>
  <c r="J149" i="4"/>
  <c r="K149" i="4" s="1"/>
  <c r="I148" i="1"/>
  <c r="J147" i="1"/>
  <c r="K147" i="1" s="1"/>
  <c r="I150" i="7" l="1"/>
  <c r="J149" i="7"/>
  <c r="K149" i="7" s="1"/>
  <c r="I151" i="4"/>
  <c r="J150" i="4"/>
  <c r="K150" i="4" s="1"/>
  <c r="I149" i="1"/>
  <c r="J148" i="1"/>
  <c r="K148" i="1" s="1"/>
  <c r="J150" i="7" l="1"/>
  <c r="K150" i="7" s="1"/>
  <c r="I151" i="7"/>
  <c r="I152" i="4"/>
  <c r="J151" i="4"/>
  <c r="K151" i="4" s="1"/>
  <c r="I150" i="1"/>
  <c r="J149" i="1"/>
  <c r="K149" i="1" s="1"/>
  <c r="I152" i="7" l="1"/>
  <c r="J151" i="7"/>
  <c r="K151" i="7" s="1"/>
  <c r="J152" i="4"/>
  <c r="K152" i="4" s="1"/>
  <c r="I153" i="4"/>
  <c r="I151" i="1"/>
  <c r="J150" i="1"/>
  <c r="K150" i="1" s="1"/>
  <c r="I153" i="7" l="1"/>
  <c r="J152" i="7"/>
  <c r="K152" i="7" s="1"/>
  <c r="I154" i="4"/>
  <c r="J153" i="4"/>
  <c r="K153" i="4" s="1"/>
  <c r="J151" i="1"/>
  <c r="K151" i="1" s="1"/>
  <c r="I152" i="1"/>
  <c r="J153" i="7" l="1"/>
  <c r="K153" i="7" s="1"/>
  <c r="I154" i="7"/>
  <c r="I155" i="4"/>
  <c r="J154" i="4"/>
  <c r="K154" i="4" s="1"/>
  <c r="I153" i="1"/>
  <c r="J152" i="1"/>
  <c r="K152" i="1" s="1"/>
  <c r="I155" i="7" l="1"/>
  <c r="J154" i="7"/>
  <c r="K154" i="7" s="1"/>
  <c r="J155" i="4"/>
  <c r="K155" i="4" s="1"/>
  <c r="I156" i="4"/>
  <c r="I154" i="1"/>
  <c r="J153" i="1"/>
  <c r="K153" i="1" s="1"/>
  <c r="I156" i="7" l="1"/>
  <c r="J155" i="7"/>
  <c r="K155" i="7" s="1"/>
  <c r="I157" i="4"/>
  <c r="J156" i="4"/>
  <c r="K156" i="4" s="1"/>
  <c r="J154" i="1"/>
  <c r="K154" i="1" s="1"/>
  <c r="I155" i="1"/>
  <c r="J156" i="7" l="1"/>
  <c r="K156" i="7" s="1"/>
  <c r="I157" i="7"/>
  <c r="I158" i="4"/>
  <c r="J157" i="4"/>
  <c r="K157" i="4" s="1"/>
  <c r="I156" i="1"/>
  <c r="J155" i="1"/>
  <c r="K155" i="1" s="1"/>
  <c r="I158" i="7" l="1"/>
  <c r="J157" i="7"/>
  <c r="K157" i="7" s="1"/>
  <c r="I159" i="4"/>
  <c r="J158" i="4"/>
  <c r="K158" i="4" s="1"/>
  <c r="I157" i="1"/>
  <c r="J156" i="1"/>
  <c r="K156" i="1" s="1"/>
  <c r="J158" i="7" l="1"/>
  <c r="K158" i="7" s="1"/>
  <c r="I159" i="7"/>
  <c r="I160" i="4"/>
  <c r="J159" i="4"/>
  <c r="K159" i="4" s="1"/>
  <c r="I158" i="1"/>
  <c r="J157" i="1"/>
  <c r="K157" i="1" s="1"/>
  <c r="I160" i="7" l="1"/>
  <c r="J159" i="7"/>
  <c r="K159" i="7" s="1"/>
  <c r="J160" i="4"/>
  <c r="K160" i="4" s="1"/>
  <c r="I161" i="4"/>
  <c r="I159" i="1"/>
  <c r="J158" i="1"/>
  <c r="K158" i="1" s="1"/>
  <c r="I161" i="7" l="1"/>
  <c r="J160" i="7"/>
  <c r="K160" i="7" s="1"/>
  <c r="I162" i="4"/>
  <c r="J161" i="4"/>
  <c r="K161" i="4" s="1"/>
  <c r="J159" i="1"/>
  <c r="K159" i="1" s="1"/>
  <c r="I160" i="1"/>
  <c r="J161" i="7" l="1"/>
  <c r="K161" i="7" s="1"/>
  <c r="I162" i="7"/>
  <c r="I163" i="4"/>
  <c r="J162" i="4"/>
  <c r="K162" i="4" s="1"/>
  <c r="I161" i="1"/>
  <c r="J160" i="1"/>
  <c r="K160" i="1" s="1"/>
  <c r="I163" i="7" l="1"/>
  <c r="J162" i="7"/>
  <c r="K162" i="7" s="1"/>
  <c r="J163" i="4"/>
  <c r="K163" i="4" s="1"/>
  <c r="I164" i="4"/>
  <c r="I162" i="1"/>
  <c r="J161" i="1"/>
  <c r="K161" i="1" s="1"/>
  <c r="I164" i="7" l="1"/>
  <c r="J163" i="7"/>
  <c r="K163" i="7" s="1"/>
  <c r="J164" i="4"/>
  <c r="K164" i="4" s="1"/>
  <c r="I165" i="4"/>
  <c r="J162" i="1"/>
  <c r="K162" i="1" s="1"/>
  <c r="I163" i="1"/>
  <c r="J164" i="7" l="1"/>
  <c r="K164" i="7" s="1"/>
  <c r="I165" i="7"/>
  <c r="I166" i="4"/>
  <c r="J165" i="4"/>
  <c r="K165" i="4" s="1"/>
  <c r="I164" i="1"/>
  <c r="J163" i="1"/>
  <c r="K163" i="1" s="1"/>
  <c r="I166" i="7" l="1"/>
  <c r="J165" i="7"/>
  <c r="K165" i="7" s="1"/>
  <c r="I167" i="4"/>
  <c r="J166" i="4"/>
  <c r="K166" i="4" s="1"/>
  <c r="I165" i="1"/>
  <c r="J164" i="1"/>
  <c r="K164" i="1" s="1"/>
  <c r="J166" i="7" l="1"/>
  <c r="K166" i="7" s="1"/>
  <c r="I167" i="7"/>
  <c r="I168" i="4"/>
  <c r="J167" i="4"/>
  <c r="K167" i="4" s="1"/>
  <c r="J165" i="1"/>
  <c r="K165" i="1" s="1"/>
  <c r="I166" i="1"/>
  <c r="I168" i="7" l="1"/>
  <c r="J167" i="7"/>
  <c r="K167" i="7" s="1"/>
  <c r="J168" i="4"/>
  <c r="K168" i="4" s="1"/>
  <c r="I169" i="4"/>
  <c r="I167" i="1"/>
  <c r="J166" i="1"/>
  <c r="K166" i="1" s="1"/>
  <c r="I169" i="7" l="1"/>
  <c r="J168" i="7"/>
  <c r="K168" i="7" s="1"/>
  <c r="I170" i="4"/>
  <c r="J169" i="4"/>
  <c r="K169" i="4" s="1"/>
  <c r="J167" i="1"/>
  <c r="K167" i="1" s="1"/>
  <c r="I168" i="1"/>
  <c r="J169" i="7" l="1"/>
  <c r="K169" i="7" s="1"/>
  <c r="I170" i="7"/>
  <c r="I171" i="4"/>
  <c r="J170" i="4"/>
  <c r="K170" i="4" s="1"/>
  <c r="I169" i="1"/>
  <c r="J168" i="1"/>
  <c r="K168" i="1" s="1"/>
  <c r="I171" i="7" l="1"/>
  <c r="J170" i="7"/>
  <c r="K170" i="7" s="1"/>
  <c r="J171" i="4"/>
  <c r="K171" i="4" s="1"/>
  <c r="I172" i="4"/>
  <c r="I170" i="1"/>
  <c r="J169" i="1"/>
  <c r="K169" i="1" s="1"/>
  <c r="I172" i="7" l="1"/>
  <c r="J171" i="7"/>
  <c r="K171" i="7" s="1"/>
  <c r="N135" i="7" s="1"/>
  <c r="I173" i="4"/>
  <c r="J172" i="4"/>
  <c r="K172" i="4" s="1"/>
  <c r="J170" i="1"/>
  <c r="K170" i="1" s="1"/>
  <c r="I171" i="1"/>
  <c r="I174" i="4" l="1"/>
  <c r="J173" i="4"/>
  <c r="K173" i="4" s="1"/>
  <c r="N137" i="4" s="1"/>
  <c r="I172" i="1"/>
  <c r="J171" i="1"/>
  <c r="K171" i="1" s="1"/>
  <c r="I173" i="1" l="1"/>
  <c r="J172" i="1"/>
  <c r="K172" i="1" s="1"/>
  <c r="N136" i="1" s="1"/>
</calcChain>
</file>

<file path=xl/sharedStrings.xml><?xml version="1.0" encoding="utf-8"?>
<sst xmlns="http://schemas.openxmlformats.org/spreadsheetml/2006/main" count="4371" uniqueCount="90">
  <si>
    <t>Period</t>
  </si>
  <si>
    <t>Year</t>
  </si>
  <si>
    <t>Quarter</t>
  </si>
  <si>
    <t>HB</t>
  </si>
  <si>
    <t>HBQF</t>
  </si>
  <si>
    <t>HBT</t>
  </si>
  <si>
    <t>HBT Name</t>
  </si>
  <si>
    <t>Percentage of Referrals Treated</t>
  </si>
  <si>
    <t>S92000003</t>
  </si>
  <si>
    <t>d</t>
  </si>
  <si>
    <t>S08000020</t>
  </si>
  <si>
    <t>NHS Grampian</t>
  </si>
  <si>
    <t>1. Linear Trend</t>
  </si>
  <si>
    <t>Forecast</t>
  </si>
  <si>
    <t>Forecast Error</t>
  </si>
  <si>
    <t>Sq Forecast Error</t>
  </si>
  <si>
    <t>MSE</t>
  </si>
  <si>
    <t>Coefficients</t>
  </si>
  <si>
    <t>Intercept</t>
  </si>
  <si>
    <t>2. Linear Trend with Seasonality</t>
  </si>
  <si>
    <t>Qtr1</t>
  </si>
  <si>
    <t>Qtr2</t>
  </si>
  <si>
    <t>Qtr3</t>
  </si>
  <si>
    <t>3. Exponential Smoothing</t>
  </si>
  <si>
    <t>Smoothing constant</t>
  </si>
  <si>
    <t>Constant</t>
  </si>
  <si>
    <t>&lt;&lt;BEST&gt;&gt;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</si>
  <si>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</si>
  <si>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</si>
  <si>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</si>
  <si>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</si>
  <si>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</si>
  <si>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</si>
  <si>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</si>
  <si>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</si>
  <si>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</si>
  <si>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</si>
  <si>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</si>
  <si>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</si>
  <si>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</si>
  <si>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</si>
  <si>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</si>
  <si>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</si>
  <si>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t Stat</t>
  </si>
  <si>
    <t>P-value</t>
  </si>
  <si>
    <t>Lower 95%</t>
  </si>
  <si>
    <t>Upper 95%</t>
  </si>
  <si>
    <t>Lower 95.0%</t>
  </si>
  <si>
    <t>Upper 95.0%</t>
  </si>
  <si>
    <t>S08000024</t>
  </si>
  <si>
    <t>NHS Lothian</t>
  </si>
  <si>
    <t>1) Linear Trend</t>
  </si>
  <si>
    <t>S08000030</t>
  </si>
  <si>
    <t>NHS Tayside</t>
  </si>
  <si>
    <t>1)Linear Trend</t>
  </si>
  <si>
    <t>Smoothing Constant</t>
  </si>
  <si>
    <t>The Golden Jubilee National Hospital</t>
  </si>
  <si>
    <t>SB0801</t>
  </si>
  <si>
    <t>NHS Lanarkshire</t>
  </si>
  <si>
    <t>S08000032</t>
  </si>
  <si>
    <t>NHS Greater Glasgow and Clyde</t>
  </si>
  <si>
    <t>S08000031</t>
  </si>
  <si>
    <t>NHS Fife</t>
  </si>
  <si>
    <t>S08000029</t>
  </si>
  <si>
    <t>NHS Western Isles</t>
  </si>
  <si>
    <t>S08000028</t>
  </si>
  <si>
    <t>NHS Shetland</t>
  </si>
  <si>
    <t>S08000026</t>
  </si>
  <si>
    <t>NHS Highland</t>
  </si>
  <si>
    <t>S08000022</t>
  </si>
  <si>
    <t>NHS Forth Valley</t>
  </si>
  <si>
    <t>S08000019</t>
  </si>
  <si>
    <t>NHS Dumfries and Galloway</t>
  </si>
  <si>
    <t>S08000017</t>
  </si>
  <si>
    <t>NHS Borders</t>
  </si>
  <si>
    <t>S08000016</t>
  </si>
  <si>
    <t>NHS Ayrshire and Arran</t>
  </si>
  <si>
    <t>S08000015</t>
  </si>
  <si>
    <t>Forecast Method</t>
  </si>
  <si>
    <t>Linear Trend</t>
  </si>
  <si>
    <t>Linear Trend with Seasonality</t>
  </si>
  <si>
    <t>Exponential Smoothing</t>
  </si>
  <si>
    <t xml:space="preserve">Analysis of Cancer Waiting Time in the Tayside Health Board: EXCLUDING the year 2020 </t>
  </si>
  <si>
    <t xml:space="preserve">Analysis of Cancer Waiting Time in the Lothian Health Board: EXCUDING the year 2020 </t>
  </si>
  <si>
    <t xml:space="preserve">Analysis of Cancer Waiting Time in the Grampian Health Board: EXCUDING the year 2020 </t>
  </si>
  <si>
    <t>Chosen forecast method</t>
  </si>
  <si>
    <t>Without 2020</t>
  </si>
  <si>
    <t>Health Board</t>
  </si>
  <si>
    <t>Datasets</t>
  </si>
  <si>
    <t>Cancer Referrals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</si>
</sst>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2" fontId="0" fillId="3" borderId="0" xfId="0" applyNumberFormat="1" applyFill="1"/>
    <xf numFmtId="0" fontId="0" fillId="4" borderId="0" xfId="0" applyFill="1"/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centerContinuous"/>
    </xf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 of Referrals T</a:t>
            </a:r>
            <a:r>
              <a:rPr lang="en-GB" sz="1400" b="0" i="0" u="none" strike="noStrike" baseline="0">
                <a:effectLst/>
              </a:rPr>
              <a:t>reated per Health Board overtime Quarterly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4"/>
          <c:tx>
            <c:v>NHS Grampian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[1]Final!$A$162:$A$201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[1]Final!$M$162:$M$201</c:f>
              <c:numCache>
                <c:formatCode>General</c:formatCode>
                <c:ptCount val="40"/>
                <c:pt idx="0">
                  <c:v>90.102389078498291</c:v>
                </c:pt>
                <c:pt idx="1">
                  <c:v>95.136778115501514</c:v>
                </c:pt>
                <c:pt idx="2">
                  <c:v>88.679245283018872</c:v>
                </c:pt>
                <c:pt idx="3">
                  <c:v>95.59748427672956</c:v>
                </c:pt>
                <c:pt idx="4">
                  <c:v>90.202702702702695</c:v>
                </c:pt>
                <c:pt idx="5">
                  <c:v>88.698630136986296</c:v>
                </c:pt>
                <c:pt idx="6">
                  <c:v>89.368770764119603</c:v>
                </c:pt>
                <c:pt idx="7">
                  <c:v>92.145015105740185</c:v>
                </c:pt>
                <c:pt idx="8">
                  <c:v>85.483870967741936</c:v>
                </c:pt>
                <c:pt idx="9">
                  <c:v>90.282131661442008</c:v>
                </c:pt>
                <c:pt idx="10">
                  <c:v>86.82634730538922</c:v>
                </c:pt>
                <c:pt idx="11">
                  <c:v>89.130434782608688</c:v>
                </c:pt>
                <c:pt idx="12">
                  <c:v>85.534591194968556</c:v>
                </c:pt>
                <c:pt idx="13">
                  <c:v>84.482758620689651</c:v>
                </c:pt>
                <c:pt idx="14">
                  <c:v>85</c:v>
                </c:pt>
                <c:pt idx="15">
                  <c:v>86.549707602339183</c:v>
                </c:pt>
                <c:pt idx="16">
                  <c:v>86.834733893557427</c:v>
                </c:pt>
                <c:pt idx="17">
                  <c:v>85.13513513513513</c:v>
                </c:pt>
                <c:pt idx="18">
                  <c:v>81.723237597911222</c:v>
                </c:pt>
                <c:pt idx="19">
                  <c:v>84.382871536523936</c:v>
                </c:pt>
                <c:pt idx="20">
                  <c:v>85.359801488833739</c:v>
                </c:pt>
                <c:pt idx="21">
                  <c:v>81.84143222506394</c:v>
                </c:pt>
                <c:pt idx="22">
                  <c:v>82.608695652173907</c:v>
                </c:pt>
                <c:pt idx="23">
                  <c:v>79.606879606879616</c:v>
                </c:pt>
                <c:pt idx="24">
                  <c:v>75.797872340425528</c:v>
                </c:pt>
                <c:pt idx="25">
                  <c:v>79.820627802690581</c:v>
                </c:pt>
                <c:pt idx="26">
                  <c:v>76.712328767123282</c:v>
                </c:pt>
                <c:pt idx="27">
                  <c:v>79.136690647482013</c:v>
                </c:pt>
                <c:pt idx="28">
                  <c:v>76.737967914438499</c:v>
                </c:pt>
                <c:pt idx="29">
                  <c:v>86.634844868735087</c:v>
                </c:pt>
                <c:pt idx="30">
                  <c:v>79.126213592233015</c:v>
                </c:pt>
                <c:pt idx="31">
                  <c:v>79.255319148936167</c:v>
                </c:pt>
                <c:pt idx="32">
                  <c:v>83.78378378378379</c:v>
                </c:pt>
                <c:pt idx="33">
                  <c:v>80.792682926829272</c:v>
                </c:pt>
                <c:pt idx="34">
                  <c:v>81.350482315112544</c:v>
                </c:pt>
                <c:pt idx="35">
                  <c:v>86.206896551724128</c:v>
                </c:pt>
                <c:pt idx="36">
                  <c:v>75.454545454545453</c:v>
                </c:pt>
                <c:pt idx="37">
                  <c:v>80.361757105943155</c:v>
                </c:pt>
                <c:pt idx="38">
                  <c:v>75.335120643431637</c:v>
                </c:pt>
                <c:pt idx="39">
                  <c:v>72.616136919315394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4C-4F0E-AF3B-F00A0B3EAF19}"/>
            </c:ext>
          </c:extLst>
        </c:ser>
        <c:ser>
          <c:idx val="6"/>
          <c:order val="6"/>
          <c:tx>
            <c:v>NHS Lothian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[1]Final!$A$242:$A$281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[1]Final!$M$242:$M$281</c:f>
              <c:numCache>
                <c:formatCode>General</c:formatCode>
                <c:ptCount val="40"/>
                <c:pt idx="0">
                  <c:v>94.642857142857139</c:v>
                </c:pt>
                <c:pt idx="1">
                  <c:v>92.025518341307816</c:v>
                </c:pt>
                <c:pt idx="2">
                  <c:v>90.085470085470092</c:v>
                </c:pt>
                <c:pt idx="3">
                  <c:v>95.595432300163125</c:v>
                </c:pt>
                <c:pt idx="4">
                  <c:v>94.708029197080293</c:v>
                </c:pt>
                <c:pt idx="5">
                  <c:v>94.21641791044776</c:v>
                </c:pt>
                <c:pt idx="6">
                  <c:v>95.585738539898131</c:v>
                </c:pt>
                <c:pt idx="7">
                  <c:v>94.38943894389439</c:v>
                </c:pt>
                <c:pt idx="8">
                  <c:v>90.733590733590731</c:v>
                </c:pt>
                <c:pt idx="9">
                  <c:v>92.266187050359719</c:v>
                </c:pt>
                <c:pt idx="10">
                  <c:v>94.026974951830439</c:v>
                </c:pt>
                <c:pt idx="11">
                  <c:v>93.849206349206355</c:v>
                </c:pt>
                <c:pt idx="12">
                  <c:v>92.427184466019412</c:v>
                </c:pt>
                <c:pt idx="13">
                  <c:v>92.222222222222229</c:v>
                </c:pt>
                <c:pt idx="14">
                  <c:v>92.723880597014926</c:v>
                </c:pt>
                <c:pt idx="15">
                  <c:v>91.064638783269956</c:v>
                </c:pt>
                <c:pt idx="16">
                  <c:v>90.427698574338095</c:v>
                </c:pt>
                <c:pt idx="17">
                  <c:v>91.452991452991455</c:v>
                </c:pt>
                <c:pt idx="18">
                  <c:v>87.449392712550605</c:v>
                </c:pt>
                <c:pt idx="19">
                  <c:v>82.592592592592595</c:v>
                </c:pt>
                <c:pt idx="20">
                  <c:v>87.620889748549331</c:v>
                </c:pt>
                <c:pt idx="21">
                  <c:v>85.621970920840056</c:v>
                </c:pt>
                <c:pt idx="22">
                  <c:v>86.542056074766364</c:v>
                </c:pt>
                <c:pt idx="23">
                  <c:v>89.303904923599319</c:v>
                </c:pt>
                <c:pt idx="24">
                  <c:v>85.027726432532347</c:v>
                </c:pt>
                <c:pt idx="25">
                  <c:v>80.769230769230774</c:v>
                </c:pt>
                <c:pt idx="26">
                  <c:v>78.703703703703709</c:v>
                </c:pt>
                <c:pt idx="27">
                  <c:v>80.060422960725077</c:v>
                </c:pt>
                <c:pt idx="28">
                  <c:v>78.13559322033899</c:v>
                </c:pt>
                <c:pt idx="29">
                  <c:v>73.668188736681884</c:v>
                </c:pt>
                <c:pt idx="30">
                  <c:v>78.236130867709818</c:v>
                </c:pt>
                <c:pt idx="31">
                  <c:v>80.277349768875197</c:v>
                </c:pt>
                <c:pt idx="32">
                  <c:v>81.748466257668724</c:v>
                </c:pt>
                <c:pt idx="33">
                  <c:v>82.417582417582409</c:v>
                </c:pt>
                <c:pt idx="34">
                  <c:v>83.712121212121218</c:v>
                </c:pt>
                <c:pt idx="35">
                  <c:v>86.486486486486484</c:v>
                </c:pt>
                <c:pt idx="36">
                  <c:v>82.736156351791536</c:v>
                </c:pt>
                <c:pt idx="37">
                  <c:v>85.348506401137982</c:v>
                </c:pt>
                <c:pt idx="38">
                  <c:v>85.126162018592296</c:v>
                </c:pt>
                <c:pt idx="39">
                  <c:v>82.871536523929464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4C-4F0E-AF3B-F00A0B3EAF19}"/>
            </c:ext>
          </c:extLst>
        </c:ser>
        <c:ser>
          <c:idx val="10"/>
          <c:order val="10"/>
          <c:tx>
            <c:v>NHS Tayside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[1]Final!$A$402:$A$441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[1]Final!$M$402:$M$441</c:f>
              <c:numCache>
                <c:formatCode>General</c:formatCode>
                <c:ptCount val="40"/>
                <c:pt idx="0">
                  <c:v>95.927601809954751</c:v>
                </c:pt>
                <c:pt idx="1">
                  <c:v>96.832579185520359</c:v>
                </c:pt>
                <c:pt idx="2">
                  <c:v>95.238095238095227</c:v>
                </c:pt>
                <c:pt idx="3">
                  <c:v>95.544554455445535</c:v>
                </c:pt>
                <c:pt idx="4">
                  <c:v>93.212669683257914</c:v>
                </c:pt>
                <c:pt idx="5">
                  <c:v>94.468085106382986</c:v>
                </c:pt>
                <c:pt idx="6">
                  <c:v>96</c:v>
                </c:pt>
                <c:pt idx="7">
                  <c:v>90.366972477064223</c:v>
                </c:pt>
                <c:pt idx="8">
                  <c:v>91.079812206572768</c:v>
                </c:pt>
                <c:pt idx="9">
                  <c:v>94.805194805194802</c:v>
                </c:pt>
                <c:pt idx="10">
                  <c:v>97.787610619469021</c:v>
                </c:pt>
                <c:pt idx="11">
                  <c:v>96.943231441048042</c:v>
                </c:pt>
                <c:pt idx="12">
                  <c:v>91.709844559585491</c:v>
                </c:pt>
                <c:pt idx="13">
                  <c:v>92.672413793103445</c:v>
                </c:pt>
                <c:pt idx="14">
                  <c:v>86.142322097378283</c:v>
                </c:pt>
                <c:pt idx="15">
                  <c:v>88.659793814432987</c:v>
                </c:pt>
                <c:pt idx="16">
                  <c:v>92.410714285714292</c:v>
                </c:pt>
                <c:pt idx="17">
                  <c:v>89.610389610389603</c:v>
                </c:pt>
                <c:pt idx="18">
                  <c:v>82.969432314410483</c:v>
                </c:pt>
                <c:pt idx="19">
                  <c:v>87.169811320754718</c:v>
                </c:pt>
                <c:pt idx="20">
                  <c:v>89.88326848249028</c:v>
                </c:pt>
                <c:pt idx="21">
                  <c:v>90.34749034749035</c:v>
                </c:pt>
                <c:pt idx="22">
                  <c:v>89.642857142857153</c:v>
                </c:pt>
                <c:pt idx="23">
                  <c:v>89.400921658986178</c:v>
                </c:pt>
                <c:pt idx="24">
                  <c:v>86.419753086419746</c:v>
                </c:pt>
                <c:pt idx="25">
                  <c:v>87.931034482758619</c:v>
                </c:pt>
                <c:pt idx="26">
                  <c:v>83.467741935483872</c:v>
                </c:pt>
                <c:pt idx="27">
                  <c:v>82.926829268292678</c:v>
                </c:pt>
                <c:pt idx="28">
                  <c:v>88.60759493670885</c:v>
                </c:pt>
                <c:pt idx="29">
                  <c:v>89.523809523809533</c:v>
                </c:pt>
                <c:pt idx="30">
                  <c:v>95.238095238095227</c:v>
                </c:pt>
                <c:pt idx="31">
                  <c:v>94.930875576036868</c:v>
                </c:pt>
                <c:pt idx="32">
                  <c:v>91.904761904761898</c:v>
                </c:pt>
                <c:pt idx="33">
                  <c:v>89.142857142857139</c:v>
                </c:pt>
                <c:pt idx="34">
                  <c:v>97.252747252747255</c:v>
                </c:pt>
                <c:pt idx="35">
                  <c:v>97.560975609756099</c:v>
                </c:pt>
                <c:pt idx="36">
                  <c:v>93.782383419689126</c:v>
                </c:pt>
                <c:pt idx="37">
                  <c:v>90.909090909090907</c:v>
                </c:pt>
                <c:pt idx="38">
                  <c:v>92.857142857142861</c:v>
                </c:pt>
                <c:pt idx="39">
                  <c:v>88.185654008438817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4C-4F0E-AF3B-F00A0B3EA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138960"/>
        <c:axId val="7431394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NHS Ayrshire and Arran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[1]Final!$A$2:$A$41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[1]Final!$M$2:$M$41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97.041420118343197</c:v>
                      </c:pt>
                      <c:pt idx="1">
                        <c:v>97.044334975369466</c:v>
                      </c:pt>
                      <c:pt idx="2">
                        <c:v>97.014925373134332</c:v>
                      </c:pt>
                      <c:pt idx="3">
                        <c:v>96.36363636363636</c:v>
                      </c:pt>
                      <c:pt idx="4">
                        <c:v>98.275862068965509</c:v>
                      </c:pt>
                      <c:pt idx="5">
                        <c:v>96.934865900383144</c:v>
                      </c:pt>
                      <c:pt idx="6">
                        <c:v>97.083333333333329</c:v>
                      </c:pt>
                      <c:pt idx="7">
                        <c:v>98</c:v>
                      </c:pt>
                      <c:pt idx="8">
                        <c:v>98.578199052132703</c:v>
                      </c:pt>
                      <c:pt idx="9">
                        <c:v>95.594713656387668</c:v>
                      </c:pt>
                      <c:pt idx="10">
                        <c:v>97.468354430379748</c:v>
                      </c:pt>
                      <c:pt idx="11">
                        <c:v>95.689655172413794</c:v>
                      </c:pt>
                      <c:pt idx="12">
                        <c:v>94.560669456066947</c:v>
                      </c:pt>
                      <c:pt idx="13">
                        <c:v>97.244094488188978</c:v>
                      </c:pt>
                      <c:pt idx="14">
                        <c:v>96.551724137931032</c:v>
                      </c:pt>
                      <c:pt idx="15">
                        <c:v>95.594713656387668</c:v>
                      </c:pt>
                      <c:pt idx="16">
                        <c:v>93.689320388349515</c:v>
                      </c:pt>
                      <c:pt idx="17">
                        <c:v>93.055555555555557</c:v>
                      </c:pt>
                      <c:pt idx="18">
                        <c:v>95.614035087719301</c:v>
                      </c:pt>
                      <c:pt idx="19">
                        <c:v>95.319148936170222</c:v>
                      </c:pt>
                      <c:pt idx="20">
                        <c:v>95.794392523364493</c:v>
                      </c:pt>
                      <c:pt idx="21">
                        <c:v>94.9579831932773</c:v>
                      </c:pt>
                      <c:pt idx="22">
                        <c:v>92.96875</c:v>
                      </c:pt>
                      <c:pt idx="23">
                        <c:v>96.399999999999991</c:v>
                      </c:pt>
                      <c:pt idx="24">
                        <c:v>92.165898617511516</c:v>
                      </c:pt>
                      <c:pt idx="25">
                        <c:v>91.363636363636374</c:v>
                      </c:pt>
                      <c:pt idx="26">
                        <c:v>88.65546218487394</c:v>
                      </c:pt>
                      <c:pt idx="27">
                        <c:v>86.715867158671585</c:v>
                      </c:pt>
                      <c:pt idx="28">
                        <c:v>84.549356223175963</c:v>
                      </c:pt>
                      <c:pt idx="29">
                        <c:v>83.206106870229007</c:v>
                      </c:pt>
                      <c:pt idx="30">
                        <c:v>88.721804511278194</c:v>
                      </c:pt>
                      <c:pt idx="31">
                        <c:v>89.565217391304358</c:v>
                      </c:pt>
                      <c:pt idx="32">
                        <c:v>93.155893536121667</c:v>
                      </c:pt>
                      <c:pt idx="33">
                        <c:v>94.642857142857139</c:v>
                      </c:pt>
                      <c:pt idx="34">
                        <c:v>94.857142857142861</c:v>
                      </c:pt>
                      <c:pt idx="35">
                        <c:v>85.777777777777771</c:v>
                      </c:pt>
                      <c:pt idx="36">
                        <c:v>79.555555555555557</c:v>
                      </c:pt>
                      <c:pt idx="37">
                        <c:v>88.405797101449281</c:v>
                      </c:pt>
                      <c:pt idx="38">
                        <c:v>85.407725321888421</c:v>
                      </c:pt>
                      <c:pt idx="39">
                        <c:v>77.642276422764226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94C-4F0E-AF3B-F00A0B3EAF1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NHS Borders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[1]Final!$A$42:$A$81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[1]Final!$M$42:$M$81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98.305084745762713</c:v>
                      </c:pt>
                      <c:pt idx="5">
                        <c:v>93.75</c:v>
                      </c:pt>
                      <c:pt idx="6">
                        <c:v>97.142857142857139</c:v>
                      </c:pt>
                      <c:pt idx="7">
                        <c:v>98.591549295774655</c:v>
                      </c:pt>
                      <c:pt idx="8">
                        <c:v>97.674418604651152</c:v>
                      </c:pt>
                      <c:pt idx="9">
                        <c:v>100</c:v>
                      </c:pt>
                      <c:pt idx="10">
                        <c:v>97.916666666666657</c:v>
                      </c:pt>
                      <c:pt idx="11">
                        <c:v>100</c:v>
                      </c:pt>
                      <c:pt idx="12">
                        <c:v>96.610169491525426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100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98.4375</c:v>
                      </c:pt>
                      <c:pt idx="20">
                        <c:v>98.550724637681171</c:v>
                      </c:pt>
                      <c:pt idx="21">
                        <c:v>97.101449275362313</c:v>
                      </c:pt>
                      <c:pt idx="22">
                        <c:v>100</c:v>
                      </c:pt>
                      <c:pt idx="23">
                        <c:v>98.305084745762713</c:v>
                      </c:pt>
                      <c:pt idx="24">
                        <c:v>100</c:v>
                      </c:pt>
                      <c:pt idx="25">
                        <c:v>96.92307692307692</c:v>
                      </c:pt>
                      <c:pt idx="26">
                        <c:v>97.222222222222214</c:v>
                      </c:pt>
                      <c:pt idx="27">
                        <c:v>98.412698412698404</c:v>
                      </c:pt>
                      <c:pt idx="28">
                        <c:v>88</c:v>
                      </c:pt>
                      <c:pt idx="29">
                        <c:v>98.507462686567166</c:v>
                      </c:pt>
                      <c:pt idx="30">
                        <c:v>91.428571428571431</c:v>
                      </c:pt>
                      <c:pt idx="31">
                        <c:v>96.551724137931032</c:v>
                      </c:pt>
                      <c:pt idx="32">
                        <c:v>96.36363636363636</c:v>
                      </c:pt>
                      <c:pt idx="33">
                        <c:v>92.753623188405797</c:v>
                      </c:pt>
                      <c:pt idx="34">
                        <c:v>100</c:v>
                      </c:pt>
                      <c:pt idx="35">
                        <c:v>96</c:v>
                      </c:pt>
                      <c:pt idx="36">
                        <c:v>98.333333333333329</c:v>
                      </c:pt>
                      <c:pt idx="37">
                        <c:v>94.73684210526315</c:v>
                      </c:pt>
                      <c:pt idx="38">
                        <c:v>96.296296296296291</c:v>
                      </c:pt>
                      <c:pt idx="39">
                        <c:v>95.774647887323937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4C-4F0E-AF3B-F00A0B3EAF1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NHS Dumfries and Galloway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[1]Final!$A$82:$A$121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[1]Final!$M$82:$M$121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100</c:v>
                      </c:pt>
                      <c:pt idx="1">
                        <c:v>98.611111111111114</c:v>
                      </c:pt>
                      <c:pt idx="2">
                        <c:v>97.142857142857139</c:v>
                      </c:pt>
                      <c:pt idx="3">
                        <c:v>98.591549295774655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98.98989898989899</c:v>
                      </c:pt>
                      <c:pt idx="10">
                        <c:v>98.958333333333343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  <c:pt idx="14">
                        <c:v>97.53086419753086</c:v>
                      </c:pt>
                      <c:pt idx="15">
                        <c:v>100</c:v>
                      </c:pt>
                      <c:pt idx="16">
                        <c:v>98.837209302325576</c:v>
                      </c:pt>
                      <c:pt idx="17">
                        <c:v>95.121951219512198</c:v>
                      </c:pt>
                      <c:pt idx="18">
                        <c:v>97.183098591549296</c:v>
                      </c:pt>
                      <c:pt idx="19">
                        <c:v>98.571428571428584</c:v>
                      </c:pt>
                      <c:pt idx="20">
                        <c:v>98.76543209876543</c:v>
                      </c:pt>
                      <c:pt idx="21">
                        <c:v>98.76543209876543</c:v>
                      </c:pt>
                      <c:pt idx="22">
                        <c:v>97.402597402597408</c:v>
                      </c:pt>
                      <c:pt idx="23">
                        <c:v>98.571428571428584</c:v>
                      </c:pt>
                      <c:pt idx="24">
                        <c:v>97.916666666666657</c:v>
                      </c:pt>
                      <c:pt idx="25">
                        <c:v>97.169811320754718</c:v>
                      </c:pt>
                      <c:pt idx="26">
                        <c:v>93.827160493827151</c:v>
                      </c:pt>
                      <c:pt idx="27">
                        <c:v>96.666666666666671</c:v>
                      </c:pt>
                      <c:pt idx="28">
                        <c:v>95.652173913043484</c:v>
                      </c:pt>
                      <c:pt idx="29">
                        <c:v>93.75</c:v>
                      </c:pt>
                      <c:pt idx="30">
                        <c:v>97.674418604651152</c:v>
                      </c:pt>
                      <c:pt idx="31">
                        <c:v>89.473684210526315</c:v>
                      </c:pt>
                      <c:pt idx="32">
                        <c:v>93.45794392523365</c:v>
                      </c:pt>
                      <c:pt idx="33">
                        <c:v>92.307692307692307</c:v>
                      </c:pt>
                      <c:pt idx="34">
                        <c:v>98.019801980198025</c:v>
                      </c:pt>
                      <c:pt idx="35">
                        <c:v>95.833333333333343</c:v>
                      </c:pt>
                      <c:pt idx="36">
                        <c:v>87.850467289719631</c:v>
                      </c:pt>
                      <c:pt idx="37">
                        <c:v>94.505494505494497</c:v>
                      </c:pt>
                      <c:pt idx="38">
                        <c:v>86.138613861386133</c:v>
                      </c:pt>
                      <c:pt idx="39">
                        <c:v>83.505154639175259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4C-4F0E-AF3B-F00A0B3EAF1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NHS Forth Valley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[1]Final!$A$122:$A$161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[1]Final!$M$122:$M$161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91.240875912408754</c:v>
                      </c:pt>
                      <c:pt idx="1">
                        <c:v>94.186046511627907</c:v>
                      </c:pt>
                      <c:pt idx="2">
                        <c:v>95.512820512820511</c:v>
                      </c:pt>
                      <c:pt idx="3">
                        <c:v>98</c:v>
                      </c:pt>
                      <c:pt idx="4">
                        <c:v>95.588235294117652</c:v>
                      </c:pt>
                      <c:pt idx="5">
                        <c:v>95.862068965517238</c:v>
                      </c:pt>
                      <c:pt idx="6">
                        <c:v>96.732026143790847</c:v>
                      </c:pt>
                      <c:pt idx="7">
                        <c:v>95.783132530120483</c:v>
                      </c:pt>
                      <c:pt idx="8">
                        <c:v>90.209790209790214</c:v>
                      </c:pt>
                      <c:pt idx="9">
                        <c:v>98.089171974522287</c:v>
                      </c:pt>
                      <c:pt idx="10">
                        <c:v>97.887323943661968</c:v>
                      </c:pt>
                      <c:pt idx="11">
                        <c:v>95.882352941176478</c:v>
                      </c:pt>
                      <c:pt idx="12">
                        <c:v>93.589743589743591</c:v>
                      </c:pt>
                      <c:pt idx="13">
                        <c:v>95.50561797752809</c:v>
                      </c:pt>
                      <c:pt idx="14">
                        <c:v>97.857142857142847</c:v>
                      </c:pt>
                      <c:pt idx="15">
                        <c:v>96.15384615384616</c:v>
                      </c:pt>
                      <c:pt idx="16">
                        <c:v>94.267515923566876</c:v>
                      </c:pt>
                      <c:pt idx="17">
                        <c:v>92.715231788079464</c:v>
                      </c:pt>
                      <c:pt idx="18">
                        <c:v>90.384615384615387</c:v>
                      </c:pt>
                      <c:pt idx="19">
                        <c:v>93.630573248407643</c:v>
                      </c:pt>
                      <c:pt idx="20">
                        <c:v>93.023255813953483</c:v>
                      </c:pt>
                      <c:pt idx="21">
                        <c:v>87.2340425531915</c:v>
                      </c:pt>
                      <c:pt idx="22">
                        <c:v>88.359788359788354</c:v>
                      </c:pt>
                      <c:pt idx="23">
                        <c:v>88.082901554404145</c:v>
                      </c:pt>
                      <c:pt idx="24">
                        <c:v>86.138613861386133</c:v>
                      </c:pt>
                      <c:pt idx="25">
                        <c:v>84.976525821596255</c:v>
                      </c:pt>
                      <c:pt idx="26">
                        <c:v>82.845188284518827</c:v>
                      </c:pt>
                      <c:pt idx="27">
                        <c:v>85.784313725490193</c:v>
                      </c:pt>
                      <c:pt idx="28">
                        <c:v>88.082901554404145</c:v>
                      </c:pt>
                      <c:pt idx="29">
                        <c:v>86</c:v>
                      </c:pt>
                      <c:pt idx="30">
                        <c:v>85.643564356435647</c:v>
                      </c:pt>
                      <c:pt idx="31">
                        <c:v>91.542288557213936</c:v>
                      </c:pt>
                      <c:pt idx="32">
                        <c:v>80</c:v>
                      </c:pt>
                      <c:pt idx="33">
                        <c:v>88.043478260869563</c:v>
                      </c:pt>
                      <c:pt idx="34">
                        <c:v>90.502793296089393</c:v>
                      </c:pt>
                      <c:pt idx="35">
                        <c:v>93.478260869565219</c:v>
                      </c:pt>
                      <c:pt idx="36">
                        <c:v>88.888888888888886</c:v>
                      </c:pt>
                      <c:pt idx="37">
                        <c:v>92.344497607655512</c:v>
                      </c:pt>
                      <c:pt idx="38">
                        <c:v>86.224489795918373</c:v>
                      </c:pt>
                      <c:pt idx="39">
                        <c:v>84.08163265306122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94C-4F0E-AF3B-F00A0B3EAF1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NHS Highland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[1]Final!$A$202:$A$241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[1]Final!$M$202:$M$241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95.512820512820511</c:v>
                      </c:pt>
                      <c:pt idx="1">
                        <c:v>97.560975609756099</c:v>
                      </c:pt>
                      <c:pt idx="2">
                        <c:v>96.875</c:v>
                      </c:pt>
                      <c:pt idx="3">
                        <c:v>93.442622950819683</c:v>
                      </c:pt>
                      <c:pt idx="4">
                        <c:v>90</c:v>
                      </c:pt>
                      <c:pt idx="5">
                        <c:v>92.972972972972983</c:v>
                      </c:pt>
                      <c:pt idx="6">
                        <c:v>93.264248704663217</c:v>
                      </c:pt>
                      <c:pt idx="7">
                        <c:v>95.26627218934911</c:v>
                      </c:pt>
                      <c:pt idx="8">
                        <c:v>89.444444444444443</c:v>
                      </c:pt>
                      <c:pt idx="9">
                        <c:v>91.397849462365585</c:v>
                      </c:pt>
                      <c:pt idx="10">
                        <c:v>94.674556213017752</c:v>
                      </c:pt>
                      <c:pt idx="11">
                        <c:v>94.318181818181827</c:v>
                      </c:pt>
                      <c:pt idx="12">
                        <c:v>94.413407821229043</c:v>
                      </c:pt>
                      <c:pt idx="13">
                        <c:v>88.64864864864866</c:v>
                      </c:pt>
                      <c:pt idx="14">
                        <c:v>87.939698492462313</c:v>
                      </c:pt>
                      <c:pt idx="15">
                        <c:v>90.957446808510639</c:v>
                      </c:pt>
                      <c:pt idx="16">
                        <c:v>93.670886075949369</c:v>
                      </c:pt>
                      <c:pt idx="17">
                        <c:v>84.472049689440993</c:v>
                      </c:pt>
                      <c:pt idx="18">
                        <c:v>88.829787234042556</c:v>
                      </c:pt>
                      <c:pt idx="19">
                        <c:v>84.768211920529808</c:v>
                      </c:pt>
                      <c:pt idx="20">
                        <c:v>88.41463414634147</c:v>
                      </c:pt>
                      <c:pt idx="21">
                        <c:v>82.8125</c:v>
                      </c:pt>
                      <c:pt idx="22">
                        <c:v>86.631016042780757</c:v>
                      </c:pt>
                      <c:pt idx="23">
                        <c:v>85.082872928176798</c:v>
                      </c:pt>
                      <c:pt idx="24">
                        <c:v>82.775119617224874</c:v>
                      </c:pt>
                      <c:pt idx="25">
                        <c:v>86.206896551724128</c:v>
                      </c:pt>
                      <c:pt idx="26">
                        <c:v>79.326923076923066</c:v>
                      </c:pt>
                      <c:pt idx="27">
                        <c:v>83.65384615384616</c:v>
                      </c:pt>
                      <c:pt idx="28">
                        <c:v>74.090909090909093</c:v>
                      </c:pt>
                      <c:pt idx="29">
                        <c:v>83.944954128440358</c:v>
                      </c:pt>
                      <c:pt idx="30">
                        <c:v>77.253218884120173</c:v>
                      </c:pt>
                      <c:pt idx="31">
                        <c:v>73.267326732673268</c:v>
                      </c:pt>
                      <c:pt idx="32">
                        <c:v>74.528301886792448</c:v>
                      </c:pt>
                      <c:pt idx="33">
                        <c:v>73.5</c:v>
                      </c:pt>
                      <c:pt idx="34">
                        <c:v>74.585635359116026</c:v>
                      </c:pt>
                      <c:pt idx="35">
                        <c:v>70.56074766355141</c:v>
                      </c:pt>
                      <c:pt idx="36">
                        <c:v>72.56637168141593</c:v>
                      </c:pt>
                      <c:pt idx="37">
                        <c:v>67.158671586715869</c:v>
                      </c:pt>
                      <c:pt idx="38">
                        <c:v>80.882352941176478</c:v>
                      </c:pt>
                      <c:pt idx="39">
                        <c:v>86.715867158671585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94C-4F0E-AF3B-F00A0B3EAF1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NHS Shetland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[1]Final!$A$282:$A$321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[1]Final!$M$282:$M$321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87.5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88.888888888888886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  <c:pt idx="16">
                        <c:v>88.888888888888886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100</c:v>
                      </c:pt>
                      <c:pt idx="20">
                        <c:v>91.666666666666657</c:v>
                      </c:pt>
                      <c:pt idx="21">
                        <c:v>100</c:v>
                      </c:pt>
                      <c:pt idx="22">
                        <c:v>100</c:v>
                      </c:pt>
                      <c:pt idx="23">
                        <c:v>90</c:v>
                      </c:pt>
                      <c:pt idx="24">
                        <c:v>100</c:v>
                      </c:pt>
                      <c:pt idx="25">
                        <c:v>85.714285714285708</c:v>
                      </c:pt>
                      <c:pt idx="26">
                        <c:v>71.428571428571431</c:v>
                      </c:pt>
                      <c:pt idx="27">
                        <c:v>92.857142857142861</c:v>
                      </c:pt>
                      <c:pt idx="28">
                        <c:v>100</c:v>
                      </c:pt>
                      <c:pt idx="29">
                        <c:v>91.666666666666657</c:v>
                      </c:pt>
                      <c:pt idx="30">
                        <c:v>100</c:v>
                      </c:pt>
                      <c:pt idx="31">
                        <c:v>100</c:v>
                      </c:pt>
                      <c:pt idx="32">
                        <c:v>75</c:v>
                      </c:pt>
                      <c:pt idx="33">
                        <c:v>87.5</c:v>
                      </c:pt>
                      <c:pt idx="34">
                        <c:v>100</c:v>
                      </c:pt>
                      <c:pt idx="35">
                        <c:v>100</c:v>
                      </c:pt>
                      <c:pt idx="36">
                        <c:v>100</c:v>
                      </c:pt>
                      <c:pt idx="37">
                        <c:v>88.888888888888886</c:v>
                      </c:pt>
                      <c:pt idx="38">
                        <c:v>100</c:v>
                      </c:pt>
                      <c:pt idx="39">
                        <c:v>92.857142857142861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94C-4F0E-AF3B-F00A0B3EAF1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NHS Western Isles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[1]Final!$A$322:$A$361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[1]Final!$M$322:$M$361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66.666666666666657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92.307692307692307</c:v>
                      </c:pt>
                      <c:pt idx="14">
                        <c:v>80</c:v>
                      </c:pt>
                      <c:pt idx="15">
                        <c:v>100</c:v>
                      </c:pt>
                      <c:pt idx="16">
                        <c:v>80</c:v>
                      </c:pt>
                      <c:pt idx="17">
                        <c:v>100</c:v>
                      </c:pt>
                      <c:pt idx="18">
                        <c:v>100</c:v>
                      </c:pt>
                      <c:pt idx="19">
                        <c:v>100</c:v>
                      </c:pt>
                      <c:pt idx="20">
                        <c:v>90.909090909090907</c:v>
                      </c:pt>
                      <c:pt idx="21">
                        <c:v>80</c:v>
                      </c:pt>
                      <c:pt idx="22">
                        <c:v>88.888888888888886</c:v>
                      </c:pt>
                      <c:pt idx="23">
                        <c:v>85.714285714285708</c:v>
                      </c:pt>
                      <c:pt idx="24">
                        <c:v>90.909090909090907</c:v>
                      </c:pt>
                      <c:pt idx="25">
                        <c:v>100</c:v>
                      </c:pt>
                      <c:pt idx="26">
                        <c:v>90</c:v>
                      </c:pt>
                      <c:pt idx="27">
                        <c:v>66.666666666666657</c:v>
                      </c:pt>
                      <c:pt idx="28">
                        <c:v>81.818181818181827</c:v>
                      </c:pt>
                      <c:pt idx="29">
                        <c:v>83.333333333333343</c:v>
                      </c:pt>
                      <c:pt idx="30">
                        <c:v>82.35294117647058</c:v>
                      </c:pt>
                      <c:pt idx="31">
                        <c:v>85.714285714285708</c:v>
                      </c:pt>
                      <c:pt idx="32">
                        <c:v>92.857142857142861</c:v>
                      </c:pt>
                      <c:pt idx="33">
                        <c:v>100</c:v>
                      </c:pt>
                      <c:pt idx="34">
                        <c:v>100</c:v>
                      </c:pt>
                      <c:pt idx="35">
                        <c:v>87.5</c:v>
                      </c:pt>
                      <c:pt idx="36">
                        <c:v>80</c:v>
                      </c:pt>
                      <c:pt idx="37">
                        <c:v>80</c:v>
                      </c:pt>
                      <c:pt idx="38">
                        <c:v>77.272727272727266</c:v>
                      </c:pt>
                      <c:pt idx="39">
                        <c:v>78.571428571428569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94C-4F0E-AF3B-F00A0B3EAF19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NHS Fife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[1]Final!$A$362:$A$401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[1]Final!$M$362:$M$401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93.865030674846622</c:v>
                      </c:pt>
                      <c:pt idx="1">
                        <c:v>93.650793650793645</c:v>
                      </c:pt>
                      <c:pt idx="2">
                        <c:v>97.159090909090907</c:v>
                      </c:pt>
                      <c:pt idx="3">
                        <c:v>98.630136986301366</c:v>
                      </c:pt>
                      <c:pt idx="4">
                        <c:v>99.290780141843967</c:v>
                      </c:pt>
                      <c:pt idx="5">
                        <c:v>96.666666666666671</c:v>
                      </c:pt>
                      <c:pt idx="6">
                        <c:v>94.117647058823522</c:v>
                      </c:pt>
                      <c:pt idx="7">
                        <c:v>96.581196581196579</c:v>
                      </c:pt>
                      <c:pt idx="8">
                        <c:v>95.36423841059603</c:v>
                      </c:pt>
                      <c:pt idx="9">
                        <c:v>95.172413793103445</c:v>
                      </c:pt>
                      <c:pt idx="10">
                        <c:v>93.788819875776397</c:v>
                      </c:pt>
                      <c:pt idx="11">
                        <c:v>94.615384615384613</c:v>
                      </c:pt>
                      <c:pt idx="12">
                        <c:v>92.356687898089177</c:v>
                      </c:pt>
                      <c:pt idx="13">
                        <c:v>96.527777777777786</c:v>
                      </c:pt>
                      <c:pt idx="14">
                        <c:v>94.936708860759495</c:v>
                      </c:pt>
                      <c:pt idx="15">
                        <c:v>94.475138121546962</c:v>
                      </c:pt>
                      <c:pt idx="16">
                        <c:v>93.661971830985919</c:v>
                      </c:pt>
                      <c:pt idx="17">
                        <c:v>91.279069767441854</c:v>
                      </c:pt>
                      <c:pt idx="18">
                        <c:v>89.743589743589752</c:v>
                      </c:pt>
                      <c:pt idx="19">
                        <c:v>91.19496855345912</c:v>
                      </c:pt>
                      <c:pt idx="20">
                        <c:v>84.93150684931507</c:v>
                      </c:pt>
                      <c:pt idx="21">
                        <c:v>96.590909090909093</c:v>
                      </c:pt>
                      <c:pt idx="22">
                        <c:v>96.341463414634148</c:v>
                      </c:pt>
                      <c:pt idx="23">
                        <c:v>93.85474860335195</c:v>
                      </c:pt>
                      <c:pt idx="24">
                        <c:v>91.124260355029591</c:v>
                      </c:pt>
                      <c:pt idx="25">
                        <c:v>94.117647058823522</c:v>
                      </c:pt>
                      <c:pt idx="26">
                        <c:v>86.19047619047619</c:v>
                      </c:pt>
                      <c:pt idx="27">
                        <c:v>90.957446808510639</c:v>
                      </c:pt>
                      <c:pt idx="28">
                        <c:v>88.613861386138609</c:v>
                      </c:pt>
                      <c:pt idx="29">
                        <c:v>89.333333333333329</c:v>
                      </c:pt>
                      <c:pt idx="30">
                        <c:v>86.893203883495147</c:v>
                      </c:pt>
                      <c:pt idx="31">
                        <c:v>92.156862745098039</c:v>
                      </c:pt>
                      <c:pt idx="32">
                        <c:v>88.177339901477836</c:v>
                      </c:pt>
                      <c:pt idx="33">
                        <c:v>85</c:v>
                      </c:pt>
                      <c:pt idx="34">
                        <c:v>89.714285714285708</c:v>
                      </c:pt>
                      <c:pt idx="35">
                        <c:v>86.390532544378701</c:v>
                      </c:pt>
                      <c:pt idx="36">
                        <c:v>87.195121951219505</c:v>
                      </c:pt>
                      <c:pt idx="37">
                        <c:v>85.207100591715985</c:v>
                      </c:pt>
                      <c:pt idx="38">
                        <c:v>91.62561576354679</c:v>
                      </c:pt>
                      <c:pt idx="39">
                        <c:v>88.888888888888886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94C-4F0E-AF3B-F00A0B3EAF19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NHS Greater Glasgow and Clyde+Sheet14!$A$442:$A$481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[1]Final!$A$442:$A$481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[1]Final!$M$442:$M$481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94.829760403530898</c:v>
                      </c:pt>
                      <c:pt idx="1">
                        <c:v>95.862884160756494</c:v>
                      </c:pt>
                      <c:pt idx="2">
                        <c:v>94.306930693069305</c:v>
                      </c:pt>
                      <c:pt idx="3">
                        <c:v>94.903737259343146</c:v>
                      </c:pt>
                      <c:pt idx="4">
                        <c:v>93.412384716732547</c:v>
                      </c:pt>
                      <c:pt idx="5">
                        <c:v>94.329896907216494</c:v>
                      </c:pt>
                      <c:pt idx="6">
                        <c:v>93.19899244332494</c:v>
                      </c:pt>
                      <c:pt idx="7">
                        <c:v>94.223826714801433</c:v>
                      </c:pt>
                      <c:pt idx="8">
                        <c:v>90.400972053462937</c:v>
                      </c:pt>
                      <c:pt idx="9">
                        <c:v>89.850057670126873</c:v>
                      </c:pt>
                      <c:pt idx="10">
                        <c:v>90.740740740740748</c:v>
                      </c:pt>
                      <c:pt idx="11">
                        <c:v>92.65255292652553</c:v>
                      </c:pt>
                      <c:pt idx="12">
                        <c:v>90.665110851808635</c:v>
                      </c:pt>
                      <c:pt idx="13">
                        <c:v>89.626055488540416</c:v>
                      </c:pt>
                      <c:pt idx="14">
                        <c:v>86.238532110091754</c:v>
                      </c:pt>
                      <c:pt idx="15">
                        <c:v>87.149028077753769</c:v>
                      </c:pt>
                      <c:pt idx="16">
                        <c:v>85.968819599109139</c:v>
                      </c:pt>
                      <c:pt idx="17">
                        <c:v>87.950450450450447</c:v>
                      </c:pt>
                      <c:pt idx="18">
                        <c:v>81.950672645739914</c:v>
                      </c:pt>
                      <c:pt idx="19">
                        <c:v>84.573894282632139</c:v>
                      </c:pt>
                      <c:pt idx="20">
                        <c:v>83.095499451152577</c:v>
                      </c:pt>
                      <c:pt idx="21">
                        <c:v>82.563025210084035</c:v>
                      </c:pt>
                      <c:pt idx="22">
                        <c:v>81.208791208791212</c:v>
                      </c:pt>
                      <c:pt idx="23">
                        <c:v>81.438998957247136</c:v>
                      </c:pt>
                      <c:pt idx="24">
                        <c:v>80.148619957537164</c:v>
                      </c:pt>
                      <c:pt idx="25">
                        <c:v>78.8</c:v>
                      </c:pt>
                      <c:pt idx="26">
                        <c:v>75.508317929759698</c:v>
                      </c:pt>
                      <c:pt idx="27">
                        <c:v>76</c:v>
                      </c:pt>
                      <c:pt idx="28">
                        <c:v>75.157515751575161</c:v>
                      </c:pt>
                      <c:pt idx="29">
                        <c:v>76.360392506690459</c:v>
                      </c:pt>
                      <c:pt idx="30">
                        <c:v>78.715596330275233</c:v>
                      </c:pt>
                      <c:pt idx="31">
                        <c:v>78.494623655913969</c:v>
                      </c:pt>
                      <c:pt idx="32">
                        <c:v>80.603842634949686</c:v>
                      </c:pt>
                      <c:pt idx="33">
                        <c:v>80.606060606060609</c:v>
                      </c:pt>
                      <c:pt idx="34">
                        <c:v>85.933806146572095</c:v>
                      </c:pt>
                      <c:pt idx="35">
                        <c:v>81.92893401015229</c:v>
                      </c:pt>
                      <c:pt idx="36">
                        <c:v>80.708294501397944</c:v>
                      </c:pt>
                      <c:pt idx="37">
                        <c:v>79.945799457994582</c:v>
                      </c:pt>
                      <c:pt idx="38">
                        <c:v>78.135888501742158</c:v>
                      </c:pt>
                      <c:pt idx="39">
                        <c:v>71.722365038560412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94C-4F0E-AF3B-F00A0B3EAF1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NHS Lanarkshire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[1]Final!$A$482:$A$521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[1]Final!$M$482:$M$521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97.297297297297305</c:v>
                      </c:pt>
                      <c:pt idx="1">
                        <c:v>97.590361445783131</c:v>
                      </c:pt>
                      <c:pt idx="2">
                        <c:v>99.033816425120762</c:v>
                      </c:pt>
                      <c:pt idx="3">
                        <c:v>97.881355932203391</c:v>
                      </c:pt>
                      <c:pt idx="4">
                        <c:v>98.067632850241552</c:v>
                      </c:pt>
                      <c:pt idx="5">
                        <c:v>97.47899159663865</c:v>
                      </c:pt>
                      <c:pt idx="6">
                        <c:v>96.5</c:v>
                      </c:pt>
                      <c:pt idx="7">
                        <c:v>97.727272727272734</c:v>
                      </c:pt>
                      <c:pt idx="8">
                        <c:v>96.460176991150433</c:v>
                      </c:pt>
                      <c:pt idx="9">
                        <c:v>97.21254355400697</c:v>
                      </c:pt>
                      <c:pt idx="10">
                        <c:v>97.959183673469383</c:v>
                      </c:pt>
                      <c:pt idx="11">
                        <c:v>96.761133603238875</c:v>
                      </c:pt>
                      <c:pt idx="12">
                        <c:v>98.122065727699521</c:v>
                      </c:pt>
                      <c:pt idx="13">
                        <c:v>98.23788546255507</c:v>
                      </c:pt>
                      <c:pt idx="14">
                        <c:v>96.638655462184872</c:v>
                      </c:pt>
                      <c:pt idx="15">
                        <c:v>95.33898305084746</c:v>
                      </c:pt>
                      <c:pt idx="16">
                        <c:v>97.391304347826093</c:v>
                      </c:pt>
                      <c:pt idx="17">
                        <c:v>95.620437956204384</c:v>
                      </c:pt>
                      <c:pt idx="18">
                        <c:v>97.718631178707227</c:v>
                      </c:pt>
                      <c:pt idx="19">
                        <c:v>97.747747747747752</c:v>
                      </c:pt>
                      <c:pt idx="20">
                        <c:v>97.435897435897431</c:v>
                      </c:pt>
                      <c:pt idx="21">
                        <c:v>96.15384615384616</c:v>
                      </c:pt>
                      <c:pt idx="22">
                        <c:v>95.723684210526315</c:v>
                      </c:pt>
                      <c:pt idx="23">
                        <c:v>96.638655462184872</c:v>
                      </c:pt>
                      <c:pt idx="24">
                        <c:v>97.416974169741692</c:v>
                      </c:pt>
                      <c:pt idx="25">
                        <c:v>96.407185628742525</c:v>
                      </c:pt>
                      <c:pt idx="26">
                        <c:v>97.115384615384613</c:v>
                      </c:pt>
                      <c:pt idx="27">
                        <c:v>97.394136807817588</c:v>
                      </c:pt>
                      <c:pt idx="28">
                        <c:v>98.71794871794873</c:v>
                      </c:pt>
                      <c:pt idx="29">
                        <c:v>97.720797720797719</c:v>
                      </c:pt>
                      <c:pt idx="30">
                        <c:v>97.878787878787875</c:v>
                      </c:pt>
                      <c:pt idx="31">
                        <c:v>98.281786941580748</c:v>
                      </c:pt>
                      <c:pt idx="32">
                        <c:v>97.994269340974213</c:v>
                      </c:pt>
                      <c:pt idx="33">
                        <c:v>92.592592592592595</c:v>
                      </c:pt>
                      <c:pt idx="34">
                        <c:v>90.566037735849065</c:v>
                      </c:pt>
                      <c:pt idx="35">
                        <c:v>91.558441558441558</c:v>
                      </c:pt>
                      <c:pt idx="36">
                        <c:v>92.72727272727272</c:v>
                      </c:pt>
                      <c:pt idx="37">
                        <c:v>92.857142857142861</c:v>
                      </c:pt>
                      <c:pt idx="38">
                        <c:v>89.117647058823536</c:v>
                      </c:pt>
                      <c:pt idx="39">
                        <c:v>81.502890173410407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94C-4F0E-AF3B-F00A0B3EAF1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The Golden Jubilee National Hospital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[1]Final!$A$522:$A$561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[1]Final!$M$522:$M$561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92.307692307692307</c:v>
                      </c:pt>
                      <c:pt idx="1">
                        <c:v>86.842105263157904</c:v>
                      </c:pt>
                      <c:pt idx="2">
                        <c:v>82.35294117647058</c:v>
                      </c:pt>
                      <c:pt idx="3">
                        <c:v>86.486486486486484</c:v>
                      </c:pt>
                      <c:pt idx="4">
                        <c:v>85</c:v>
                      </c:pt>
                      <c:pt idx="5">
                        <c:v>91.17647058823529</c:v>
                      </c:pt>
                      <c:pt idx="6">
                        <c:v>89.189189189189193</c:v>
                      </c:pt>
                      <c:pt idx="7">
                        <c:v>81.578947368421055</c:v>
                      </c:pt>
                      <c:pt idx="8">
                        <c:v>84.375</c:v>
                      </c:pt>
                      <c:pt idx="9">
                        <c:v>87.5</c:v>
                      </c:pt>
                      <c:pt idx="10">
                        <c:v>88.095238095238088</c:v>
                      </c:pt>
                      <c:pt idx="11">
                        <c:v>89.285714285714292</c:v>
                      </c:pt>
                      <c:pt idx="12">
                        <c:v>76</c:v>
                      </c:pt>
                      <c:pt idx="13">
                        <c:v>95.454545454545453</c:v>
                      </c:pt>
                      <c:pt idx="14">
                        <c:v>85.714285714285708</c:v>
                      </c:pt>
                      <c:pt idx="15">
                        <c:v>92.307692307692307</c:v>
                      </c:pt>
                      <c:pt idx="16">
                        <c:v>70.588235294117652</c:v>
                      </c:pt>
                      <c:pt idx="17">
                        <c:v>77.142857142857153</c:v>
                      </c:pt>
                      <c:pt idx="18">
                        <c:v>75.555555555555557</c:v>
                      </c:pt>
                      <c:pt idx="19">
                        <c:v>75.609756097560975</c:v>
                      </c:pt>
                      <c:pt idx="20">
                        <c:v>67.441860465116278</c:v>
                      </c:pt>
                      <c:pt idx="21">
                        <c:v>60.869565217391312</c:v>
                      </c:pt>
                      <c:pt idx="22">
                        <c:v>71.05263157894737</c:v>
                      </c:pt>
                      <c:pt idx="23">
                        <c:v>72.727272727272734</c:v>
                      </c:pt>
                      <c:pt idx="24">
                        <c:v>67.567567567567565</c:v>
                      </c:pt>
                      <c:pt idx="25">
                        <c:v>72.727272727272734</c:v>
                      </c:pt>
                      <c:pt idx="26">
                        <c:v>71.428571428571431</c:v>
                      </c:pt>
                      <c:pt idx="27">
                        <c:v>79.411764705882348</c:v>
                      </c:pt>
                      <c:pt idx="28">
                        <c:v>71.428571428571431</c:v>
                      </c:pt>
                      <c:pt idx="29">
                        <c:v>60</c:v>
                      </c:pt>
                      <c:pt idx="30">
                        <c:v>71.428571428571431</c:v>
                      </c:pt>
                      <c:pt idx="31">
                        <c:v>55.555555555555557</c:v>
                      </c:pt>
                      <c:pt idx="32">
                        <c:v>66.666666666666657</c:v>
                      </c:pt>
                      <c:pt idx="33">
                        <c:v>77.5</c:v>
                      </c:pt>
                      <c:pt idx="34">
                        <c:v>92</c:v>
                      </c:pt>
                      <c:pt idx="35">
                        <c:v>84.210526315789465</c:v>
                      </c:pt>
                      <c:pt idx="36">
                        <c:v>69.767441860465112</c:v>
                      </c:pt>
                      <c:pt idx="37">
                        <c:v>83.333333333333343</c:v>
                      </c:pt>
                      <c:pt idx="38">
                        <c:v>68.75</c:v>
                      </c:pt>
                      <c:pt idx="39">
                        <c:v>58.139534883720934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94C-4F0E-AF3B-F00A0B3EAF19}"/>
                  </c:ext>
                </c:extLst>
              </c15:ser>
            </c15:filteredScatterSeries>
          </c:ext>
        </c:extLst>
      </c:scatterChart>
      <c:valAx>
        <c:axId val="7431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Period From Q1 </a:t>
                </a:r>
                <a:r>
                  <a:rPr lang="en-GB" sz="1000" b="0" i="0" u="none" strike="noStrike" baseline="0">
                    <a:effectLst/>
                  </a:rPr>
                  <a:t>2012 to Q4 2021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39440"/>
        <c:crosses val="autoZero"/>
        <c:crossBetween val="midCat"/>
      </c:valAx>
      <c:valAx>
        <c:axId val="7431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Percentage of Referrals Treated</a:t>
                </a:r>
                <a:r>
                  <a:rPr lang="en-IN" sz="1000" b="0" i="0" u="none" strike="noStrike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Grampian Original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S08000020_Grampian20x!$A$3:$A$38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S08000020_Grampian20x!$H$3:$H$38</c:f>
              <c:numCache>
                <c:formatCode>0.00</c:formatCode>
                <c:ptCount val="36"/>
                <c:pt idx="0">
                  <c:v>90.102389078498291</c:v>
                </c:pt>
                <c:pt idx="1">
                  <c:v>95.136778115501514</c:v>
                </c:pt>
                <c:pt idx="2">
                  <c:v>88.679245283018872</c:v>
                </c:pt>
                <c:pt idx="3">
                  <c:v>95.59748427672956</c:v>
                </c:pt>
                <c:pt idx="4">
                  <c:v>90.202702702702695</c:v>
                </c:pt>
                <c:pt idx="5">
                  <c:v>88.698630136986296</c:v>
                </c:pt>
                <c:pt idx="6">
                  <c:v>89.368770764119603</c:v>
                </c:pt>
                <c:pt idx="7">
                  <c:v>92.145015105740185</c:v>
                </c:pt>
                <c:pt idx="8">
                  <c:v>85.483870967741936</c:v>
                </c:pt>
                <c:pt idx="9">
                  <c:v>90.282131661442008</c:v>
                </c:pt>
                <c:pt idx="10">
                  <c:v>86.82634730538922</c:v>
                </c:pt>
                <c:pt idx="11">
                  <c:v>89.130434782608688</c:v>
                </c:pt>
                <c:pt idx="12">
                  <c:v>85.534591194968556</c:v>
                </c:pt>
                <c:pt idx="13">
                  <c:v>84.482758620689651</c:v>
                </c:pt>
                <c:pt idx="14">
                  <c:v>85</c:v>
                </c:pt>
                <c:pt idx="15">
                  <c:v>86.549707602339183</c:v>
                </c:pt>
                <c:pt idx="16">
                  <c:v>86.834733893557427</c:v>
                </c:pt>
                <c:pt idx="17">
                  <c:v>85.13513513513513</c:v>
                </c:pt>
                <c:pt idx="18">
                  <c:v>81.723237597911222</c:v>
                </c:pt>
                <c:pt idx="19">
                  <c:v>84.382871536523936</c:v>
                </c:pt>
                <c:pt idx="20">
                  <c:v>85.359801488833739</c:v>
                </c:pt>
                <c:pt idx="21">
                  <c:v>81.84143222506394</c:v>
                </c:pt>
                <c:pt idx="22">
                  <c:v>82.608695652173907</c:v>
                </c:pt>
                <c:pt idx="23">
                  <c:v>79.606879606879616</c:v>
                </c:pt>
                <c:pt idx="24">
                  <c:v>75.797872340425528</c:v>
                </c:pt>
                <c:pt idx="25">
                  <c:v>79.820627802690581</c:v>
                </c:pt>
                <c:pt idx="26">
                  <c:v>76.712328767123282</c:v>
                </c:pt>
                <c:pt idx="27">
                  <c:v>79.136690647482013</c:v>
                </c:pt>
                <c:pt idx="28">
                  <c:v>76.737967914438499</c:v>
                </c:pt>
                <c:pt idx="29">
                  <c:v>86.634844868735087</c:v>
                </c:pt>
                <c:pt idx="30">
                  <c:v>79.126213592233015</c:v>
                </c:pt>
                <c:pt idx="31">
                  <c:v>79.255319148936167</c:v>
                </c:pt>
                <c:pt idx="32">
                  <c:v>75.454545454545453</c:v>
                </c:pt>
                <c:pt idx="33">
                  <c:v>80.361757105943155</c:v>
                </c:pt>
                <c:pt idx="34">
                  <c:v>75.335120643431637</c:v>
                </c:pt>
                <c:pt idx="35">
                  <c:v>72.616136919315394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D-40A2-BB1C-65B30B86951E}"/>
            </c:ext>
          </c:extLst>
        </c:ser>
        <c:ser>
          <c:idx val="1"/>
          <c:order val="1"/>
          <c:tx>
            <c:v>Forecast(Linear Trend)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S08000020_Grampian20x!$I$43:$I$78</c:f>
              <c:numCache>
                <c:formatCode>0.00</c:formatCode>
                <c:ptCount val="36"/>
                <c:pt idx="0">
                  <c:v>92.61495652466715</c:v>
                </c:pt>
                <c:pt idx="1">
                  <c:v>92.128551183479587</c:v>
                </c:pt>
                <c:pt idx="2">
                  <c:v>91.642145842292038</c:v>
                </c:pt>
                <c:pt idx="3">
                  <c:v>91.155740501104475</c:v>
                </c:pt>
                <c:pt idx="4">
                  <c:v>90.669335159916912</c:v>
                </c:pt>
                <c:pt idx="5">
                  <c:v>90.182929818729349</c:v>
                </c:pt>
                <c:pt idx="6">
                  <c:v>89.696524477541786</c:v>
                </c:pt>
                <c:pt idx="7">
                  <c:v>89.210119136354237</c:v>
                </c:pt>
                <c:pt idx="8">
                  <c:v>88.723713795166674</c:v>
                </c:pt>
                <c:pt idx="9">
                  <c:v>88.237308453979111</c:v>
                </c:pt>
                <c:pt idx="10">
                  <c:v>87.750903112791548</c:v>
                </c:pt>
                <c:pt idx="11">
                  <c:v>87.264497771603985</c:v>
                </c:pt>
                <c:pt idx="12">
                  <c:v>86.778092430416436</c:v>
                </c:pt>
                <c:pt idx="13">
                  <c:v>86.291687089228873</c:v>
                </c:pt>
                <c:pt idx="14">
                  <c:v>85.80528174804131</c:v>
                </c:pt>
                <c:pt idx="15">
                  <c:v>85.318876406853747</c:v>
                </c:pt>
                <c:pt idx="16">
                  <c:v>84.832471065666184</c:v>
                </c:pt>
                <c:pt idx="17">
                  <c:v>84.346065724478635</c:v>
                </c:pt>
                <c:pt idx="18">
                  <c:v>83.859660383291072</c:v>
                </c:pt>
                <c:pt idx="19">
                  <c:v>83.373255042103509</c:v>
                </c:pt>
                <c:pt idx="20">
                  <c:v>82.886849700915946</c:v>
                </c:pt>
                <c:pt idx="21">
                  <c:v>82.400444359728382</c:v>
                </c:pt>
                <c:pt idx="22">
                  <c:v>81.914039018540834</c:v>
                </c:pt>
                <c:pt idx="23">
                  <c:v>81.427633677353271</c:v>
                </c:pt>
                <c:pt idx="24">
                  <c:v>80.941228336165707</c:v>
                </c:pt>
                <c:pt idx="25">
                  <c:v>80.454822994978144</c:v>
                </c:pt>
                <c:pt idx="26">
                  <c:v>79.968417653790581</c:v>
                </c:pt>
                <c:pt idx="27">
                  <c:v>79.482012312603032</c:v>
                </c:pt>
                <c:pt idx="28">
                  <c:v>78.995606971415469</c:v>
                </c:pt>
                <c:pt idx="29">
                  <c:v>78.509201630227906</c:v>
                </c:pt>
                <c:pt idx="30">
                  <c:v>78.022796289040343</c:v>
                </c:pt>
                <c:pt idx="31">
                  <c:v>77.53639094785278</c:v>
                </c:pt>
                <c:pt idx="32">
                  <c:v>77.049985606665217</c:v>
                </c:pt>
                <c:pt idx="33">
                  <c:v>76.563580265477668</c:v>
                </c:pt>
                <c:pt idx="34">
                  <c:v>76.077174924290105</c:v>
                </c:pt>
                <c:pt idx="35">
                  <c:v>75.590769583102542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FD-40A2-BB1C-65B30B86951E}"/>
            </c:ext>
          </c:extLst>
        </c:ser>
        <c:ser>
          <c:idx val="2"/>
          <c:order val="2"/>
          <c:tx>
            <c:v>Forecast Linear Trend Seasonality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S08000020_Grampian20x!$M$86:$M$125</c:f>
              <c:numCache>
                <c:formatCode>0.00</c:formatCode>
                <c:ptCount val="40"/>
                <c:pt idx="0">
                  <c:v>91.361549084661917</c:v>
                </c:pt>
                <c:pt idx="1">
                  <c:v>93.68217359982583</c:v>
                </c:pt>
                <c:pt idx="2">
                  <c:v>90.680602925738441</c:v>
                </c:pt>
                <c:pt idx="3">
                  <c:v>92.129556261422209</c:v>
                </c:pt>
                <c:pt idx="4">
                  <c:v>89.396397231155106</c:v>
                </c:pt>
                <c:pt idx="5">
                  <c:v>91.71702174631902</c:v>
                </c:pt>
                <c:pt idx="6">
                  <c:v>88.715451072231616</c:v>
                </c:pt>
                <c:pt idx="7">
                  <c:v>90.164404407915384</c:v>
                </c:pt>
                <c:pt idx="8">
                  <c:v>87.431245377648295</c:v>
                </c:pt>
                <c:pt idx="9">
                  <c:v>89.751869892812209</c:v>
                </c:pt>
                <c:pt idx="10">
                  <c:v>86.750299218724805</c:v>
                </c:pt>
                <c:pt idx="11">
                  <c:v>88.199252554408574</c:v>
                </c:pt>
                <c:pt idx="12">
                  <c:v>85.466093524141471</c:v>
                </c:pt>
                <c:pt idx="13">
                  <c:v>87.786718039305399</c:v>
                </c:pt>
                <c:pt idx="14">
                  <c:v>84.785147365217995</c:v>
                </c:pt>
                <c:pt idx="15">
                  <c:v>86.234100700901763</c:v>
                </c:pt>
                <c:pt idx="16">
                  <c:v>83.50094167063466</c:v>
                </c:pt>
                <c:pt idx="17">
                  <c:v>85.821566185798574</c:v>
                </c:pt>
                <c:pt idx="18">
                  <c:v>82.81999551171117</c:v>
                </c:pt>
                <c:pt idx="19">
                  <c:v>84.268948847394952</c:v>
                </c:pt>
                <c:pt idx="20">
                  <c:v>81.535789817127849</c:v>
                </c:pt>
                <c:pt idx="21">
                  <c:v>83.856414332291763</c:v>
                </c:pt>
                <c:pt idx="22">
                  <c:v>80.854843658204359</c:v>
                </c:pt>
                <c:pt idx="23">
                  <c:v>82.303796993888128</c:v>
                </c:pt>
                <c:pt idx="24">
                  <c:v>79.570637963621024</c:v>
                </c:pt>
                <c:pt idx="25">
                  <c:v>81.891262478784952</c:v>
                </c:pt>
                <c:pt idx="26">
                  <c:v>78.889691804697549</c:v>
                </c:pt>
                <c:pt idx="27">
                  <c:v>80.338645140381317</c:v>
                </c:pt>
                <c:pt idx="28">
                  <c:v>77.605486110114214</c:v>
                </c:pt>
                <c:pt idx="29">
                  <c:v>79.926110625278127</c:v>
                </c:pt>
                <c:pt idx="30">
                  <c:v>76.924539951190738</c:v>
                </c:pt>
                <c:pt idx="31">
                  <c:v>78.373493286874506</c:v>
                </c:pt>
                <c:pt idx="32">
                  <c:v>75.640334256607403</c:v>
                </c:pt>
                <c:pt idx="33">
                  <c:v>77.960958771771317</c:v>
                </c:pt>
                <c:pt idx="34">
                  <c:v>74.959388097683913</c:v>
                </c:pt>
                <c:pt idx="35">
                  <c:v>76.408341433367696</c:v>
                </c:pt>
                <c:pt idx="36">
                  <c:v>73.675182403100592</c:v>
                </c:pt>
                <c:pt idx="37">
                  <c:v>75.995806918264506</c:v>
                </c:pt>
                <c:pt idx="38">
                  <c:v>72.994236244177102</c:v>
                </c:pt>
                <c:pt idx="39">
                  <c:v>74.443189579860871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FD-40A2-BB1C-65B30B86951E}"/>
            </c:ext>
          </c:extLst>
        </c:ser>
        <c:ser>
          <c:idx val="3"/>
          <c:order val="3"/>
          <c:tx>
            <c:v>Exponential Smoothing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S08000020_Grampian20x!$I$138:$I$173</c:f>
              <c:numCache>
                <c:formatCode>0.00</c:formatCode>
                <c:ptCount val="36"/>
                <c:pt idx="0">
                  <c:v>90.102389078498291</c:v>
                </c:pt>
                <c:pt idx="1">
                  <c:v>92.116144693299574</c:v>
                </c:pt>
                <c:pt idx="2">
                  <c:v>90.741384929187291</c:v>
                </c:pt>
                <c:pt idx="3">
                  <c:v>92.683824668204196</c:v>
                </c:pt>
                <c:pt idx="4">
                  <c:v>91.691375882003598</c:v>
                </c:pt>
                <c:pt idx="5">
                  <c:v>90.494277583996677</c:v>
                </c:pt>
                <c:pt idx="6">
                  <c:v>90.044074856045853</c:v>
                </c:pt>
                <c:pt idx="7">
                  <c:v>90.884450955923583</c:v>
                </c:pt>
                <c:pt idx="8">
                  <c:v>88.724218960650916</c:v>
                </c:pt>
                <c:pt idx="9">
                  <c:v>89.347384040967356</c:v>
                </c:pt>
                <c:pt idx="10">
                  <c:v>88.338969346736093</c:v>
                </c:pt>
                <c:pt idx="11">
                  <c:v>88.655555521085134</c:v>
                </c:pt>
                <c:pt idx="12">
                  <c:v>87.407169790638505</c:v>
                </c:pt>
                <c:pt idx="13">
                  <c:v>86.237405322658958</c:v>
                </c:pt>
                <c:pt idx="14">
                  <c:v>85.742443193595363</c:v>
                </c:pt>
                <c:pt idx="15">
                  <c:v>86.065348957092894</c:v>
                </c:pt>
                <c:pt idx="16">
                  <c:v>86.373102931678716</c:v>
                </c:pt>
                <c:pt idx="17">
                  <c:v>85.877915813061293</c:v>
                </c:pt>
                <c:pt idx="18">
                  <c:v>84.216044527001259</c:v>
                </c:pt>
                <c:pt idx="19">
                  <c:v>84.282775330810324</c:v>
                </c:pt>
                <c:pt idx="20">
                  <c:v>84.713585794019679</c:v>
                </c:pt>
                <c:pt idx="21">
                  <c:v>83.564724366437389</c:v>
                </c:pt>
                <c:pt idx="22">
                  <c:v>83.182312880731985</c:v>
                </c:pt>
                <c:pt idx="23">
                  <c:v>81.752139571191037</c:v>
                </c:pt>
                <c:pt idx="24">
                  <c:v>79.370432678884839</c:v>
                </c:pt>
                <c:pt idx="25">
                  <c:v>79.550510728407133</c:v>
                </c:pt>
                <c:pt idx="26">
                  <c:v>78.415237943893587</c:v>
                </c:pt>
                <c:pt idx="27">
                  <c:v>78.703819025328954</c:v>
                </c:pt>
                <c:pt idx="28">
                  <c:v>77.917478580972769</c:v>
                </c:pt>
                <c:pt idx="29">
                  <c:v>81.404425096077688</c:v>
                </c:pt>
                <c:pt idx="30">
                  <c:v>80.493140494539816</c:v>
                </c:pt>
                <c:pt idx="31">
                  <c:v>79.998011956298356</c:v>
                </c:pt>
                <c:pt idx="32">
                  <c:v>78.180625355597201</c:v>
                </c:pt>
                <c:pt idx="33">
                  <c:v>79.053078055735583</c:v>
                </c:pt>
                <c:pt idx="34">
                  <c:v>77.565895090813996</c:v>
                </c:pt>
                <c:pt idx="35">
                  <c:v>75.585991822214567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FD-40A2-BB1C-65B30B869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535952"/>
        <c:axId val="1948534512"/>
      </c:scatterChart>
      <c:valAx>
        <c:axId val="194853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534512"/>
        <c:crosses val="autoZero"/>
        <c:crossBetween val="midCat"/>
      </c:valAx>
      <c:valAx>
        <c:axId val="194853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53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 Data and Chosen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S08000020_Grampian20x!$H$2</c:f>
              <c:strCache>
                <c:ptCount val="1"/>
                <c:pt idx="0">
                  <c:v>Percentage of Referrals Treated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S08000020_Grampian20x!$A$3:$A$38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S08000020_Grampian20x!$H$3:$H$38</c:f>
              <c:numCache>
                <c:formatCode>0.00</c:formatCode>
                <c:ptCount val="36"/>
                <c:pt idx="0">
                  <c:v>90.102389078498291</c:v>
                </c:pt>
                <c:pt idx="1">
                  <c:v>95.136778115501514</c:v>
                </c:pt>
                <c:pt idx="2">
                  <c:v>88.679245283018872</c:v>
                </c:pt>
                <c:pt idx="3">
                  <c:v>95.59748427672956</c:v>
                </c:pt>
                <c:pt idx="4">
                  <c:v>90.202702702702695</c:v>
                </c:pt>
                <c:pt idx="5">
                  <c:v>88.698630136986296</c:v>
                </c:pt>
                <c:pt idx="6">
                  <c:v>89.368770764119603</c:v>
                </c:pt>
                <c:pt idx="7">
                  <c:v>92.145015105740185</c:v>
                </c:pt>
                <c:pt idx="8">
                  <c:v>85.483870967741936</c:v>
                </c:pt>
                <c:pt idx="9">
                  <c:v>90.282131661442008</c:v>
                </c:pt>
                <c:pt idx="10">
                  <c:v>86.82634730538922</c:v>
                </c:pt>
                <c:pt idx="11">
                  <c:v>89.130434782608688</c:v>
                </c:pt>
                <c:pt idx="12">
                  <c:v>85.534591194968556</c:v>
                </c:pt>
                <c:pt idx="13">
                  <c:v>84.482758620689651</c:v>
                </c:pt>
                <c:pt idx="14">
                  <c:v>85</c:v>
                </c:pt>
                <c:pt idx="15">
                  <c:v>86.549707602339183</c:v>
                </c:pt>
                <c:pt idx="16">
                  <c:v>86.834733893557427</c:v>
                </c:pt>
                <c:pt idx="17">
                  <c:v>85.13513513513513</c:v>
                </c:pt>
                <c:pt idx="18">
                  <c:v>81.723237597911222</c:v>
                </c:pt>
                <c:pt idx="19">
                  <c:v>84.382871536523936</c:v>
                </c:pt>
                <c:pt idx="20">
                  <c:v>85.359801488833739</c:v>
                </c:pt>
                <c:pt idx="21">
                  <c:v>81.84143222506394</c:v>
                </c:pt>
                <c:pt idx="22">
                  <c:v>82.608695652173907</c:v>
                </c:pt>
                <c:pt idx="23">
                  <c:v>79.606879606879616</c:v>
                </c:pt>
                <c:pt idx="24">
                  <c:v>75.797872340425528</c:v>
                </c:pt>
                <c:pt idx="25">
                  <c:v>79.820627802690581</c:v>
                </c:pt>
                <c:pt idx="26">
                  <c:v>76.712328767123282</c:v>
                </c:pt>
                <c:pt idx="27">
                  <c:v>79.136690647482013</c:v>
                </c:pt>
                <c:pt idx="28">
                  <c:v>76.737967914438499</c:v>
                </c:pt>
                <c:pt idx="29">
                  <c:v>86.634844868735087</c:v>
                </c:pt>
                <c:pt idx="30">
                  <c:v>79.126213592233015</c:v>
                </c:pt>
                <c:pt idx="31">
                  <c:v>79.255319148936167</c:v>
                </c:pt>
                <c:pt idx="32">
                  <c:v>75.454545454545453</c:v>
                </c:pt>
                <c:pt idx="33">
                  <c:v>80.361757105943155</c:v>
                </c:pt>
                <c:pt idx="34">
                  <c:v>75.335120643431637</c:v>
                </c:pt>
                <c:pt idx="35">
                  <c:v>72.616136919315394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4-43FC-BD1F-CA963E2AADF1}"/>
            </c:ext>
          </c:extLst>
        </c:ser>
        <c:ser>
          <c:idx val="1"/>
          <c:order val="1"/>
          <c:tx>
            <c:v>Chosen Forecast Linear Trend with Seasonality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S08000020_Grampian20x!$M$86:$M$125</c:f>
              <c:numCache>
                <c:formatCode>0.00</c:formatCode>
                <c:ptCount val="40"/>
                <c:pt idx="0">
                  <c:v>91.361549084661917</c:v>
                </c:pt>
                <c:pt idx="1">
                  <c:v>93.68217359982583</c:v>
                </c:pt>
                <c:pt idx="2">
                  <c:v>90.680602925738441</c:v>
                </c:pt>
                <c:pt idx="3">
                  <c:v>92.129556261422209</c:v>
                </c:pt>
                <c:pt idx="4">
                  <c:v>89.396397231155106</c:v>
                </c:pt>
                <c:pt idx="5">
                  <c:v>91.71702174631902</c:v>
                </c:pt>
                <c:pt idx="6">
                  <c:v>88.715451072231616</c:v>
                </c:pt>
                <c:pt idx="7">
                  <c:v>90.164404407915384</c:v>
                </c:pt>
                <c:pt idx="8">
                  <c:v>87.431245377648295</c:v>
                </c:pt>
                <c:pt idx="9">
                  <c:v>89.751869892812209</c:v>
                </c:pt>
                <c:pt idx="10">
                  <c:v>86.750299218724805</c:v>
                </c:pt>
                <c:pt idx="11">
                  <c:v>88.199252554408574</c:v>
                </c:pt>
                <c:pt idx="12">
                  <c:v>85.466093524141471</c:v>
                </c:pt>
                <c:pt idx="13">
                  <c:v>87.786718039305399</c:v>
                </c:pt>
                <c:pt idx="14">
                  <c:v>84.785147365217995</c:v>
                </c:pt>
                <c:pt idx="15">
                  <c:v>86.234100700901763</c:v>
                </c:pt>
                <c:pt idx="16">
                  <c:v>83.50094167063466</c:v>
                </c:pt>
                <c:pt idx="17">
                  <c:v>85.821566185798574</c:v>
                </c:pt>
                <c:pt idx="18">
                  <c:v>82.81999551171117</c:v>
                </c:pt>
                <c:pt idx="19">
                  <c:v>84.268948847394952</c:v>
                </c:pt>
                <c:pt idx="20">
                  <c:v>81.535789817127849</c:v>
                </c:pt>
                <c:pt idx="21">
                  <c:v>83.856414332291763</c:v>
                </c:pt>
                <c:pt idx="22">
                  <c:v>80.854843658204359</c:v>
                </c:pt>
                <c:pt idx="23">
                  <c:v>82.303796993888128</c:v>
                </c:pt>
                <c:pt idx="24">
                  <c:v>79.570637963621024</c:v>
                </c:pt>
                <c:pt idx="25">
                  <c:v>81.891262478784952</c:v>
                </c:pt>
                <c:pt idx="26">
                  <c:v>78.889691804697549</c:v>
                </c:pt>
                <c:pt idx="27">
                  <c:v>80.338645140381317</c:v>
                </c:pt>
                <c:pt idx="28">
                  <c:v>77.605486110114214</c:v>
                </c:pt>
                <c:pt idx="29">
                  <c:v>79.926110625278127</c:v>
                </c:pt>
                <c:pt idx="30">
                  <c:v>76.924539951190738</c:v>
                </c:pt>
                <c:pt idx="31">
                  <c:v>78.373493286874506</c:v>
                </c:pt>
                <c:pt idx="32">
                  <c:v>75.640334256607403</c:v>
                </c:pt>
                <c:pt idx="33">
                  <c:v>77.960958771771317</c:v>
                </c:pt>
                <c:pt idx="34">
                  <c:v>74.959388097683913</c:v>
                </c:pt>
                <c:pt idx="35">
                  <c:v>76.408341433367696</c:v>
                </c:pt>
                <c:pt idx="36">
                  <c:v>73.675182403100592</c:v>
                </c:pt>
                <c:pt idx="37">
                  <c:v>75.995806918264506</c:v>
                </c:pt>
                <c:pt idx="38">
                  <c:v>72.994236244177102</c:v>
                </c:pt>
                <c:pt idx="39">
                  <c:v>74.443189579860871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C4-43FC-BD1F-CA963E2AA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115904"/>
        <c:axId val="1762116384"/>
      </c:scatterChart>
      <c:valAx>
        <c:axId val="176211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Quarter Q1 to Q4 from 2012 to 2021 without 2020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116384"/>
        <c:crosses val="autoZero"/>
        <c:crossBetween val="midCat"/>
      </c:valAx>
      <c:valAx>
        <c:axId val="176211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Referral</a:t>
                </a:r>
                <a:r>
                  <a:rPr lang="en-IN" baseline="0"/>
                  <a:t>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11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Lothian Original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S08000024_Lothian!$A$3:$A$38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S08000024_Lothian!$H$3:$H$38</c:f>
              <c:numCache>
                <c:formatCode>0.00</c:formatCode>
                <c:ptCount val="36"/>
                <c:pt idx="0">
                  <c:v>94.642857142857139</c:v>
                </c:pt>
                <c:pt idx="1">
                  <c:v>92.025518341307816</c:v>
                </c:pt>
                <c:pt idx="2">
                  <c:v>90.085470085470092</c:v>
                </c:pt>
                <c:pt idx="3">
                  <c:v>95.595432300163125</c:v>
                </c:pt>
                <c:pt idx="4">
                  <c:v>94.708029197080293</c:v>
                </c:pt>
                <c:pt idx="5">
                  <c:v>94.21641791044776</c:v>
                </c:pt>
                <c:pt idx="6">
                  <c:v>95.585738539898131</c:v>
                </c:pt>
                <c:pt idx="7">
                  <c:v>94.38943894389439</c:v>
                </c:pt>
                <c:pt idx="8">
                  <c:v>90.733590733590731</c:v>
                </c:pt>
                <c:pt idx="9">
                  <c:v>92.266187050359719</c:v>
                </c:pt>
                <c:pt idx="10">
                  <c:v>94.026974951830439</c:v>
                </c:pt>
                <c:pt idx="11">
                  <c:v>93.849206349206355</c:v>
                </c:pt>
                <c:pt idx="12">
                  <c:v>92.427184466019412</c:v>
                </c:pt>
                <c:pt idx="13">
                  <c:v>92.222222222222229</c:v>
                </c:pt>
                <c:pt idx="14">
                  <c:v>92.723880597014926</c:v>
                </c:pt>
                <c:pt idx="15">
                  <c:v>91.064638783269956</c:v>
                </c:pt>
                <c:pt idx="16">
                  <c:v>90.427698574338095</c:v>
                </c:pt>
                <c:pt idx="17">
                  <c:v>91.452991452991455</c:v>
                </c:pt>
                <c:pt idx="18">
                  <c:v>87.449392712550605</c:v>
                </c:pt>
                <c:pt idx="19">
                  <c:v>82.592592592592595</c:v>
                </c:pt>
                <c:pt idx="20">
                  <c:v>87.620889748549331</c:v>
                </c:pt>
                <c:pt idx="21">
                  <c:v>85.621970920840056</c:v>
                </c:pt>
                <c:pt idx="22">
                  <c:v>86.542056074766364</c:v>
                </c:pt>
                <c:pt idx="23">
                  <c:v>89.303904923599319</c:v>
                </c:pt>
                <c:pt idx="24">
                  <c:v>85.027726432532347</c:v>
                </c:pt>
                <c:pt idx="25">
                  <c:v>80.769230769230774</c:v>
                </c:pt>
                <c:pt idx="26">
                  <c:v>78.703703703703709</c:v>
                </c:pt>
                <c:pt idx="27">
                  <c:v>80.060422960725077</c:v>
                </c:pt>
                <c:pt idx="28">
                  <c:v>78.13559322033899</c:v>
                </c:pt>
                <c:pt idx="29">
                  <c:v>73.668188736681884</c:v>
                </c:pt>
                <c:pt idx="30">
                  <c:v>78.236130867709818</c:v>
                </c:pt>
                <c:pt idx="31">
                  <c:v>80.277349768875197</c:v>
                </c:pt>
                <c:pt idx="32">
                  <c:v>82.736156351791536</c:v>
                </c:pt>
                <c:pt idx="33">
                  <c:v>85.348506401137982</c:v>
                </c:pt>
                <c:pt idx="34">
                  <c:v>85.126162018592296</c:v>
                </c:pt>
                <c:pt idx="35">
                  <c:v>82.871536523929464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9A-417D-8172-73E4C9F0477F}"/>
            </c:ext>
          </c:extLst>
        </c:ser>
        <c:ser>
          <c:idx val="1"/>
          <c:order val="1"/>
          <c:tx>
            <c:v>Forecast(Linear Trend)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S08000024_Lothian!$I$43:$I$78</c:f>
              <c:numCache>
                <c:formatCode>0.00</c:formatCode>
                <c:ptCount val="36"/>
                <c:pt idx="0">
                  <c:v>96.228433397925045</c:v>
                </c:pt>
                <c:pt idx="1">
                  <c:v>95.749562588472358</c:v>
                </c:pt>
                <c:pt idx="2">
                  <c:v>95.270691779019671</c:v>
                </c:pt>
                <c:pt idx="3">
                  <c:v>94.791820969566999</c:v>
                </c:pt>
                <c:pt idx="4">
                  <c:v>94.312950160114312</c:v>
                </c:pt>
                <c:pt idx="5">
                  <c:v>93.834079350661625</c:v>
                </c:pt>
                <c:pt idx="6">
                  <c:v>93.355208541208938</c:v>
                </c:pt>
                <c:pt idx="7">
                  <c:v>92.876337731756252</c:v>
                </c:pt>
                <c:pt idx="8">
                  <c:v>92.397466922303565</c:v>
                </c:pt>
                <c:pt idx="9">
                  <c:v>91.918596112850878</c:v>
                </c:pt>
                <c:pt idx="10">
                  <c:v>91.439725303398205</c:v>
                </c:pt>
                <c:pt idx="11">
                  <c:v>90.960854493945519</c:v>
                </c:pt>
                <c:pt idx="12">
                  <c:v>90.481983684492832</c:v>
                </c:pt>
                <c:pt idx="13">
                  <c:v>90.003112875040145</c:v>
                </c:pt>
                <c:pt idx="14">
                  <c:v>89.524242065587458</c:v>
                </c:pt>
                <c:pt idx="15">
                  <c:v>89.045371256134771</c:v>
                </c:pt>
                <c:pt idx="16">
                  <c:v>88.566500446682085</c:v>
                </c:pt>
                <c:pt idx="17">
                  <c:v>88.087629637229412</c:v>
                </c:pt>
                <c:pt idx="18">
                  <c:v>87.608758827776725</c:v>
                </c:pt>
                <c:pt idx="19">
                  <c:v>87.129888018324039</c:v>
                </c:pt>
                <c:pt idx="20">
                  <c:v>86.651017208871352</c:v>
                </c:pt>
                <c:pt idx="21">
                  <c:v>86.172146399418665</c:v>
                </c:pt>
                <c:pt idx="22">
                  <c:v>85.693275589965978</c:v>
                </c:pt>
                <c:pt idx="23">
                  <c:v>85.214404780513291</c:v>
                </c:pt>
                <c:pt idx="24">
                  <c:v>84.735533971060619</c:v>
                </c:pt>
                <c:pt idx="25">
                  <c:v>84.256663161607932</c:v>
                </c:pt>
                <c:pt idx="26">
                  <c:v>83.777792352155245</c:v>
                </c:pt>
                <c:pt idx="27">
                  <c:v>83.298921542702558</c:v>
                </c:pt>
                <c:pt idx="28">
                  <c:v>82.820050733249872</c:v>
                </c:pt>
                <c:pt idx="29">
                  <c:v>82.341179923797185</c:v>
                </c:pt>
                <c:pt idx="30">
                  <c:v>81.862309114344498</c:v>
                </c:pt>
                <c:pt idx="31">
                  <c:v>81.383438304891826</c:v>
                </c:pt>
                <c:pt idx="32">
                  <c:v>80.904567495439139</c:v>
                </c:pt>
                <c:pt idx="33">
                  <c:v>80.425696685986452</c:v>
                </c:pt>
                <c:pt idx="34">
                  <c:v>79.946825876533765</c:v>
                </c:pt>
                <c:pt idx="35">
                  <c:v>79.467955067081078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9A-417D-8172-73E4C9F0477F}"/>
            </c:ext>
          </c:extLst>
        </c:ser>
        <c:ser>
          <c:idx val="2"/>
          <c:order val="2"/>
          <c:tx>
            <c:v>Forecast Linear Trend Seasonality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S08000024_Lothian!$M$87:$M$126</c:f>
              <c:numCache>
                <c:formatCode>0.00</c:formatCode>
                <c:ptCount val="40"/>
                <c:pt idx="0">
                  <c:v>96.208751881825776</c:v>
                </c:pt>
                <c:pt idx="1">
                  <c:v>95.223363874950422</c:v>
                </c:pt>
                <c:pt idx="2">
                  <c:v>95.322061180096725</c:v>
                </c:pt>
                <c:pt idx="3">
                  <c:v>95.491507135065518</c:v>
                </c:pt>
                <c:pt idx="4">
                  <c:v>94.280445185455378</c:v>
                </c:pt>
                <c:pt idx="5">
                  <c:v>93.295057178580024</c:v>
                </c:pt>
                <c:pt idx="6">
                  <c:v>93.393754483726326</c:v>
                </c:pt>
                <c:pt idx="7">
                  <c:v>93.563200438695119</c:v>
                </c:pt>
                <c:pt idx="8">
                  <c:v>92.352138489084993</c:v>
                </c:pt>
                <c:pt idx="9">
                  <c:v>91.366750482209639</c:v>
                </c:pt>
                <c:pt idx="10">
                  <c:v>91.465447787355942</c:v>
                </c:pt>
                <c:pt idx="11">
                  <c:v>91.634893742324735</c:v>
                </c:pt>
                <c:pt idx="12">
                  <c:v>90.423831792714608</c:v>
                </c:pt>
                <c:pt idx="13">
                  <c:v>89.43844378583924</c:v>
                </c:pt>
                <c:pt idx="14">
                  <c:v>89.537141090985543</c:v>
                </c:pt>
                <c:pt idx="15">
                  <c:v>89.706587045954336</c:v>
                </c:pt>
                <c:pt idx="16">
                  <c:v>88.49552509634421</c:v>
                </c:pt>
                <c:pt idx="17">
                  <c:v>87.510137089468856</c:v>
                </c:pt>
                <c:pt idx="18">
                  <c:v>87.608834394615158</c:v>
                </c:pt>
                <c:pt idx="19">
                  <c:v>87.778280349583952</c:v>
                </c:pt>
                <c:pt idx="20">
                  <c:v>86.567218399973825</c:v>
                </c:pt>
                <c:pt idx="21">
                  <c:v>85.581830393098471</c:v>
                </c:pt>
                <c:pt idx="22">
                  <c:v>85.680527698244774</c:v>
                </c:pt>
                <c:pt idx="23">
                  <c:v>85.849973653213567</c:v>
                </c:pt>
                <c:pt idx="24">
                  <c:v>84.638911703603426</c:v>
                </c:pt>
                <c:pt idx="25">
                  <c:v>83.653523696728072</c:v>
                </c:pt>
                <c:pt idx="26">
                  <c:v>83.752221001874375</c:v>
                </c:pt>
                <c:pt idx="27">
                  <c:v>83.921666956843168</c:v>
                </c:pt>
                <c:pt idx="28">
                  <c:v>82.710605007233042</c:v>
                </c:pt>
                <c:pt idx="29">
                  <c:v>81.725217000357688</c:v>
                </c:pt>
                <c:pt idx="30">
                  <c:v>81.82391430550399</c:v>
                </c:pt>
                <c:pt idx="31">
                  <c:v>81.993360260472784</c:v>
                </c:pt>
                <c:pt idx="32">
                  <c:v>80.782298310862657</c:v>
                </c:pt>
                <c:pt idx="33">
                  <c:v>79.796910303987289</c:v>
                </c:pt>
                <c:pt idx="34">
                  <c:v>79.895607609133592</c:v>
                </c:pt>
                <c:pt idx="35">
                  <c:v>80.065053564102385</c:v>
                </c:pt>
                <c:pt idx="36">
                  <c:v>78.853991614492259</c:v>
                </c:pt>
                <c:pt idx="37">
                  <c:v>77.868603607616905</c:v>
                </c:pt>
                <c:pt idx="38">
                  <c:v>77.967300912763207</c:v>
                </c:pt>
                <c:pt idx="39">
                  <c:v>78.136746867732001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9A-417D-8172-73E4C9F0477F}"/>
            </c:ext>
          </c:extLst>
        </c:ser>
        <c:ser>
          <c:idx val="3"/>
          <c:order val="3"/>
          <c:tx>
            <c:v>Exponential Smoothing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S08000024_Lothian!$I$139:$I$174</c:f>
              <c:numCache>
                <c:formatCode>0.00</c:formatCode>
                <c:ptCount val="36"/>
                <c:pt idx="0">
                  <c:v>94.642857142857139</c:v>
                </c:pt>
                <c:pt idx="1">
                  <c:v>92.287252221462751</c:v>
                </c:pt>
                <c:pt idx="2">
                  <c:v>90.305648299069361</c:v>
                </c:pt>
                <c:pt idx="3">
                  <c:v>95.066453900053745</c:v>
                </c:pt>
                <c:pt idx="4">
                  <c:v>94.743871667377647</c:v>
                </c:pt>
                <c:pt idx="5">
                  <c:v>94.269163286140753</c:v>
                </c:pt>
                <c:pt idx="6">
                  <c:v>95.454081014522387</c:v>
                </c:pt>
                <c:pt idx="7">
                  <c:v>94.49590315095719</c:v>
                </c:pt>
                <c:pt idx="8">
                  <c:v>91.109821975327378</c:v>
                </c:pt>
                <c:pt idx="9">
                  <c:v>92.150550542856479</c:v>
                </c:pt>
                <c:pt idx="10">
                  <c:v>93.839332510933033</c:v>
                </c:pt>
                <c:pt idx="11">
                  <c:v>93.848218965379019</c:v>
                </c:pt>
                <c:pt idx="12">
                  <c:v>92.569287915955371</c:v>
                </c:pt>
                <c:pt idx="13">
                  <c:v>92.256928791595556</c:v>
                </c:pt>
                <c:pt idx="14">
                  <c:v>92.677185416472994</c:v>
                </c:pt>
                <c:pt idx="15">
                  <c:v>91.225893446590263</c:v>
                </c:pt>
                <c:pt idx="16">
                  <c:v>90.507518061563303</c:v>
                </c:pt>
                <c:pt idx="17">
                  <c:v>91.358444113848634</c:v>
                </c:pt>
                <c:pt idx="18">
                  <c:v>87.840297852680408</c:v>
                </c:pt>
                <c:pt idx="19">
                  <c:v>83.117363118601389</c:v>
                </c:pt>
                <c:pt idx="20">
                  <c:v>87.170537085554543</c:v>
                </c:pt>
                <c:pt idx="21">
                  <c:v>85.776827537311505</c:v>
                </c:pt>
                <c:pt idx="22">
                  <c:v>86.465533221020877</c:v>
                </c:pt>
                <c:pt idx="23">
                  <c:v>89.020067753341465</c:v>
                </c:pt>
                <c:pt idx="24">
                  <c:v>85.426960564613253</c:v>
                </c:pt>
                <c:pt idx="25">
                  <c:v>81.235003748769017</c:v>
                </c:pt>
                <c:pt idx="26">
                  <c:v>78.95683370821024</c:v>
                </c:pt>
                <c:pt idx="27">
                  <c:v>79.950064035473588</c:v>
                </c:pt>
                <c:pt idx="28">
                  <c:v>78.317040301852444</c:v>
                </c:pt>
                <c:pt idx="29">
                  <c:v>74.13307389319894</c:v>
                </c:pt>
                <c:pt idx="30">
                  <c:v>77.825825170258739</c:v>
                </c:pt>
                <c:pt idx="31">
                  <c:v>80.032197309013554</c:v>
                </c:pt>
                <c:pt idx="32">
                  <c:v>82.46576044751373</c:v>
                </c:pt>
                <c:pt idx="33">
                  <c:v>85.060231805775544</c:v>
                </c:pt>
                <c:pt idx="34">
                  <c:v>85.119568997310623</c:v>
                </c:pt>
                <c:pt idx="35">
                  <c:v>83.09633977126758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9A-417D-8172-73E4C9F04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07072"/>
        <c:axId val="65307552"/>
      </c:scatterChart>
      <c:valAx>
        <c:axId val="6530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7552"/>
        <c:crosses val="autoZero"/>
        <c:crossBetween val="midCat"/>
      </c:valAx>
      <c:valAx>
        <c:axId val="653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07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Original Data</a:t>
            </a:r>
            <a:r>
              <a:rPr lang="en-IN" baseline="0"/>
              <a:t> and Chosen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S08000024_Lothian!$H$2</c:f>
              <c:strCache>
                <c:ptCount val="1"/>
                <c:pt idx="0">
                  <c:v>Percentage of Referrals Treated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S08000024_Lothian!$A$3:$A$38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S08000024_Lothian!$H$3:$H$38</c:f>
              <c:numCache>
                <c:formatCode>0.00</c:formatCode>
                <c:ptCount val="36"/>
                <c:pt idx="0">
                  <c:v>94.642857142857139</c:v>
                </c:pt>
                <c:pt idx="1">
                  <c:v>92.025518341307816</c:v>
                </c:pt>
                <c:pt idx="2">
                  <c:v>90.085470085470092</c:v>
                </c:pt>
                <c:pt idx="3">
                  <c:v>95.595432300163125</c:v>
                </c:pt>
                <c:pt idx="4">
                  <c:v>94.708029197080293</c:v>
                </c:pt>
                <c:pt idx="5">
                  <c:v>94.21641791044776</c:v>
                </c:pt>
                <c:pt idx="6">
                  <c:v>95.585738539898131</c:v>
                </c:pt>
                <c:pt idx="7">
                  <c:v>94.38943894389439</c:v>
                </c:pt>
                <c:pt idx="8">
                  <c:v>90.733590733590731</c:v>
                </c:pt>
                <c:pt idx="9">
                  <c:v>92.266187050359719</c:v>
                </c:pt>
                <c:pt idx="10">
                  <c:v>94.026974951830439</c:v>
                </c:pt>
                <c:pt idx="11">
                  <c:v>93.849206349206355</c:v>
                </c:pt>
                <c:pt idx="12">
                  <c:v>92.427184466019412</c:v>
                </c:pt>
                <c:pt idx="13">
                  <c:v>92.222222222222229</c:v>
                </c:pt>
                <c:pt idx="14">
                  <c:v>92.723880597014926</c:v>
                </c:pt>
                <c:pt idx="15">
                  <c:v>91.064638783269956</c:v>
                </c:pt>
                <c:pt idx="16">
                  <c:v>90.427698574338095</c:v>
                </c:pt>
                <c:pt idx="17">
                  <c:v>91.452991452991455</c:v>
                </c:pt>
                <c:pt idx="18">
                  <c:v>87.449392712550605</c:v>
                </c:pt>
                <c:pt idx="19">
                  <c:v>82.592592592592595</c:v>
                </c:pt>
                <c:pt idx="20">
                  <c:v>87.620889748549331</c:v>
                </c:pt>
                <c:pt idx="21">
                  <c:v>85.621970920840056</c:v>
                </c:pt>
                <c:pt idx="22">
                  <c:v>86.542056074766364</c:v>
                </c:pt>
                <c:pt idx="23">
                  <c:v>89.303904923599319</c:v>
                </c:pt>
                <c:pt idx="24">
                  <c:v>85.027726432532347</c:v>
                </c:pt>
                <c:pt idx="25">
                  <c:v>80.769230769230774</c:v>
                </c:pt>
                <c:pt idx="26">
                  <c:v>78.703703703703709</c:v>
                </c:pt>
                <c:pt idx="27">
                  <c:v>80.060422960725077</c:v>
                </c:pt>
                <c:pt idx="28">
                  <c:v>78.13559322033899</c:v>
                </c:pt>
                <c:pt idx="29">
                  <c:v>73.668188736681884</c:v>
                </c:pt>
                <c:pt idx="30">
                  <c:v>78.236130867709818</c:v>
                </c:pt>
                <c:pt idx="31">
                  <c:v>80.277349768875197</c:v>
                </c:pt>
                <c:pt idx="32">
                  <c:v>82.736156351791536</c:v>
                </c:pt>
                <c:pt idx="33">
                  <c:v>85.348506401137982</c:v>
                </c:pt>
                <c:pt idx="34">
                  <c:v>85.126162018592296</c:v>
                </c:pt>
                <c:pt idx="35">
                  <c:v>82.871536523929464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7C-428D-B28E-F3B6DCCFF89F}"/>
            </c:ext>
          </c:extLst>
        </c:ser>
        <c:ser>
          <c:idx val="1"/>
          <c:order val="1"/>
          <c:tx>
            <c:v>Chosen Forecast Exponential Smoothing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S08000024_Lothian!$I$139:$I$174</c:f>
              <c:numCache>
                <c:formatCode>0.00</c:formatCode>
                <c:ptCount val="36"/>
                <c:pt idx="0">
                  <c:v>94.642857142857139</c:v>
                </c:pt>
                <c:pt idx="1">
                  <c:v>92.287252221462751</c:v>
                </c:pt>
                <c:pt idx="2">
                  <c:v>90.305648299069361</c:v>
                </c:pt>
                <c:pt idx="3">
                  <c:v>95.066453900053745</c:v>
                </c:pt>
                <c:pt idx="4">
                  <c:v>94.743871667377647</c:v>
                </c:pt>
                <c:pt idx="5">
                  <c:v>94.269163286140753</c:v>
                </c:pt>
                <c:pt idx="6">
                  <c:v>95.454081014522387</c:v>
                </c:pt>
                <c:pt idx="7">
                  <c:v>94.49590315095719</c:v>
                </c:pt>
                <c:pt idx="8">
                  <c:v>91.109821975327378</c:v>
                </c:pt>
                <c:pt idx="9">
                  <c:v>92.150550542856479</c:v>
                </c:pt>
                <c:pt idx="10">
                  <c:v>93.839332510933033</c:v>
                </c:pt>
                <c:pt idx="11">
                  <c:v>93.848218965379019</c:v>
                </c:pt>
                <c:pt idx="12">
                  <c:v>92.569287915955371</c:v>
                </c:pt>
                <c:pt idx="13">
                  <c:v>92.256928791595556</c:v>
                </c:pt>
                <c:pt idx="14">
                  <c:v>92.677185416472994</c:v>
                </c:pt>
                <c:pt idx="15">
                  <c:v>91.225893446590263</c:v>
                </c:pt>
                <c:pt idx="16">
                  <c:v>90.507518061563303</c:v>
                </c:pt>
                <c:pt idx="17">
                  <c:v>91.358444113848634</c:v>
                </c:pt>
                <c:pt idx="18">
                  <c:v>87.840297852680408</c:v>
                </c:pt>
                <c:pt idx="19">
                  <c:v>83.117363118601389</c:v>
                </c:pt>
                <c:pt idx="20">
                  <c:v>87.170537085554543</c:v>
                </c:pt>
                <c:pt idx="21">
                  <c:v>85.776827537311505</c:v>
                </c:pt>
                <c:pt idx="22">
                  <c:v>86.465533221020877</c:v>
                </c:pt>
                <c:pt idx="23">
                  <c:v>89.020067753341465</c:v>
                </c:pt>
                <c:pt idx="24">
                  <c:v>85.426960564613253</c:v>
                </c:pt>
                <c:pt idx="25">
                  <c:v>81.235003748769017</c:v>
                </c:pt>
                <c:pt idx="26">
                  <c:v>78.95683370821024</c:v>
                </c:pt>
                <c:pt idx="27">
                  <c:v>79.950064035473588</c:v>
                </c:pt>
                <c:pt idx="28">
                  <c:v>78.317040301852444</c:v>
                </c:pt>
                <c:pt idx="29">
                  <c:v>74.13307389319894</c:v>
                </c:pt>
                <c:pt idx="30">
                  <c:v>77.825825170258739</c:v>
                </c:pt>
                <c:pt idx="31">
                  <c:v>80.032197309013554</c:v>
                </c:pt>
                <c:pt idx="32">
                  <c:v>82.46576044751373</c:v>
                </c:pt>
                <c:pt idx="33">
                  <c:v>85.060231805775544</c:v>
                </c:pt>
                <c:pt idx="34">
                  <c:v>85.119568997310623</c:v>
                </c:pt>
                <c:pt idx="35">
                  <c:v>83.09633977126758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7C-428D-B28E-F3B6DCCFF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839648"/>
        <c:axId val="680838208"/>
      </c:scatterChart>
      <c:valAx>
        <c:axId val="68083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Quarter form 2012 to 2021</a:t>
                </a:r>
                <a:r>
                  <a:rPr lang="en-IN" baseline="0"/>
                  <a:t> without 2020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38208"/>
        <c:crosses val="autoZero"/>
        <c:crossBetween val="midCat"/>
      </c:valAx>
      <c:valAx>
        <c:axId val="6808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Referral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39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Tayside Original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S08000030_Tayside20x!$A$3:$A$38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S08000030_Tayside20x!$H$3:$H$38</c:f>
              <c:numCache>
                <c:formatCode>0.00</c:formatCode>
                <c:ptCount val="36"/>
                <c:pt idx="0">
                  <c:v>95.927601809954751</c:v>
                </c:pt>
                <c:pt idx="1">
                  <c:v>96.832579185520359</c:v>
                </c:pt>
                <c:pt idx="2">
                  <c:v>95.238095238095227</c:v>
                </c:pt>
                <c:pt idx="3">
                  <c:v>95.544554455445535</c:v>
                </c:pt>
                <c:pt idx="4">
                  <c:v>93.212669683257914</c:v>
                </c:pt>
                <c:pt idx="5">
                  <c:v>94.468085106382986</c:v>
                </c:pt>
                <c:pt idx="6">
                  <c:v>96</c:v>
                </c:pt>
                <c:pt idx="7">
                  <c:v>90.366972477064223</c:v>
                </c:pt>
                <c:pt idx="8">
                  <c:v>91.079812206572768</c:v>
                </c:pt>
                <c:pt idx="9">
                  <c:v>94.805194805194802</c:v>
                </c:pt>
                <c:pt idx="10">
                  <c:v>97.787610619469021</c:v>
                </c:pt>
                <c:pt idx="11">
                  <c:v>96.943231441048042</c:v>
                </c:pt>
                <c:pt idx="12">
                  <c:v>91.709844559585491</c:v>
                </c:pt>
                <c:pt idx="13">
                  <c:v>92.672413793103445</c:v>
                </c:pt>
                <c:pt idx="14">
                  <c:v>86.142322097378283</c:v>
                </c:pt>
                <c:pt idx="15">
                  <c:v>88.659793814432987</c:v>
                </c:pt>
                <c:pt idx="16">
                  <c:v>92.410714285714292</c:v>
                </c:pt>
                <c:pt idx="17">
                  <c:v>89.610389610389603</c:v>
                </c:pt>
                <c:pt idx="18">
                  <c:v>82.969432314410483</c:v>
                </c:pt>
                <c:pt idx="19">
                  <c:v>87.169811320754718</c:v>
                </c:pt>
                <c:pt idx="20">
                  <c:v>89.88326848249028</c:v>
                </c:pt>
                <c:pt idx="21">
                  <c:v>90.34749034749035</c:v>
                </c:pt>
                <c:pt idx="22">
                  <c:v>89.642857142857153</c:v>
                </c:pt>
                <c:pt idx="23">
                  <c:v>89.400921658986178</c:v>
                </c:pt>
                <c:pt idx="24">
                  <c:v>86.419753086419746</c:v>
                </c:pt>
                <c:pt idx="25">
                  <c:v>87.931034482758619</c:v>
                </c:pt>
                <c:pt idx="26">
                  <c:v>83.467741935483872</c:v>
                </c:pt>
                <c:pt idx="27">
                  <c:v>82.926829268292678</c:v>
                </c:pt>
                <c:pt idx="28">
                  <c:v>88.60759493670885</c:v>
                </c:pt>
                <c:pt idx="29">
                  <c:v>89.523809523809533</c:v>
                </c:pt>
                <c:pt idx="30">
                  <c:v>95.238095238095227</c:v>
                </c:pt>
                <c:pt idx="31">
                  <c:v>94.930875576036868</c:v>
                </c:pt>
                <c:pt idx="32">
                  <c:v>93.782383419689126</c:v>
                </c:pt>
                <c:pt idx="33">
                  <c:v>90.909090909090907</c:v>
                </c:pt>
                <c:pt idx="34">
                  <c:v>92.857142857142861</c:v>
                </c:pt>
                <c:pt idx="35">
                  <c:v>88.185654008438817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A5-49D2-B85A-8B8E0825790E}"/>
            </c:ext>
          </c:extLst>
        </c:ser>
        <c:ser>
          <c:idx val="1"/>
          <c:order val="1"/>
          <c:tx>
            <c:v>Forecast(Linear Trend)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S08000030_Tayside20x!$I$43:$I$78</c:f>
              <c:numCache>
                <c:formatCode>0.00</c:formatCode>
                <c:ptCount val="36"/>
                <c:pt idx="0">
                  <c:v>94.318225133850021</c:v>
                </c:pt>
                <c:pt idx="1">
                  <c:v>94.140684763816637</c:v>
                </c:pt>
                <c:pt idx="2">
                  <c:v>93.963144393783239</c:v>
                </c:pt>
                <c:pt idx="3">
                  <c:v>93.785604023749855</c:v>
                </c:pt>
                <c:pt idx="4">
                  <c:v>93.608063653716471</c:v>
                </c:pt>
                <c:pt idx="5">
                  <c:v>93.430523283683087</c:v>
                </c:pt>
                <c:pt idx="6">
                  <c:v>93.252982913649689</c:v>
                </c:pt>
                <c:pt idx="7">
                  <c:v>93.075442543616305</c:v>
                </c:pt>
                <c:pt idx="8">
                  <c:v>92.897902173582921</c:v>
                </c:pt>
                <c:pt idx="9">
                  <c:v>92.720361803549537</c:v>
                </c:pt>
                <c:pt idx="10">
                  <c:v>92.542821433516153</c:v>
                </c:pt>
                <c:pt idx="11">
                  <c:v>92.365281063482755</c:v>
                </c:pt>
                <c:pt idx="12">
                  <c:v>92.187740693449371</c:v>
                </c:pt>
                <c:pt idx="13">
                  <c:v>92.010200323415987</c:v>
                </c:pt>
                <c:pt idx="14">
                  <c:v>91.832659953382603</c:v>
                </c:pt>
                <c:pt idx="15">
                  <c:v>91.655119583349205</c:v>
                </c:pt>
                <c:pt idx="16">
                  <c:v>91.477579213315821</c:v>
                </c:pt>
                <c:pt idx="17">
                  <c:v>91.300038843282437</c:v>
                </c:pt>
                <c:pt idx="18">
                  <c:v>91.122498473249053</c:v>
                </c:pt>
                <c:pt idx="19">
                  <c:v>90.944958103215669</c:v>
                </c:pt>
                <c:pt idx="20">
                  <c:v>90.76741773318227</c:v>
                </c:pt>
                <c:pt idx="21">
                  <c:v>90.589877363148887</c:v>
                </c:pt>
                <c:pt idx="22">
                  <c:v>90.412336993115503</c:v>
                </c:pt>
                <c:pt idx="23">
                  <c:v>90.234796623082119</c:v>
                </c:pt>
                <c:pt idx="24">
                  <c:v>90.05725625304872</c:v>
                </c:pt>
                <c:pt idx="25">
                  <c:v>89.879715883015336</c:v>
                </c:pt>
                <c:pt idx="26">
                  <c:v>89.702175512981952</c:v>
                </c:pt>
                <c:pt idx="27">
                  <c:v>89.524635142948569</c:v>
                </c:pt>
                <c:pt idx="28">
                  <c:v>89.347094772915185</c:v>
                </c:pt>
                <c:pt idx="29">
                  <c:v>89.169554402881786</c:v>
                </c:pt>
                <c:pt idx="30">
                  <c:v>88.992014032848402</c:v>
                </c:pt>
                <c:pt idx="31">
                  <c:v>88.814473662815018</c:v>
                </c:pt>
                <c:pt idx="32">
                  <c:v>88.636933292781634</c:v>
                </c:pt>
                <c:pt idx="33">
                  <c:v>88.459392922748236</c:v>
                </c:pt>
                <c:pt idx="34">
                  <c:v>88.281852552714852</c:v>
                </c:pt>
                <c:pt idx="35">
                  <c:v>88.104312182681468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A5-49D2-B85A-8B8E0825790E}"/>
            </c:ext>
          </c:extLst>
        </c:ser>
        <c:ser>
          <c:idx val="2"/>
          <c:order val="2"/>
          <c:tx>
            <c:v>Forecast Linear Trend Seasonality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S08000030_Tayside20x!$M$86:$M$125</c:f>
              <c:numCache>
                <c:formatCode>0.00</c:formatCode>
                <c:ptCount val="40"/>
                <c:pt idx="0">
                  <c:v>93.943264287483842</c:v>
                </c:pt>
                <c:pt idx="1">
                  <c:v>94.395091542300236</c:v>
                </c:pt>
                <c:pt idx="2">
                  <c:v>93.533225951099283</c:v>
                </c:pt>
                <c:pt idx="3">
                  <c:v>92.953820015273493</c:v>
                </c:pt>
                <c:pt idx="4">
                  <c:v>93.33635250053895</c:v>
                </c:pt>
                <c:pt idx="5">
                  <c:v>93.78817975535533</c:v>
                </c:pt>
                <c:pt idx="6">
                  <c:v>92.926314164154377</c:v>
                </c:pt>
                <c:pt idx="7">
                  <c:v>92.346908228328601</c:v>
                </c:pt>
                <c:pt idx="8">
                  <c:v>92.729440713594045</c:v>
                </c:pt>
                <c:pt idx="9">
                  <c:v>93.181267968410424</c:v>
                </c:pt>
                <c:pt idx="10">
                  <c:v>92.319402377209485</c:v>
                </c:pt>
                <c:pt idx="11">
                  <c:v>91.739996441383695</c:v>
                </c:pt>
                <c:pt idx="12">
                  <c:v>92.122528926649139</c:v>
                </c:pt>
                <c:pt idx="13">
                  <c:v>92.574356181465532</c:v>
                </c:pt>
                <c:pt idx="14">
                  <c:v>91.712490590264579</c:v>
                </c:pt>
                <c:pt idx="15">
                  <c:v>91.13308465443879</c:v>
                </c:pt>
                <c:pt idx="16">
                  <c:v>91.515617139704233</c:v>
                </c:pt>
                <c:pt idx="17">
                  <c:v>91.967444394520626</c:v>
                </c:pt>
                <c:pt idx="18">
                  <c:v>91.105578803319673</c:v>
                </c:pt>
                <c:pt idx="19">
                  <c:v>90.526172867493884</c:v>
                </c:pt>
                <c:pt idx="20">
                  <c:v>90.908705352759341</c:v>
                </c:pt>
                <c:pt idx="21">
                  <c:v>91.36053260757572</c:v>
                </c:pt>
                <c:pt idx="22">
                  <c:v>90.498667016374768</c:v>
                </c:pt>
                <c:pt idx="23">
                  <c:v>89.919261080548992</c:v>
                </c:pt>
                <c:pt idx="24">
                  <c:v>90.301793565814435</c:v>
                </c:pt>
                <c:pt idx="25">
                  <c:v>90.753620820630815</c:v>
                </c:pt>
                <c:pt idx="26">
                  <c:v>89.891755229429876</c:v>
                </c:pt>
                <c:pt idx="27">
                  <c:v>89.312349293604086</c:v>
                </c:pt>
                <c:pt idx="28">
                  <c:v>89.694881778869529</c:v>
                </c:pt>
                <c:pt idx="29">
                  <c:v>90.146709033685923</c:v>
                </c:pt>
                <c:pt idx="30">
                  <c:v>89.28484344248497</c:v>
                </c:pt>
                <c:pt idx="31">
                  <c:v>88.70543750665918</c:v>
                </c:pt>
                <c:pt idx="32">
                  <c:v>88.481058204979732</c:v>
                </c:pt>
                <c:pt idx="33">
                  <c:v>88.932885459796111</c:v>
                </c:pt>
                <c:pt idx="34">
                  <c:v>88.071019868595172</c:v>
                </c:pt>
                <c:pt idx="35">
                  <c:v>87.491613932769383</c:v>
                </c:pt>
                <c:pt idx="36">
                  <c:v>87.874146418034826</c:v>
                </c:pt>
                <c:pt idx="37">
                  <c:v>88.325973672851219</c:v>
                </c:pt>
                <c:pt idx="38">
                  <c:v>87.464108081650267</c:v>
                </c:pt>
                <c:pt idx="39">
                  <c:v>86.884702145824477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A5-49D2-B85A-8B8E0825790E}"/>
            </c:ext>
          </c:extLst>
        </c:ser>
        <c:ser>
          <c:idx val="3"/>
          <c:order val="3"/>
          <c:tx>
            <c:v>Exponential Smoothing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S08000030_Tayside20x!$I$137:$I$172</c:f>
              <c:numCache>
                <c:formatCode>0.00</c:formatCode>
                <c:ptCount val="36"/>
                <c:pt idx="0">
                  <c:v>95.927601809954751</c:v>
                </c:pt>
                <c:pt idx="1">
                  <c:v>96.561085972850663</c:v>
                </c:pt>
                <c:pt idx="2">
                  <c:v>95.634992458521864</c:v>
                </c:pt>
                <c:pt idx="3">
                  <c:v>95.571685856368447</c:v>
                </c:pt>
                <c:pt idx="4">
                  <c:v>93.920374535191073</c:v>
                </c:pt>
                <c:pt idx="5">
                  <c:v>94.303771935025409</c:v>
                </c:pt>
                <c:pt idx="6">
                  <c:v>95.491131580507613</c:v>
                </c:pt>
                <c:pt idx="7">
                  <c:v>91.904220208097243</c:v>
                </c:pt>
                <c:pt idx="8">
                  <c:v>91.327134607030118</c:v>
                </c:pt>
                <c:pt idx="9">
                  <c:v>93.761776745745408</c:v>
                </c:pt>
                <c:pt idx="10">
                  <c:v>96.579860457351941</c:v>
                </c:pt>
                <c:pt idx="11">
                  <c:v>96.834220145939213</c:v>
                </c:pt>
                <c:pt idx="12">
                  <c:v>93.247157235491613</c:v>
                </c:pt>
                <c:pt idx="13">
                  <c:v>92.844836825819897</c:v>
                </c:pt>
                <c:pt idx="14">
                  <c:v>88.153076515910769</c:v>
                </c:pt>
                <c:pt idx="15">
                  <c:v>88.507778624876323</c:v>
                </c:pt>
                <c:pt idx="16">
                  <c:v>91.239833587462897</c:v>
                </c:pt>
                <c:pt idx="17">
                  <c:v>90.099222803511594</c:v>
                </c:pt>
                <c:pt idx="18">
                  <c:v>85.108369461140811</c:v>
                </c:pt>
                <c:pt idx="19">
                  <c:v>86.551378762870542</c:v>
                </c:pt>
                <c:pt idx="20">
                  <c:v>88.883701566604358</c:v>
                </c:pt>
                <c:pt idx="21">
                  <c:v>89.908353713224557</c:v>
                </c:pt>
                <c:pt idx="22">
                  <c:v>89.72250611396737</c:v>
                </c:pt>
                <c:pt idx="23">
                  <c:v>89.497396995480528</c:v>
                </c:pt>
                <c:pt idx="24">
                  <c:v>87.343046259137978</c:v>
                </c:pt>
                <c:pt idx="25">
                  <c:v>87.754638015672427</c:v>
                </c:pt>
                <c:pt idx="26">
                  <c:v>84.753810759540443</c:v>
                </c:pt>
                <c:pt idx="27">
                  <c:v>83.474923715667003</c:v>
                </c:pt>
                <c:pt idx="28">
                  <c:v>87.067793570396304</c:v>
                </c:pt>
                <c:pt idx="29">
                  <c:v>88.787004737785566</c:v>
                </c:pt>
                <c:pt idx="30">
                  <c:v>93.302768088002324</c:v>
                </c:pt>
                <c:pt idx="31">
                  <c:v>94.442443329626514</c:v>
                </c:pt>
                <c:pt idx="32">
                  <c:v>93.980401392670345</c:v>
                </c:pt>
                <c:pt idx="33">
                  <c:v>91.830484054164742</c:v>
                </c:pt>
                <c:pt idx="34">
                  <c:v>92.549145216249428</c:v>
                </c:pt>
                <c:pt idx="35">
                  <c:v>89.494701370781996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A5-49D2-B85A-8B8E08257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722480"/>
        <c:axId val="494719600"/>
      </c:scatterChart>
      <c:valAx>
        <c:axId val="49472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19600"/>
        <c:crosses val="autoZero"/>
        <c:crossBetween val="midCat"/>
      </c:valAx>
      <c:valAx>
        <c:axId val="49471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2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Original Data and</a:t>
            </a:r>
            <a:r>
              <a:rPr lang="en-IN" baseline="0"/>
              <a:t> </a:t>
            </a:r>
            <a:r>
              <a:rPr lang="en-IN"/>
              <a:t>Chosen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S08000030_Tayside20x!$H$2</c:f>
              <c:strCache>
                <c:ptCount val="1"/>
                <c:pt idx="0">
                  <c:v>Percentage of Referrals Treated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S08000030_Tayside20x!$A$3:$A$38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S08000030_Tayside20x!$H$3:$H$38</c:f>
              <c:numCache>
                <c:formatCode>0.00</c:formatCode>
                <c:ptCount val="36"/>
                <c:pt idx="0">
                  <c:v>95.927601809954751</c:v>
                </c:pt>
                <c:pt idx="1">
                  <c:v>96.832579185520359</c:v>
                </c:pt>
                <c:pt idx="2">
                  <c:v>95.238095238095227</c:v>
                </c:pt>
                <c:pt idx="3">
                  <c:v>95.544554455445535</c:v>
                </c:pt>
                <c:pt idx="4">
                  <c:v>93.212669683257914</c:v>
                </c:pt>
                <c:pt idx="5">
                  <c:v>94.468085106382986</c:v>
                </c:pt>
                <c:pt idx="6">
                  <c:v>96</c:v>
                </c:pt>
                <c:pt idx="7">
                  <c:v>90.366972477064223</c:v>
                </c:pt>
                <c:pt idx="8">
                  <c:v>91.079812206572768</c:v>
                </c:pt>
                <c:pt idx="9">
                  <c:v>94.805194805194802</c:v>
                </c:pt>
                <c:pt idx="10">
                  <c:v>97.787610619469021</c:v>
                </c:pt>
                <c:pt idx="11">
                  <c:v>96.943231441048042</c:v>
                </c:pt>
                <c:pt idx="12">
                  <c:v>91.709844559585491</c:v>
                </c:pt>
                <c:pt idx="13">
                  <c:v>92.672413793103445</c:v>
                </c:pt>
                <c:pt idx="14">
                  <c:v>86.142322097378283</c:v>
                </c:pt>
                <c:pt idx="15">
                  <c:v>88.659793814432987</c:v>
                </c:pt>
                <c:pt idx="16">
                  <c:v>92.410714285714292</c:v>
                </c:pt>
                <c:pt idx="17">
                  <c:v>89.610389610389603</c:v>
                </c:pt>
                <c:pt idx="18">
                  <c:v>82.969432314410483</c:v>
                </c:pt>
                <c:pt idx="19">
                  <c:v>87.169811320754718</c:v>
                </c:pt>
                <c:pt idx="20">
                  <c:v>89.88326848249028</c:v>
                </c:pt>
                <c:pt idx="21">
                  <c:v>90.34749034749035</c:v>
                </c:pt>
                <c:pt idx="22">
                  <c:v>89.642857142857153</c:v>
                </c:pt>
                <c:pt idx="23">
                  <c:v>89.400921658986178</c:v>
                </c:pt>
                <c:pt idx="24">
                  <c:v>86.419753086419746</c:v>
                </c:pt>
                <c:pt idx="25">
                  <c:v>87.931034482758619</c:v>
                </c:pt>
                <c:pt idx="26">
                  <c:v>83.467741935483872</c:v>
                </c:pt>
                <c:pt idx="27">
                  <c:v>82.926829268292678</c:v>
                </c:pt>
                <c:pt idx="28">
                  <c:v>88.60759493670885</c:v>
                </c:pt>
                <c:pt idx="29">
                  <c:v>89.523809523809533</c:v>
                </c:pt>
                <c:pt idx="30">
                  <c:v>95.238095238095227</c:v>
                </c:pt>
                <c:pt idx="31">
                  <c:v>94.930875576036868</c:v>
                </c:pt>
                <c:pt idx="32">
                  <c:v>93.782383419689126</c:v>
                </c:pt>
                <c:pt idx="33">
                  <c:v>90.909090909090907</c:v>
                </c:pt>
                <c:pt idx="34">
                  <c:v>92.857142857142861</c:v>
                </c:pt>
                <c:pt idx="35">
                  <c:v>88.185654008438817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9-4442-9582-EC7CD7A41C1E}"/>
            </c:ext>
          </c:extLst>
        </c:ser>
        <c:ser>
          <c:idx val="1"/>
          <c:order val="1"/>
          <c:tx>
            <c:v>Chosen Forecast Exponential Smoothing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S08000030_Tayside20x!$I$137:$I$172</c:f>
              <c:numCache>
                <c:formatCode>0.00</c:formatCode>
                <c:ptCount val="36"/>
                <c:pt idx="0">
                  <c:v>95.927601809954751</c:v>
                </c:pt>
                <c:pt idx="1">
                  <c:v>96.561085972850663</c:v>
                </c:pt>
                <c:pt idx="2">
                  <c:v>95.634992458521864</c:v>
                </c:pt>
                <c:pt idx="3">
                  <c:v>95.571685856368447</c:v>
                </c:pt>
                <c:pt idx="4">
                  <c:v>93.920374535191073</c:v>
                </c:pt>
                <c:pt idx="5">
                  <c:v>94.303771935025409</c:v>
                </c:pt>
                <c:pt idx="6">
                  <c:v>95.491131580507613</c:v>
                </c:pt>
                <c:pt idx="7">
                  <c:v>91.904220208097243</c:v>
                </c:pt>
                <c:pt idx="8">
                  <c:v>91.327134607030118</c:v>
                </c:pt>
                <c:pt idx="9">
                  <c:v>93.761776745745408</c:v>
                </c:pt>
                <c:pt idx="10">
                  <c:v>96.579860457351941</c:v>
                </c:pt>
                <c:pt idx="11">
                  <c:v>96.834220145939213</c:v>
                </c:pt>
                <c:pt idx="12">
                  <c:v>93.247157235491613</c:v>
                </c:pt>
                <c:pt idx="13">
                  <c:v>92.844836825819897</c:v>
                </c:pt>
                <c:pt idx="14">
                  <c:v>88.153076515910769</c:v>
                </c:pt>
                <c:pt idx="15">
                  <c:v>88.507778624876323</c:v>
                </c:pt>
                <c:pt idx="16">
                  <c:v>91.239833587462897</c:v>
                </c:pt>
                <c:pt idx="17">
                  <c:v>90.099222803511594</c:v>
                </c:pt>
                <c:pt idx="18">
                  <c:v>85.108369461140811</c:v>
                </c:pt>
                <c:pt idx="19">
                  <c:v>86.551378762870542</c:v>
                </c:pt>
                <c:pt idx="20">
                  <c:v>88.883701566604358</c:v>
                </c:pt>
                <c:pt idx="21">
                  <c:v>89.908353713224557</c:v>
                </c:pt>
                <c:pt idx="22">
                  <c:v>89.72250611396737</c:v>
                </c:pt>
                <c:pt idx="23">
                  <c:v>89.497396995480528</c:v>
                </c:pt>
                <c:pt idx="24">
                  <c:v>87.343046259137978</c:v>
                </c:pt>
                <c:pt idx="25">
                  <c:v>87.754638015672427</c:v>
                </c:pt>
                <c:pt idx="26">
                  <c:v>84.753810759540443</c:v>
                </c:pt>
                <c:pt idx="27">
                  <c:v>83.474923715667003</c:v>
                </c:pt>
                <c:pt idx="28">
                  <c:v>87.067793570396304</c:v>
                </c:pt>
                <c:pt idx="29">
                  <c:v>88.787004737785566</c:v>
                </c:pt>
                <c:pt idx="30">
                  <c:v>93.302768088002324</c:v>
                </c:pt>
                <c:pt idx="31">
                  <c:v>94.442443329626514</c:v>
                </c:pt>
                <c:pt idx="32">
                  <c:v>93.980401392670345</c:v>
                </c:pt>
                <c:pt idx="33">
                  <c:v>91.830484054164742</c:v>
                </c:pt>
                <c:pt idx="34">
                  <c:v>92.549145216249428</c:v>
                </c:pt>
                <c:pt idx="35">
                  <c:v>89.494701370781996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D9-4442-9582-EC7CD7A41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94672"/>
        <c:axId val="63195152"/>
      </c:scatterChart>
      <c:valAx>
        <c:axId val="6319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Quarted from Q1 2012 to Q4 2021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5152"/>
        <c:crosses val="autoZero"/>
        <c:crossBetween val="midCat"/>
      </c:valAx>
      <c:valAx>
        <c:axId val="6319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Referral</a:t>
                </a:r>
                <a:r>
                  <a:rPr lang="en-IN" baseline="0"/>
                  <a:t>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23</xdr:col>
      <xdr:colOff>150919</xdr:colOff>
      <xdr:row>40</xdr:row>
      <xdr:rowOff>20791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819B9-B17C-4929-B313-EE4F2C58F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511174</xdr:colOff>
      <xdr:row>1</xdr:row>
      <xdr:rowOff>177800</xdr:rowOff>
    </xdr:from>
    <xdr:to>
      <xdr:col>18</xdr:col>
      <xdr:colOff>253999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9527C-EFD3-43DF-899B-B9B0B4C3A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282575</xdr:colOff>
      <xdr:row>21</xdr:row>
      <xdr:rowOff>165100</xdr:rowOff>
    </xdr:from>
    <xdr:to>
      <xdr:col>17</xdr:col>
      <xdr:colOff>587375</xdr:colOff>
      <xdr:row>40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DAD585-8D52-4ED6-9B54-0FA07F777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384174</xdr:colOff>
      <xdr:row>3</xdr:row>
      <xdr:rowOff>31750</xdr:rowOff>
    </xdr:from>
    <xdr:to>
      <xdr:col>17</xdr:col>
      <xdr:colOff>488950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3CD52-3303-43E7-867F-772C5A750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250825</xdr:colOff>
      <xdr:row>23</xdr:row>
      <xdr:rowOff>88900</xdr:rowOff>
    </xdr:from>
    <xdr:to>
      <xdr:col>16</xdr:col>
      <xdr:colOff>555625</xdr:colOff>
      <xdr:row>39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2A85F3-F831-4901-BDE2-634FEAAF0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352424</xdr:colOff>
      <xdr:row>2</xdr:row>
      <xdr:rowOff>44450</xdr:rowOff>
    </xdr:from>
    <xdr:to>
      <xdr:col>17</xdr:col>
      <xdr:colOff>171449</xdr:colOff>
      <xdr:row>22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B21A6-B70E-48D7-A9EF-3552533F6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327025</xdr:colOff>
      <xdr:row>23</xdr:row>
      <xdr:rowOff>12700</xdr:rowOff>
    </xdr:from>
    <xdr:to>
      <xdr:col>17</xdr:col>
      <xdr:colOff>22225</xdr:colOff>
      <xdr:row>38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0D7D49-2FA9-45BD-8194-7C0A25309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ha%20U\Desktop\DMU\Sem%202\BI%20Application\Assignments\Group%20Assignment'\Final%20Excel\cwt_62_day_standard_Cleaned.xlsx" TargetMode="External"/><Relationship Id="rId1" Type="http://schemas.openxmlformats.org/officeDocument/2006/relationships/externalLinkPath" Target="cwt_62_day_standard_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DATA-&gt;"/>
      <sheetName val="cwt_62_day_standard"/>
      <sheetName val="hb14_hb19"/>
      <sheetName val="special-health-boards_19022021"/>
      <sheetName val="CLEANED DATA-&gt;"/>
      <sheetName val="Rows Deleted"/>
      <sheetName val="Filtered Data"/>
      <sheetName val="Sorted Data"/>
      <sheetName val="Removed Data"/>
      <sheetName val="Split"/>
      <sheetName val="HBT Name"/>
      <sheetName val="Period"/>
      <sheetName val="Final"/>
    </sheetNames>
    <sheetDataSet>
      <sheetData sheetId="0"/>
      <sheetData sheetId="1"/>
      <sheetData sheetId="2">
        <row r="1">
          <cell r="A1" t="str">
            <v>HB</v>
          </cell>
          <cell r="B1" t="str">
            <v>HBName</v>
          </cell>
          <cell r="C1" t="str">
            <v>HBDateEnacted</v>
          </cell>
          <cell r="D1" t="str">
            <v>HBDateArchived</v>
          </cell>
          <cell r="E1" t="str">
            <v>Country</v>
          </cell>
        </row>
        <row r="2">
          <cell r="A2" t="str">
            <v>S08000015</v>
          </cell>
          <cell r="B2" t="str">
            <v>NHS Ayrshire and Arran</v>
          </cell>
          <cell r="C2">
            <v>20140401</v>
          </cell>
          <cell r="E2" t="str">
            <v>S92000003</v>
          </cell>
        </row>
        <row r="3">
          <cell r="A3" t="str">
            <v>S08000016</v>
          </cell>
          <cell r="B3" t="str">
            <v>NHS Borders</v>
          </cell>
          <cell r="C3">
            <v>20140401</v>
          </cell>
          <cell r="E3" t="str">
            <v>S92000003</v>
          </cell>
        </row>
        <row r="4">
          <cell r="A4" t="str">
            <v>S08000017</v>
          </cell>
          <cell r="B4" t="str">
            <v>NHS Dumfries and Galloway</v>
          </cell>
          <cell r="C4">
            <v>20140401</v>
          </cell>
          <cell r="E4" t="str">
            <v>S92000003</v>
          </cell>
        </row>
        <row r="5">
          <cell r="A5" t="str">
            <v>S08000018</v>
          </cell>
          <cell r="B5" t="str">
            <v>NHS Fife</v>
          </cell>
          <cell r="C5">
            <v>20140401</v>
          </cell>
          <cell r="D5">
            <v>20180201</v>
          </cell>
          <cell r="E5" t="str">
            <v>S92000003</v>
          </cell>
        </row>
        <row r="6">
          <cell r="A6" t="str">
            <v>S08000019</v>
          </cell>
          <cell r="B6" t="str">
            <v>NHS Forth Valley</v>
          </cell>
          <cell r="C6">
            <v>20140401</v>
          </cell>
          <cell r="E6" t="str">
            <v>S92000003</v>
          </cell>
        </row>
        <row r="7">
          <cell r="A7" t="str">
            <v>S08000020</v>
          </cell>
          <cell r="B7" t="str">
            <v>NHS Grampian</v>
          </cell>
          <cell r="C7">
            <v>20140401</v>
          </cell>
          <cell r="E7" t="str">
            <v>S92000003</v>
          </cell>
        </row>
        <row r="8">
          <cell r="A8" t="str">
            <v>S08000021</v>
          </cell>
          <cell r="B8" t="str">
            <v>NHS Greater Glasgow and Clyde</v>
          </cell>
          <cell r="C8">
            <v>20140401</v>
          </cell>
          <cell r="D8">
            <v>20190331</v>
          </cell>
          <cell r="E8" t="str">
            <v>S92000003</v>
          </cell>
        </row>
        <row r="9">
          <cell r="A9" t="str">
            <v>S08000022</v>
          </cell>
          <cell r="B9" t="str">
            <v>NHS Highland</v>
          </cell>
          <cell r="C9">
            <v>20140401</v>
          </cell>
          <cell r="E9" t="str">
            <v>S92000003</v>
          </cell>
        </row>
        <row r="10">
          <cell r="A10" t="str">
            <v>S08000023</v>
          </cell>
          <cell r="B10" t="str">
            <v>NHS Lanarkshire</v>
          </cell>
          <cell r="C10">
            <v>20140401</v>
          </cell>
          <cell r="D10">
            <v>20190331</v>
          </cell>
          <cell r="E10" t="str">
            <v>S92000003</v>
          </cell>
        </row>
        <row r="11">
          <cell r="A11" t="str">
            <v>S08000024</v>
          </cell>
          <cell r="B11" t="str">
            <v>NHS Lothian</v>
          </cell>
          <cell r="C11">
            <v>20140401</v>
          </cell>
          <cell r="E11" t="str">
            <v>S92000003</v>
          </cell>
        </row>
        <row r="12">
          <cell r="A12" t="str">
            <v>S08000025</v>
          </cell>
          <cell r="B12" t="str">
            <v>NHS Orkney</v>
          </cell>
          <cell r="C12">
            <v>20140401</v>
          </cell>
          <cell r="E12" t="str">
            <v>S92000003</v>
          </cell>
        </row>
        <row r="13">
          <cell r="A13" t="str">
            <v>S08000026</v>
          </cell>
          <cell r="B13" t="str">
            <v>NHS Shetland</v>
          </cell>
          <cell r="C13">
            <v>20140401</v>
          </cell>
          <cell r="E13" t="str">
            <v>S92000003</v>
          </cell>
        </row>
        <row r="14">
          <cell r="A14" t="str">
            <v>S08000027</v>
          </cell>
          <cell r="B14" t="str">
            <v>NHS Tayside</v>
          </cell>
          <cell r="C14">
            <v>20140401</v>
          </cell>
          <cell r="D14">
            <v>20180201</v>
          </cell>
          <cell r="E14" t="str">
            <v>S92000003</v>
          </cell>
        </row>
        <row r="15">
          <cell r="A15" t="str">
            <v>S08000028</v>
          </cell>
          <cell r="B15" t="str">
            <v>NHS Western Isles</v>
          </cell>
          <cell r="C15">
            <v>20140401</v>
          </cell>
          <cell r="E15" t="str">
            <v>S92000003</v>
          </cell>
        </row>
        <row r="16">
          <cell r="A16" t="str">
            <v>S08000029</v>
          </cell>
          <cell r="B16" t="str">
            <v>NHS Fife</v>
          </cell>
          <cell r="C16">
            <v>20180202</v>
          </cell>
          <cell r="E16" t="str">
            <v>S92000003</v>
          </cell>
        </row>
        <row r="17">
          <cell r="A17" t="str">
            <v>S08000030</v>
          </cell>
          <cell r="B17" t="str">
            <v>NHS Tayside</v>
          </cell>
          <cell r="C17">
            <v>20180202</v>
          </cell>
          <cell r="E17" t="str">
            <v>S92000003</v>
          </cell>
        </row>
        <row r="18">
          <cell r="A18" t="str">
            <v>S08000031</v>
          </cell>
          <cell r="B18" t="str">
            <v>NHS Greater Glasgow and Clyde</v>
          </cell>
          <cell r="C18">
            <v>20190401</v>
          </cell>
          <cell r="E18" t="str">
            <v>S92000003</v>
          </cell>
        </row>
        <row r="19">
          <cell r="A19" t="str">
            <v>S08000032</v>
          </cell>
          <cell r="B19" t="str">
            <v>NHS Lanarkshire</v>
          </cell>
          <cell r="C19">
            <v>20190401</v>
          </cell>
          <cell r="E19" t="str">
            <v>S92000003</v>
          </cell>
        </row>
      </sheetData>
      <sheetData sheetId="3">
        <row r="1">
          <cell r="A1" t="str">
            <v>SHB</v>
          </cell>
          <cell r="B1" t="str">
            <v>SHBName</v>
          </cell>
          <cell r="C1" t="str">
            <v>Country</v>
          </cell>
        </row>
        <row r="2">
          <cell r="A2" t="str">
            <v>SB0801</v>
          </cell>
          <cell r="B2" t="str">
            <v>The Golden Jubilee National Hospital</v>
          </cell>
          <cell r="C2" t="str">
            <v>S92000003</v>
          </cell>
        </row>
        <row r="3">
          <cell r="A3" t="str">
            <v>SB0802</v>
          </cell>
          <cell r="B3" t="str">
            <v>State Hospitals Board for Scotland</v>
          </cell>
          <cell r="C3" t="str">
            <v>S92000003</v>
          </cell>
        </row>
        <row r="4">
          <cell r="A4" t="str">
            <v>SB0803</v>
          </cell>
          <cell r="B4" t="str">
            <v>NHS24</v>
          </cell>
          <cell r="C4" t="str">
            <v>S92000003</v>
          </cell>
        </row>
        <row r="5">
          <cell r="A5" t="str">
            <v>SB0804</v>
          </cell>
          <cell r="B5" t="str">
            <v>NHS Health Scotland</v>
          </cell>
          <cell r="C5" t="str">
            <v>S92000003</v>
          </cell>
        </row>
        <row r="6">
          <cell r="A6" t="str">
            <v>SB0805</v>
          </cell>
          <cell r="B6" t="str">
            <v>Healthcare Improvement Scotland</v>
          </cell>
          <cell r="C6" t="str">
            <v>S92000003</v>
          </cell>
        </row>
        <row r="7">
          <cell r="A7" t="str">
            <v>SB0806</v>
          </cell>
          <cell r="B7" t="str">
            <v>Scottish Ambulance Service</v>
          </cell>
          <cell r="C7" t="str">
            <v>S92000003</v>
          </cell>
        </row>
        <row r="8">
          <cell r="A8" t="str">
            <v>SB0807</v>
          </cell>
          <cell r="B8" t="str">
            <v>NHS Education for Scotland</v>
          </cell>
          <cell r="C8" t="str">
            <v>S92000003</v>
          </cell>
        </row>
        <row r="9">
          <cell r="A9" t="str">
            <v>SB0808</v>
          </cell>
          <cell r="B9" t="str">
            <v>NHS National Services Scotland</v>
          </cell>
          <cell r="C9" t="str">
            <v>S92000003</v>
          </cell>
        </row>
        <row r="10">
          <cell r="A10" t="str">
            <v>SN0811</v>
          </cell>
          <cell r="B10" t="str">
            <v xml:space="preserve">National Facility NHS Louisa Jordan </v>
          </cell>
          <cell r="C10" t="str">
            <v>S92000003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1</v>
          </cell>
          <cell r="M2">
            <v>97.041420118343197</v>
          </cell>
        </row>
        <row r="3">
          <cell r="A3">
            <v>2</v>
          </cell>
          <cell r="M3">
            <v>97.044334975369466</v>
          </cell>
        </row>
        <row r="4">
          <cell r="A4">
            <v>3</v>
          </cell>
          <cell r="M4">
            <v>97.014925373134332</v>
          </cell>
        </row>
        <row r="5">
          <cell r="A5">
            <v>4</v>
          </cell>
          <cell r="M5">
            <v>96.36363636363636</v>
          </cell>
        </row>
        <row r="6">
          <cell r="A6">
            <v>5</v>
          </cell>
          <cell r="M6">
            <v>98.275862068965509</v>
          </cell>
        </row>
        <row r="7">
          <cell r="A7">
            <v>6</v>
          </cell>
          <cell r="M7">
            <v>96.934865900383144</v>
          </cell>
        </row>
        <row r="8">
          <cell r="A8">
            <v>7</v>
          </cell>
          <cell r="M8">
            <v>97.083333333333329</v>
          </cell>
        </row>
        <row r="9">
          <cell r="A9">
            <v>8</v>
          </cell>
          <cell r="M9">
            <v>98</v>
          </cell>
        </row>
        <row r="10">
          <cell r="A10">
            <v>9</v>
          </cell>
          <cell r="M10">
            <v>98.578199052132703</v>
          </cell>
        </row>
        <row r="11">
          <cell r="A11">
            <v>10</v>
          </cell>
          <cell r="M11">
            <v>95.594713656387668</v>
          </cell>
        </row>
        <row r="12">
          <cell r="A12">
            <v>11</v>
          </cell>
          <cell r="M12">
            <v>97.468354430379748</v>
          </cell>
        </row>
        <row r="13">
          <cell r="A13">
            <v>12</v>
          </cell>
          <cell r="M13">
            <v>95.689655172413794</v>
          </cell>
        </row>
        <row r="14">
          <cell r="A14">
            <v>13</v>
          </cell>
          <cell r="M14">
            <v>94.560669456066947</v>
          </cell>
        </row>
        <row r="15">
          <cell r="A15">
            <v>14</v>
          </cell>
          <cell r="M15">
            <v>97.244094488188978</v>
          </cell>
        </row>
        <row r="16">
          <cell r="A16">
            <v>15</v>
          </cell>
          <cell r="M16">
            <v>96.551724137931032</v>
          </cell>
        </row>
        <row r="17">
          <cell r="A17">
            <v>16</v>
          </cell>
          <cell r="M17">
            <v>95.594713656387668</v>
          </cell>
        </row>
        <row r="18">
          <cell r="A18">
            <v>17</v>
          </cell>
          <cell r="M18">
            <v>93.689320388349515</v>
          </cell>
        </row>
        <row r="19">
          <cell r="A19">
            <v>18</v>
          </cell>
          <cell r="M19">
            <v>93.055555555555557</v>
          </cell>
        </row>
        <row r="20">
          <cell r="A20">
            <v>19</v>
          </cell>
          <cell r="M20">
            <v>95.614035087719301</v>
          </cell>
        </row>
        <row r="21">
          <cell r="A21">
            <v>20</v>
          </cell>
          <cell r="M21">
            <v>95.319148936170222</v>
          </cell>
        </row>
        <row r="22">
          <cell r="A22">
            <v>21</v>
          </cell>
          <cell r="M22">
            <v>95.794392523364493</v>
          </cell>
        </row>
        <row r="23">
          <cell r="A23">
            <v>22</v>
          </cell>
          <cell r="M23">
            <v>94.9579831932773</v>
          </cell>
        </row>
        <row r="24">
          <cell r="A24">
            <v>23</v>
          </cell>
          <cell r="M24">
            <v>92.96875</v>
          </cell>
        </row>
        <row r="25">
          <cell r="A25">
            <v>24</v>
          </cell>
          <cell r="M25">
            <v>96.399999999999991</v>
          </cell>
        </row>
        <row r="26">
          <cell r="A26">
            <v>25</v>
          </cell>
          <cell r="M26">
            <v>92.165898617511516</v>
          </cell>
        </row>
        <row r="27">
          <cell r="A27">
            <v>26</v>
          </cell>
          <cell r="M27">
            <v>91.363636363636374</v>
          </cell>
        </row>
        <row r="28">
          <cell r="A28">
            <v>27</v>
          </cell>
          <cell r="M28">
            <v>88.65546218487394</v>
          </cell>
        </row>
        <row r="29">
          <cell r="A29">
            <v>28</v>
          </cell>
          <cell r="M29">
            <v>86.715867158671585</v>
          </cell>
        </row>
        <row r="30">
          <cell r="A30">
            <v>29</v>
          </cell>
          <cell r="M30">
            <v>84.549356223175963</v>
          </cell>
        </row>
        <row r="31">
          <cell r="A31">
            <v>30</v>
          </cell>
          <cell r="M31">
            <v>83.206106870229007</v>
          </cell>
        </row>
        <row r="32">
          <cell r="A32">
            <v>31</v>
          </cell>
          <cell r="M32">
            <v>88.721804511278194</v>
          </cell>
        </row>
        <row r="33">
          <cell r="A33">
            <v>32</v>
          </cell>
          <cell r="M33">
            <v>89.565217391304358</v>
          </cell>
        </row>
        <row r="34">
          <cell r="A34">
            <v>33</v>
          </cell>
          <cell r="M34">
            <v>93.155893536121667</v>
          </cell>
        </row>
        <row r="35">
          <cell r="A35">
            <v>34</v>
          </cell>
          <cell r="M35">
            <v>94.642857142857139</v>
          </cell>
        </row>
        <row r="36">
          <cell r="A36">
            <v>35</v>
          </cell>
          <cell r="M36">
            <v>94.857142857142861</v>
          </cell>
        </row>
        <row r="37">
          <cell r="A37">
            <v>36</v>
          </cell>
          <cell r="M37">
            <v>85.777777777777771</v>
          </cell>
        </row>
        <row r="38">
          <cell r="A38">
            <v>37</v>
          </cell>
          <cell r="M38">
            <v>79.555555555555557</v>
          </cell>
        </row>
        <row r="39">
          <cell r="A39">
            <v>38</v>
          </cell>
          <cell r="M39">
            <v>88.405797101449281</v>
          </cell>
        </row>
        <row r="40">
          <cell r="A40">
            <v>39</v>
          </cell>
          <cell r="M40">
            <v>85.407725321888421</v>
          </cell>
        </row>
        <row r="41">
          <cell r="A41">
            <v>40</v>
          </cell>
          <cell r="M41">
            <v>77.642276422764226</v>
          </cell>
        </row>
        <row r="42">
          <cell r="A42">
            <v>1</v>
          </cell>
          <cell r="M42">
            <v>100</v>
          </cell>
        </row>
        <row r="43">
          <cell r="A43">
            <v>2</v>
          </cell>
          <cell r="M43">
            <v>100</v>
          </cell>
        </row>
        <row r="44">
          <cell r="A44">
            <v>3</v>
          </cell>
          <cell r="M44">
            <v>100</v>
          </cell>
        </row>
        <row r="45">
          <cell r="A45">
            <v>4</v>
          </cell>
          <cell r="M45">
            <v>100</v>
          </cell>
        </row>
        <row r="46">
          <cell r="A46">
            <v>5</v>
          </cell>
          <cell r="M46">
            <v>98.305084745762713</v>
          </cell>
        </row>
        <row r="47">
          <cell r="A47">
            <v>6</v>
          </cell>
          <cell r="M47">
            <v>93.75</v>
          </cell>
        </row>
        <row r="48">
          <cell r="A48">
            <v>7</v>
          </cell>
          <cell r="M48">
            <v>97.142857142857139</v>
          </cell>
        </row>
        <row r="49">
          <cell r="A49">
            <v>8</v>
          </cell>
          <cell r="M49">
            <v>98.591549295774655</v>
          </cell>
        </row>
        <row r="50">
          <cell r="A50">
            <v>9</v>
          </cell>
          <cell r="M50">
            <v>97.674418604651152</v>
          </cell>
        </row>
        <row r="51">
          <cell r="A51">
            <v>10</v>
          </cell>
          <cell r="M51">
            <v>100</v>
          </cell>
        </row>
        <row r="52">
          <cell r="A52">
            <v>11</v>
          </cell>
          <cell r="M52">
            <v>97.916666666666657</v>
          </cell>
        </row>
        <row r="53">
          <cell r="A53">
            <v>12</v>
          </cell>
          <cell r="M53">
            <v>100</v>
          </cell>
        </row>
        <row r="54">
          <cell r="A54">
            <v>13</v>
          </cell>
          <cell r="M54">
            <v>96.610169491525426</v>
          </cell>
        </row>
        <row r="55">
          <cell r="A55">
            <v>14</v>
          </cell>
          <cell r="M55">
            <v>100</v>
          </cell>
        </row>
        <row r="56">
          <cell r="A56">
            <v>15</v>
          </cell>
          <cell r="M56">
            <v>100</v>
          </cell>
        </row>
        <row r="57">
          <cell r="A57">
            <v>16</v>
          </cell>
          <cell r="M57">
            <v>100</v>
          </cell>
        </row>
        <row r="58">
          <cell r="A58">
            <v>17</v>
          </cell>
          <cell r="M58">
            <v>100</v>
          </cell>
        </row>
        <row r="59">
          <cell r="A59">
            <v>18</v>
          </cell>
          <cell r="M59">
            <v>100</v>
          </cell>
        </row>
        <row r="60">
          <cell r="A60">
            <v>19</v>
          </cell>
          <cell r="M60">
            <v>100</v>
          </cell>
        </row>
        <row r="61">
          <cell r="A61">
            <v>20</v>
          </cell>
          <cell r="M61">
            <v>98.4375</v>
          </cell>
        </row>
        <row r="62">
          <cell r="A62">
            <v>21</v>
          </cell>
          <cell r="M62">
            <v>98.550724637681171</v>
          </cell>
        </row>
        <row r="63">
          <cell r="A63">
            <v>22</v>
          </cell>
          <cell r="M63">
            <v>97.101449275362313</v>
          </cell>
        </row>
        <row r="64">
          <cell r="A64">
            <v>23</v>
          </cell>
          <cell r="M64">
            <v>100</v>
          </cell>
        </row>
        <row r="65">
          <cell r="A65">
            <v>24</v>
          </cell>
          <cell r="M65">
            <v>98.305084745762713</v>
          </cell>
        </row>
        <row r="66">
          <cell r="A66">
            <v>25</v>
          </cell>
          <cell r="M66">
            <v>100</v>
          </cell>
        </row>
        <row r="67">
          <cell r="A67">
            <v>26</v>
          </cell>
          <cell r="M67">
            <v>96.92307692307692</v>
          </cell>
        </row>
        <row r="68">
          <cell r="A68">
            <v>27</v>
          </cell>
          <cell r="M68">
            <v>97.222222222222214</v>
          </cell>
        </row>
        <row r="69">
          <cell r="A69">
            <v>28</v>
          </cell>
          <cell r="M69">
            <v>98.412698412698404</v>
          </cell>
        </row>
        <row r="70">
          <cell r="A70">
            <v>29</v>
          </cell>
          <cell r="M70">
            <v>88</v>
          </cell>
        </row>
        <row r="71">
          <cell r="A71">
            <v>30</v>
          </cell>
          <cell r="M71">
            <v>98.507462686567166</v>
          </cell>
        </row>
        <row r="72">
          <cell r="A72">
            <v>31</v>
          </cell>
          <cell r="M72">
            <v>91.428571428571431</v>
          </cell>
        </row>
        <row r="73">
          <cell r="A73">
            <v>32</v>
          </cell>
          <cell r="M73">
            <v>96.551724137931032</v>
          </cell>
        </row>
        <row r="74">
          <cell r="A74">
            <v>33</v>
          </cell>
          <cell r="M74">
            <v>96.36363636363636</v>
          </cell>
        </row>
        <row r="75">
          <cell r="A75">
            <v>34</v>
          </cell>
          <cell r="M75">
            <v>92.753623188405797</v>
          </cell>
        </row>
        <row r="76">
          <cell r="A76">
            <v>35</v>
          </cell>
          <cell r="M76">
            <v>100</v>
          </cell>
        </row>
        <row r="77">
          <cell r="A77">
            <v>36</v>
          </cell>
          <cell r="M77">
            <v>96</v>
          </cell>
        </row>
        <row r="78">
          <cell r="A78">
            <v>37</v>
          </cell>
          <cell r="M78">
            <v>98.333333333333329</v>
          </cell>
        </row>
        <row r="79">
          <cell r="A79">
            <v>38</v>
          </cell>
          <cell r="M79">
            <v>94.73684210526315</v>
          </cell>
        </row>
        <row r="80">
          <cell r="A80">
            <v>39</v>
          </cell>
          <cell r="M80">
            <v>96.296296296296291</v>
          </cell>
        </row>
        <row r="81">
          <cell r="A81">
            <v>40</v>
          </cell>
          <cell r="M81">
            <v>95.774647887323937</v>
          </cell>
        </row>
        <row r="82">
          <cell r="A82">
            <v>1</v>
          </cell>
          <cell r="M82">
            <v>100</v>
          </cell>
        </row>
        <row r="83">
          <cell r="A83">
            <v>2</v>
          </cell>
          <cell r="M83">
            <v>98.611111111111114</v>
          </cell>
        </row>
        <row r="84">
          <cell r="A84">
            <v>3</v>
          </cell>
          <cell r="M84">
            <v>97.142857142857139</v>
          </cell>
        </row>
        <row r="85">
          <cell r="A85">
            <v>4</v>
          </cell>
          <cell r="M85">
            <v>98.591549295774655</v>
          </cell>
        </row>
        <row r="86">
          <cell r="A86">
            <v>5</v>
          </cell>
          <cell r="M86">
            <v>100</v>
          </cell>
        </row>
        <row r="87">
          <cell r="A87">
            <v>6</v>
          </cell>
          <cell r="M87">
            <v>100</v>
          </cell>
        </row>
        <row r="88">
          <cell r="A88">
            <v>7</v>
          </cell>
          <cell r="M88">
            <v>100</v>
          </cell>
        </row>
        <row r="89">
          <cell r="A89">
            <v>8</v>
          </cell>
          <cell r="M89">
            <v>100</v>
          </cell>
        </row>
        <row r="90">
          <cell r="A90">
            <v>9</v>
          </cell>
          <cell r="M90">
            <v>100</v>
          </cell>
        </row>
        <row r="91">
          <cell r="A91">
            <v>10</v>
          </cell>
          <cell r="M91">
            <v>98.98989898989899</v>
          </cell>
        </row>
        <row r="92">
          <cell r="A92">
            <v>11</v>
          </cell>
          <cell r="M92">
            <v>98.958333333333343</v>
          </cell>
        </row>
        <row r="93">
          <cell r="A93">
            <v>12</v>
          </cell>
          <cell r="M93">
            <v>100</v>
          </cell>
        </row>
        <row r="94">
          <cell r="A94">
            <v>13</v>
          </cell>
          <cell r="M94">
            <v>100</v>
          </cell>
        </row>
        <row r="95">
          <cell r="A95">
            <v>14</v>
          </cell>
          <cell r="M95">
            <v>100</v>
          </cell>
        </row>
        <row r="96">
          <cell r="A96">
            <v>15</v>
          </cell>
          <cell r="M96">
            <v>97.53086419753086</v>
          </cell>
        </row>
        <row r="97">
          <cell r="A97">
            <v>16</v>
          </cell>
          <cell r="M97">
            <v>100</v>
          </cell>
        </row>
        <row r="98">
          <cell r="A98">
            <v>17</v>
          </cell>
          <cell r="M98">
            <v>98.837209302325576</v>
          </cell>
        </row>
        <row r="99">
          <cell r="A99">
            <v>18</v>
          </cell>
          <cell r="M99">
            <v>95.121951219512198</v>
          </cell>
        </row>
        <row r="100">
          <cell r="A100">
            <v>19</v>
          </cell>
          <cell r="M100">
            <v>97.183098591549296</v>
          </cell>
        </row>
        <row r="101">
          <cell r="A101">
            <v>20</v>
          </cell>
          <cell r="M101">
            <v>98.571428571428584</v>
          </cell>
        </row>
        <row r="102">
          <cell r="A102">
            <v>21</v>
          </cell>
          <cell r="M102">
            <v>98.76543209876543</v>
          </cell>
        </row>
        <row r="103">
          <cell r="A103">
            <v>22</v>
          </cell>
          <cell r="M103">
            <v>98.76543209876543</v>
          </cell>
        </row>
        <row r="104">
          <cell r="A104">
            <v>23</v>
          </cell>
          <cell r="M104">
            <v>97.402597402597408</v>
          </cell>
        </row>
        <row r="105">
          <cell r="A105">
            <v>24</v>
          </cell>
          <cell r="M105">
            <v>98.571428571428584</v>
          </cell>
        </row>
        <row r="106">
          <cell r="A106">
            <v>25</v>
          </cell>
          <cell r="M106">
            <v>97.916666666666657</v>
          </cell>
        </row>
        <row r="107">
          <cell r="A107">
            <v>26</v>
          </cell>
          <cell r="M107">
            <v>97.169811320754718</v>
          </cell>
        </row>
        <row r="108">
          <cell r="A108">
            <v>27</v>
          </cell>
          <cell r="M108">
            <v>93.827160493827151</v>
          </cell>
        </row>
        <row r="109">
          <cell r="A109">
            <v>28</v>
          </cell>
          <cell r="M109">
            <v>96.666666666666671</v>
          </cell>
        </row>
        <row r="110">
          <cell r="A110">
            <v>29</v>
          </cell>
          <cell r="M110">
            <v>95.652173913043484</v>
          </cell>
        </row>
        <row r="111">
          <cell r="A111">
            <v>30</v>
          </cell>
          <cell r="M111">
            <v>93.75</v>
          </cell>
        </row>
        <row r="112">
          <cell r="A112">
            <v>31</v>
          </cell>
          <cell r="M112">
            <v>97.674418604651152</v>
          </cell>
        </row>
        <row r="113">
          <cell r="A113">
            <v>32</v>
          </cell>
          <cell r="M113">
            <v>89.473684210526315</v>
          </cell>
        </row>
        <row r="114">
          <cell r="A114">
            <v>33</v>
          </cell>
          <cell r="M114">
            <v>93.45794392523365</v>
          </cell>
        </row>
        <row r="115">
          <cell r="A115">
            <v>34</v>
          </cell>
          <cell r="M115">
            <v>92.307692307692307</v>
          </cell>
        </row>
        <row r="116">
          <cell r="A116">
            <v>35</v>
          </cell>
          <cell r="M116">
            <v>98.019801980198025</v>
          </cell>
        </row>
        <row r="117">
          <cell r="A117">
            <v>36</v>
          </cell>
          <cell r="M117">
            <v>95.833333333333343</v>
          </cell>
        </row>
        <row r="118">
          <cell r="A118">
            <v>37</v>
          </cell>
          <cell r="M118">
            <v>87.850467289719631</v>
          </cell>
        </row>
        <row r="119">
          <cell r="A119">
            <v>38</v>
          </cell>
          <cell r="M119">
            <v>94.505494505494497</v>
          </cell>
        </row>
        <row r="120">
          <cell r="A120">
            <v>39</v>
          </cell>
          <cell r="M120">
            <v>86.138613861386133</v>
          </cell>
        </row>
        <row r="121">
          <cell r="A121">
            <v>40</v>
          </cell>
          <cell r="M121">
            <v>83.505154639175259</v>
          </cell>
        </row>
        <row r="122">
          <cell r="A122">
            <v>1</v>
          </cell>
          <cell r="M122">
            <v>91.240875912408754</v>
          </cell>
        </row>
        <row r="123">
          <cell r="A123">
            <v>2</v>
          </cell>
          <cell r="M123">
            <v>94.186046511627907</v>
          </cell>
        </row>
        <row r="124">
          <cell r="A124">
            <v>3</v>
          </cell>
          <cell r="M124">
            <v>95.512820512820511</v>
          </cell>
        </row>
        <row r="125">
          <cell r="A125">
            <v>4</v>
          </cell>
          <cell r="M125">
            <v>98</v>
          </cell>
        </row>
        <row r="126">
          <cell r="A126">
            <v>5</v>
          </cell>
          <cell r="M126">
            <v>95.588235294117652</v>
          </cell>
        </row>
        <row r="127">
          <cell r="A127">
            <v>6</v>
          </cell>
          <cell r="M127">
            <v>95.862068965517238</v>
          </cell>
        </row>
        <row r="128">
          <cell r="A128">
            <v>7</v>
          </cell>
          <cell r="M128">
            <v>96.732026143790847</v>
          </cell>
        </row>
        <row r="129">
          <cell r="A129">
            <v>8</v>
          </cell>
          <cell r="M129">
            <v>95.783132530120483</v>
          </cell>
        </row>
        <row r="130">
          <cell r="A130">
            <v>9</v>
          </cell>
          <cell r="M130">
            <v>90.209790209790214</v>
          </cell>
        </row>
        <row r="131">
          <cell r="A131">
            <v>10</v>
          </cell>
          <cell r="M131">
            <v>98.089171974522287</v>
          </cell>
        </row>
        <row r="132">
          <cell r="A132">
            <v>11</v>
          </cell>
          <cell r="M132">
            <v>97.887323943661968</v>
          </cell>
        </row>
        <row r="133">
          <cell r="A133">
            <v>12</v>
          </cell>
          <cell r="M133">
            <v>95.882352941176478</v>
          </cell>
        </row>
        <row r="134">
          <cell r="A134">
            <v>13</v>
          </cell>
          <cell r="M134">
            <v>93.589743589743591</v>
          </cell>
        </row>
        <row r="135">
          <cell r="A135">
            <v>14</v>
          </cell>
          <cell r="M135">
            <v>95.50561797752809</v>
          </cell>
        </row>
        <row r="136">
          <cell r="A136">
            <v>15</v>
          </cell>
          <cell r="M136">
            <v>97.857142857142847</v>
          </cell>
        </row>
        <row r="137">
          <cell r="A137">
            <v>16</v>
          </cell>
          <cell r="M137">
            <v>96.15384615384616</v>
          </cell>
        </row>
        <row r="138">
          <cell r="A138">
            <v>17</v>
          </cell>
          <cell r="M138">
            <v>94.267515923566876</v>
          </cell>
        </row>
        <row r="139">
          <cell r="A139">
            <v>18</v>
          </cell>
          <cell r="M139">
            <v>92.715231788079464</v>
          </cell>
        </row>
        <row r="140">
          <cell r="A140">
            <v>19</v>
          </cell>
          <cell r="M140">
            <v>90.384615384615387</v>
          </cell>
        </row>
        <row r="141">
          <cell r="A141">
            <v>20</v>
          </cell>
          <cell r="M141">
            <v>93.630573248407643</v>
          </cell>
        </row>
        <row r="142">
          <cell r="A142">
            <v>21</v>
          </cell>
          <cell r="M142">
            <v>93.023255813953483</v>
          </cell>
        </row>
        <row r="143">
          <cell r="A143">
            <v>22</v>
          </cell>
          <cell r="M143">
            <v>87.2340425531915</v>
          </cell>
        </row>
        <row r="144">
          <cell r="A144">
            <v>23</v>
          </cell>
          <cell r="M144">
            <v>88.359788359788354</v>
          </cell>
        </row>
        <row r="145">
          <cell r="A145">
            <v>24</v>
          </cell>
          <cell r="M145">
            <v>88.082901554404145</v>
          </cell>
        </row>
        <row r="146">
          <cell r="A146">
            <v>25</v>
          </cell>
          <cell r="M146">
            <v>86.138613861386133</v>
          </cell>
        </row>
        <row r="147">
          <cell r="A147">
            <v>26</v>
          </cell>
          <cell r="M147">
            <v>84.976525821596255</v>
          </cell>
        </row>
        <row r="148">
          <cell r="A148">
            <v>27</v>
          </cell>
          <cell r="M148">
            <v>82.845188284518827</v>
          </cell>
        </row>
        <row r="149">
          <cell r="A149">
            <v>28</v>
          </cell>
          <cell r="M149">
            <v>85.784313725490193</v>
          </cell>
        </row>
        <row r="150">
          <cell r="A150">
            <v>29</v>
          </cell>
          <cell r="M150">
            <v>88.082901554404145</v>
          </cell>
        </row>
        <row r="151">
          <cell r="A151">
            <v>30</v>
          </cell>
          <cell r="M151">
            <v>86</v>
          </cell>
        </row>
        <row r="152">
          <cell r="A152">
            <v>31</v>
          </cell>
          <cell r="M152">
            <v>85.643564356435647</v>
          </cell>
        </row>
        <row r="153">
          <cell r="A153">
            <v>32</v>
          </cell>
          <cell r="M153">
            <v>91.542288557213936</v>
          </cell>
        </row>
        <row r="154">
          <cell r="A154">
            <v>33</v>
          </cell>
          <cell r="M154">
            <v>80</v>
          </cell>
        </row>
        <row r="155">
          <cell r="A155">
            <v>34</v>
          </cell>
          <cell r="M155">
            <v>88.043478260869563</v>
          </cell>
        </row>
        <row r="156">
          <cell r="A156">
            <v>35</v>
          </cell>
          <cell r="M156">
            <v>90.502793296089393</v>
          </cell>
        </row>
        <row r="157">
          <cell r="A157">
            <v>36</v>
          </cell>
          <cell r="M157">
            <v>93.478260869565219</v>
          </cell>
        </row>
        <row r="158">
          <cell r="A158">
            <v>37</v>
          </cell>
          <cell r="M158">
            <v>88.888888888888886</v>
          </cell>
        </row>
        <row r="159">
          <cell r="A159">
            <v>38</v>
          </cell>
          <cell r="M159">
            <v>92.344497607655512</v>
          </cell>
        </row>
        <row r="160">
          <cell r="A160">
            <v>39</v>
          </cell>
          <cell r="M160">
            <v>86.224489795918373</v>
          </cell>
        </row>
        <row r="161">
          <cell r="A161">
            <v>40</v>
          </cell>
          <cell r="M161">
            <v>84.08163265306122</v>
          </cell>
        </row>
        <row r="162">
          <cell r="A162">
            <v>1</v>
          </cell>
          <cell r="M162">
            <v>90.102389078498291</v>
          </cell>
        </row>
        <row r="163">
          <cell r="A163">
            <v>2</v>
          </cell>
          <cell r="M163">
            <v>95.136778115501514</v>
          </cell>
        </row>
        <row r="164">
          <cell r="A164">
            <v>3</v>
          </cell>
          <cell r="M164">
            <v>88.679245283018872</v>
          </cell>
        </row>
        <row r="165">
          <cell r="A165">
            <v>4</v>
          </cell>
          <cell r="M165">
            <v>95.59748427672956</v>
          </cell>
        </row>
        <row r="166">
          <cell r="A166">
            <v>5</v>
          </cell>
          <cell r="M166">
            <v>90.202702702702695</v>
          </cell>
        </row>
        <row r="167">
          <cell r="A167">
            <v>6</v>
          </cell>
          <cell r="M167">
            <v>88.698630136986296</v>
          </cell>
        </row>
        <row r="168">
          <cell r="A168">
            <v>7</v>
          </cell>
          <cell r="M168">
            <v>89.368770764119603</v>
          </cell>
        </row>
        <row r="169">
          <cell r="A169">
            <v>8</v>
          </cell>
          <cell r="M169">
            <v>92.145015105740185</v>
          </cell>
        </row>
        <row r="170">
          <cell r="A170">
            <v>9</v>
          </cell>
          <cell r="M170">
            <v>85.483870967741936</v>
          </cell>
        </row>
        <row r="171">
          <cell r="A171">
            <v>10</v>
          </cell>
          <cell r="M171">
            <v>90.282131661442008</v>
          </cell>
        </row>
        <row r="172">
          <cell r="A172">
            <v>11</v>
          </cell>
          <cell r="M172">
            <v>86.82634730538922</v>
          </cell>
        </row>
        <row r="173">
          <cell r="A173">
            <v>12</v>
          </cell>
          <cell r="M173">
            <v>89.130434782608688</v>
          </cell>
        </row>
        <row r="174">
          <cell r="A174">
            <v>13</v>
          </cell>
          <cell r="M174">
            <v>85.534591194968556</v>
          </cell>
        </row>
        <row r="175">
          <cell r="A175">
            <v>14</v>
          </cell>
          <cell r="M175">
            <v>84.482758620689651</v>
          </cell>
        </row>
        <row r="176">
          <cell r="A176">
            <v>15</v>
          </cell>
          <cell r="M176">
            <v>85</v>
          </cell>
        </row>
        <row r="177">
          <cell r="A177">
            <v>16</v>
          </cell>
          <cell r="M177">
            <v>86.549707602339183</v>
          </cell>
        </row>
        <row r="178">
          <cell r="A178">
            <v>17</v>
          </cell>
          <cell r="M178">
            <v>86.834733893557427</v>
          </cell>
        </row>
        <row r="179">
          <cell r="A179">
            <v>18</v>
          </cell>
          <cell r="M179">
            <v>85.13513513513513</v>
          </cell>
        </row>
        <row r="180">
          <cell r="A180">
            <v>19</v>
          </cell>
          <cell r="M180">
            <v>81.723237597911222</v>
          </cell>
        </row>
        <row r="181">
          <cell r="A181">
            <v>20</v>
          </cell>
          <cell r="M181">
            <v>84.382871536523936</v>
          </cell>
        </row>
        <row r="182">
          <cell r="A182">
            <v>21</v>
          </cell>
          <cell r="M182">
            <v>85.359801488833739</v>
          </cell>
        </row>
        <row r="183">
          <cell r="A183">
            <v>22</v>
          </cell>
          <cell r="M183">
            <v>81.84143222506394</v>
          </cell>
        </row>
        <row r="184">
          <cell r="A184">
            <v>23</v>
          </cell>
          <cell r="M184">
            <v>82.608695652173907</v>
          </cell>
        </row>
        <row r="185">
          <cell r="A185">
            <v>24</v>
          </cell>
          <cell r="M185">
            <v>79.606879606879616</v>
          </cell>
        </row>
        <row r="186">
          <cell r="A186">
            <v>25</v>
          </cell>
          <cell r="M186">
            <v>75.797872340425528</v>
          </cell>
        </row>
        <row r="187">
          <cell r="A187">
            <v>26</v>
          </cell>
          <cell r="M187">
            <v>79.820627802690581</v>
          </cell>
        </row>
        <row r="188">
          <cell r="A188">
            <v>27</v>
          </cell>
          <cell r="M188">
            <v>76.712328767123282</v>
          </cell>
        </row>
        <row r="189">
          <cell r="A189">
            <v>28</v>
          </cell>
          <cell r="M189">
            <v>79.136690647482013</v>
          </cell>
        </row>
        <row r="190">
          <cell r="A190">
            <v>29</v>
          </cell>
          <cell r="M190">
            <v>76.737967914438499</v>
          </cell>
        </row>
        <row r="191">
          <cell r="A191">
            <v>30</v>
          </cell>
          <cell r="M191">
            <v>86.634844868735087</v>
          </cell>
        </row>
        <row r="192">
          <cell r="A192">
            <v>31</v>
          </cell>
          <cell r="M192">
            <v>79.126213592233015</v>
          </cell>
        </row>
        <row r="193">
          <cell r="A193">
            <v>32</v>
          </cell>
          <cell r="M193">
            <v>79.255319148936167</v>
          </cell>
        </row>
        <row r="194">
          <cell r="A194">
            <v>33</v>
          </cell>
          <cell r="M194">
            <v>83.78378378378379</v>
          </cell>
        </row>
        <row r="195">
          <cell r="A195">
            <v>34</v>
          </cell>
          <cell r="M195">
            <v>80.792682926829272</v>
          </cell>
        </row>
        <row r="196">
          <cell r="A196">
            <v>35</v>
          </cell>
          <cell r="M196">
            <v>81.350482315112544</v>
          </cell>
        </row>
        <row r="197">
          <cell r="A197">
            <v>36</v>
          </cell>
          <cell r="M197">
            <v>86.206896551724128</v>
          </cell>
        </row>
        <row r="198">
          <cell r="A198">
            <v>37</v>
          </cell>
          <cell r="M198">
            <v>75.454545454545453</v>
          </cell>
        </row>
        <row r="199">
          <cell r="A199">
            <v>38</v>
          </cell>
          <cell r="M199">
            <v>80.361757105943155</v>
          </cell>
        </row>
        <row r="200">
          <cell r="A200">
            <v>39</v>
          </cell>
          <cell r="M200">
            <v>75.335120643431637</v>
          </cell>
        </row>
        <row r="201">
          <cell r="A201">
            <v>40</v>
          </cell>
          <cell r="M201">
            <v>72.616136919315394</v>
          </cell>
        </row>
        <row r="202">
          <cell r="A202">
            <v>1</v>
          </cell>
          <cell r="M202">
            <v>95.512820512820511</v>
          </cell>
        </row>
        <row r="203">
          <cell r="A203">
            <v>2</v>
          </cell>
          <cell r="M203">
            <v>97.560975609756099</v>
          </cell>
        </row>
        <row r="204">
          <cell r="A204">
            <v>3</v>
          </cell>
          <cell r="M204">
            <v>96.875</v>
          </cell>
        </row>
        <row r="205">
          <cell r="A205">
            <v>4</v>
          </cell>
          <cell r="M205">
            <v>93.442622950819683</v>
          </cell>
        </row>
        <row r="206">
          <cell r="A206">
            <v>5</v>
          </cell>
          <cell r="M206">
            <v>90</v>
          </cell>
        </row>
        <row r="207">
          <cell r="A207">
            <v>6</v>
          </cell>
          <cell r="M207">
            <v>92.972972972972983</v>
          </cell>
        </row>
        <row r="208">
          <cell r="A208">
            <v>7</v>
          </cell>
          <cell r="M208">
            <v>93.264248704663217</v>
          </cell>
        </row>
        <row r="209">
          <cell r="A209">
            <v>8</v>
          </cell>
          <cell r="M209">
            <v>95.26627218934911</v>
          </cell>
        </row>
        <row r="210">
          <cell r="A210">
            <v>9</v>
          </cell>
          <cell r="M210">
            <v>89.444444444444443</v>
          </cell>
        </row>
        <row r="211">
          <cell r="A211">
            <v>10</v>
          </cell>
          <cell r="M211">
            <v>91.397849462365585</v>
          </cell>
        </row>
        <row r="212">
          <cell r="A212">
            <v>11</v>
          </cell>
          <cell r="M212">
            <v>94.674556213017752</v>
          </cell>
        </row>
        <row r="213">
          <cell r="A213">
            <v>12</v>
          </cell>
          <cell r="M213">
            <v>94.318181818181827</v>
          </cell>
        </row>
        <row r="214">
          <cell r="A214">
            <v>13</v>
          </cell>
          <cell r="M214">
            <v>94.413407821229043</v>
          </cell>
        </row>
        <row r="215">
          <cell r="A215">
            <v>14</v>
          </cell>
          <cell r="M215">
            <v>88.64864864864866</v>
          </cell>
        </row>
        <row r="216">
          <cell r="A216">
            <v>15</v>
          </cell>
          <cell r="M216">
            <v>87.939698492462313</v>
          </cell>
        </row>
        <row r="217">
          <cell r="A217">
            <v>16</v>
          </cell>
          <cell r="M217">
            <v>90.957446808510639</v>
          </cell>
        </row>
        <row r="218">
          <cell r="A218">
            <v>17</v>
          </cell>
          <cell r="M218">
            <v>93.670886075949369</v>
          </cell>
        </row>
        <row r="219">
          <cell r="A219">
            <v>18</v>
          </cell>
          <cell r="M219">
            <v>84.472049689440993</v>
          </cell>
        </row>
        <row r="220">
          <cell r="A220">
            <v>19</v>
          </cell>
          <cell r="M220">
            <v>88.829787234042556</v>
          </cell>
        </row>
        <row r="221">
          <cell r="A221">
            <v>20</v>
          </cell>
          <cell r="M221">
            <v>84.768211920529808</v>
          </cell>
        </row>
        <row r="222">
          <cell r="A222">
            <v>21</v>
          </cell>
          <cell r="M222">
            <v>88.41463414634147</v>
          </cell>
        </row>
        <row r="223">
          <cell r="A223">
            <v>22</v>
          </cell>
          <cell r="M223">
            <v>82.8125</v>
          </cell>
        </row>
        <row r="224">
          <cell r="A224">
            <v>23</v>
          </cell>
          <cell r="M224">
            <v>86.631016042780757</v>
          </cell>
        </row>
        <row r="225">
          <cell r="A225">
            <v>24</v>
          </cell>
          <cell r="M225">
            <v>85.082872928176798</v>
          </cell>
        </row>
        <row r="226">
          <cell r="A226">
            <v>25</v>
          </cell>
          <cell r="M226">
            <v>82.775119617224874</v>
          </cell>
        </row>
        <row r="227">
          <cell r="A227">
            <v>26</v>
          </cell>
          <cell r="M227">
            <v>86.206896551724128</v>
          </cell>
        </row>
        <row r="228">
          <cell r="A228">
            <v>27</v>
          </cell>
          <cell r="M228">
            <v>79.326923076923066</v>
          </cell>
        </row>
        <row r="229">
          <cell r="A229">
            <v>28</v>
          </cell>
          <cell r="M229">
            <v>83.65384615384616</v>
          </cell>
        </row>
        <row r="230">
          <cell r="A230">
            <v>29</v>
          </cell>
          <cell r="M230">
            <v>74.090909090909093</v>
          </cell>
        </row>
        <row r="231">
          <cell r="A231">
            <v>30</v>
          </cell>
          <cell r="M231">
            <v>83.944954128440358</v>
          </cell>
        </row>
        <row r="232">
          <cell r="A232">
            <v>31</v>
          </cell>
          <cell r="M232">
            <v>77.253218884120173</v>
          </cell>
        </row>
        <row r="233">
          <cell r="A233">
            <v>32</v>
          </cell>
          <cell r="M233">
            <v>73.267326732673268</v>
          </cell>
        </row>
        <row r="234">
          <cell r="A234">
            <v>33</v>
          </cell>
          <cell r="M234">
            <v>74.528301886792448</v>
          </cell>
        </row>
        <row r="235">
          <cell r="A235">
            <v>34</v>
          </cell>
          <cell r="M235">
            <v>73.5</v>
          </cell>
        </row>
        <row r="236">
          <cell r="A236">
            <v>35</v>
          </cell>
          <cell r="M236">
            <v>74.585635359116026</v>
          </cell>
        </row>
        <row r="237">
          <cell r="A237">
            <v>36</v>
          </cell>
          <cell r="M237">
            <v>70.56074766355141</v>
          </cell>
        </row>
        <row r="238">
          <cell r="A238">
            <v>37</v>
          </cell>
          <cell r="M238">
            <v>72.56637168141593</v>
          </cell>
        </row>
        <row r="239">
          <cell r="A239">
            <v>38</v>
          </cell>
          <cell r="M239">
            <v>67.158671586715869</v>
          </cell>
        </row>
        <row r="240">
          <cell r="A240">
            <v>39</v>
          </cell>
          <cell r="M240">
            <v>80.882352941176478</v>
          </cell>
        </row>
        <row r="241">
          <cell r="A241">
            <v>40</v>
          </cell>
          <cell r="M241">
            <v>86.715867158671585</v>
          </cell>
        </row>
        <row r="242">
          <cell r="A242">
            <v>1</v>
          </cell>
          <cell r="M242">
            <v>94.642857142857139</v>
          </cell>
        </row>
        <row r="243">
          <cell r="A243">
            <v>2</v>
          </cell>
          <cell r="M243">
            <v>92.025518341307816</v>
          </cell>
        </row>
        <row r="244">
          <cell r="A244">
            <v>3</v>
          </cell>
          <cell r="M244">
            <v>90.085470085470092</v>
          </cell>
        </row>
        <row r="245">
          <cell r="A245">
            <v>4</v>
          </cell>
          <cell r="M245">
            <v>95.595432300163125</v>
          </cell>
        </row>
        <row r="246">
          <cell r="A246">
            <v>5</v>
          </cell>
          <cell r="M246">
            <v>94.708029197080293</v>
          </cell>
        </row>
        <row r="247">
          <cell r="A247">
            <v>6</v>
          </cell>
          <cell r="M247">
            <v>94.21641791044776</v>
          </cell>
        </row>
        <row r="248">
          <cell r="A248">
            <v>7</v>
          </cell>
          <cell r="M248">
            <v>95.585738539898131</v>
          </cell>
        </row>
        <row r="249">
          <cell r="A249">
            <v>8</v>
          </cell>
          <cell r="M249">
            <v>94.38943894389439</v>
          </cell>
        </row>
        <row r="250">
          <cell r="A250">
            <v>9</v>
          </cell>
          <cell r="M250">
            <v>90.733590733590731</v>
          </cell>
        </row>
        <row r="251">
          <cell r="A251">
            <v>10</v>
          </cell>
          <cell r="M251">
            <v>92.266187050359719</v>
          </cell>
        </row>
        <row r="252">
          <cell r="A252">
            <v>11</v>
          </cell>
          <cell r="M252">
            <v>94.026974951830439</v>
          </cell>
        </row>
        <row r="253">
          <cell r="A253">
            <v>12</v>
          </cell>
          <cell r="M253">
            <v>93.849206349206355</v>
          </cell>
        </row>
        <row r="254">
          <cell r="A254">
            <v>13</v>
          </cell>
          <cell r="M254">
            <v>92.427184466019412</v>
          </cell>
        </row>
        <row r="255">
          <cell r="A255">
            <v>14</v>
          </cell>
          <cell r="M255">
            <v>92.222222222222229</v>
          </cell>
        </row>
        <row r="256">
          <cell r="A256">
            <v>15</v>
          </cell>
          <cell r="M256">
            <v>92.723880597014926</v>
          </cell>
        </row>
        <row r="257">
          <cell r="A257">
            <v>16</v>
          </cell>
          <cell r="M257">
            <v>91.064638783269956</v>
          </cell>
        </row>
        <row r="258">
          <cell r="A258">
            <v>17</v>
          </cell>
          <cell r="M258">
            <v>90.427698574338095</v>
          </cell>
        </row>
        <row r="259">
          <cell r="A259">
            <v>18</v>
          </cell>
          <cell r="M259">
            <v>91.452991452991455</v>
          </cell>
        </row>
        <row r="260">
          <cell r="A260">
            <v>19</v>
          </cell>
          <cell r="M260">
            <v>87.449392712550605</v>
          </cell>
        </row>
        <row r="261">
          <cell r="A261">
            <v>20</v>
          </cell>
          <cell r="M261">
            <v>82.592592592592595</v>
          </cell>
        </row>
        <row r="262">
          <cell r="A262">
            <v>21</v>
          </cell>
          <cell r="M262">
            <v>87.620889748549331</v>
          </cell>
        </row>
        <row r="263">
          <cell r="A263">
            <v>22</v>
          </cell>
          <cell r="M263">
            <v>85.621970920840056</v>
          </cell>
        </row>
        <row r="264">
          <cell r="A264">
            <v>23</v>
          </cell>
          <cell r="M264">
            <v>86.542056074766364</v>
          </cell>
        </row>
        <row r="265">
          <cell r="A265">
            <v>24</v>
          </cell>
          <cell r="M265">
            <v>89.303904923599319</v>
          </cell>
        </row>
        <row r="266">
          <cell r="A266">
            <v>25</v>
          </cell>
          <cell r="M266">
            <v>85.027726432532347</v>
          </cell>
        </row>
        <row r="267">
          <cell r="A267">
            <v>26</v>
          </cell>
          <cell r="M267">
            <v>80.769230769230774</v>
          </cell>
        </row>
        <row r="268">
          <cell r="A268">
            <v>27</v>
          </cell>
          <cell r="M268">
            <v>78.703703703703709</v>
          </cell>
        </row>
        <row r="269">
          <cell r="A269">
            <v>28</v>
          </cell>
          <cell r="M269">
            <v>80.060422960725077</v>
          </cell>
        </row>
        <row r="270">
          <cell r="A270">
            <v>29</v>
          </cell>
          <cell r="M270">
            <v>78.13559322033899</v>
          </cell>
        </row>
        <row r="271">
          <cell r="A271">
            <v>30</v>
          </cell>
          <cell r="M271">
            <v>73.668188736681884</v>
          </cell>
        </row>
        <row r="272">
          <cell r="A272">
            <v>31</v>
          </cell>
          <cell r="M272">
            <v>78.236130867709818</v>
          </cell>
        </row>
        <row r="273">
          <cell r="A273">
            <v>32</v>
          </cell>
          <cell r="M273">
            <v>80.277349768875197</v>
          </cell>
        </row>
        <row r="274">
          <cell r="A274">
            <v>33</v>
          </cell>
          <cell r="M274">
            <v>81.748466257668724</v>
          </cell>
        </row>
        <row r="275">
          <cell r="A275">
            <v>34</v>
          </cell>
          <cell r="M275">
            <v>82.417582417582409</v>
          </cell>
        </row>
        <row r="276">
          <cell r="A276">
            <v>35</v>
          </cell>
          <cell r="M276">
            <v>83.712121212121218</v>
          </cell>
        </row>
        <row r="277">
          <cell r="A277">
            <v>36</v>
          </cell>
          <cell r="M277">
            <v>86.486486486486484</v>
          </cell>
        </row>
        <row r="278">
          <cell r="A278">
            <v>37</v>
          </cell>
          <cell r="M278">
            <v>82.736156351791536</v>
          </cell>
        </row>
        <row r="279">
          <cell r="A279">
            <v>38</v>
          </cell>
          <cell r="M279">
            <v>85.348506401137982</v>
          </cell>
        </row>
        <row r="280">
          <cell r="A280">
            <v>39</v>
          </cell>
          <cell r="M280">
            <v>85.126162018592296</v>
          </cell>
        </row>
        <row r="281">
          <cell r="A281">
            <v>40</v>
          </cell>
          <cell r="M281">
            <v>82.871536523929464</v>
          </cell>
        </row>
        <row r="282">
          <cell r="A282">
            <v>1</v>
          </cell>
          <cell r="M282">
            <v>100</v>
          </cell>
        </row>
        <row r="283">
          <cell r="A283">
            <v>2</v>
          </cell>
          <cell r="M283">
            <v>100</v>
          </cell>
        </row>
        <row r="284">
          <cell r="A284">
            <v>3</v>
          </cell>
          <cell r="M284">
            <v>100</v>
          </cell>
        </row>
        <row r="285">
          <cell r="A285">
            <v>4</v>
          </cell>
          <cell r="M285">
            <v>100</v>
          </cell>
        </row>
        <row r="286">
          <cell r="A286">
            <v>5</v>
          </cell>
          <cell r="M286">
            <v>100</v>
          </cell>
        </row>
        <row r="287">
          <cell r="A287">
            <v>6</v>
          </cell>
          <cell r="M287">
            <v>100</v>
          </cell>
        </row>
        <row r="288">
          <cell r="A288">
            <v>7</v>
          </cell>
          <cell r="M288">
            <v>100</v>
          </cell>
        </row>
        <row r="289">
          <cell r="A289">
            <v>8</v>
          </cell>
          <cell r="M289">
            <v>100</v>
          </cell>
        </row>
        <row r="290">
          <cell r="A290">
            <v>9</v>
          </cell>
          <cell r="M290">
            <v>100</v>
          </cell>
        </row>
        <row r="291">
          <cell r="A291">
            <v>10</v>
          </cell>
          <cell r="M291">
            <v>87.5</v>
          </cell>
        </row>
        <row r="292">
          <cell r="A292">
            <v>11</v>
          </cell>
          <cell r="M292">
            <v>100</v>
          </cell>
        </row>
        <row r="293">
          <cell r="A293">
            <v>12</v>
          </cell>
          <cell r="M293">
            <v>100</v>
          </cell>
        </row>
        <row r="294">
          <cell r="A294">
            <v>13</v>
          </cell>
          <cell r="M294">
            <v>88.888888888888886</v>
          </cell>
        </row>
        <row r="295">
          <cell r="A295">
            <v>14</v>
          </cell>
          <cell r="M295">
            <v>100</v>
          </cell>
        </row>
        <row r="296">
          <cell r="A296">
            <v>15</v>
          </cell>
          <cell r="M296">
            <v>100</v>
          </cell>
        </row>
        <row r="297">
          <cell r="A297">
            <v>16</v>
          </cell>
          <cell r="M297">
            <v>100</v>
          </cell>
        </row>
        <row r="298">
          <cell r="A298">
            <v>17</v>
          </cell>
          <cell r="M298">
            <v>88.888888888888886</v>
          </cell>
        </row>
        <row r="299">
          <cell r="A299">
            <v>18</v>
          </cell>
          <cell r="M299">
            <v>100</v>
          </cell>
        </row>
        <row r="300">
          <cell r="A300">
            <v>19</v>
          </cell>
          <cell r="M300">
            <v>100</v>
          </cell>
        </row>
        <row r="301">
          <cell r="A301">
            <v>20</v>
          </cell>
          <cell r="M301">
            <v>100</v>
          </cell>
        </row>
        <row r="302">
          <cell r="A302">
            <v>21</v>
          </cell>
          <cell r="M302">
            <v>91.666666666666657</v>
          </cell>
        </row>
        <row r="303">
          <cell r="A303">
            <v>22</v>
          </cell>
          <cell r="M303">
            <v>100</v>
          </cell>
        </row>
        <row r="304">
          <cell r="A304">
            <v>23</v>
          </cell>
          <cell r="M304">
            <v>100</v>
          </cell>
        </row>
        <row r="305">
          <cell r="A305">
            <v>24</v>
          </cell>
          <cell r="M305">
            <v>90</v>
          </cell>
        </row>
        <row r="306">
          <cell r="A306">
            <v>25</v>
          </cell>
          <cell r="M306">
            <v>100</v>
          </cell>
        </row>
        <row r="307">
          <cell r="A307">
            <v>26</v>
          </cell>
          <cell r="M307">
            <v>85.714285714285708</v>
          </cell>
        </row>
        <row r="308">
          <cell r="A308">
            <v>27</v>
          </cell>
          <cell r="M308">
            <v>71.428571428571431</v>
          </cell>
        </row>
        <row r="309">
          <cell r="A309">
            <v>28</v>
          </cell>
          <cell r="M309">
            <v>92.857142857142861</v>
          </cell>
        </row>
        <row r="310">
          <cell r="A310">
            <v>29</v>
          </cell>
          <cell r="M310">
            <v>100</v>
          </cell>
        </row>
        <row r="311">
          <cell r="A311">
            <v>30</v>
          </cell>
          <cell r="M311">
            <v>91.666666666666657</v>
          </cell>
        </row>
        <row r="312">
          <cell r="A312">
            <v>31</v>
          </cell>
          <cell r="M312">
            <v>100</v>
          </cell>
        </row>
        <row r="313">
          <cell r="A313">
            <v>32</v>
          </cell>
          <cell r="M313">
            <v>100</v>
          </cell>
        </row>
        <row r="314">
          <cell r="A314">
            <v>33</v>
          </cell>
          <cell r="M314">
            <v>75</v>
          </cell>
        </row>
        <row r="315">
          <cell r="A315">
            <v>34</v>
          </cell>
          <cell r="M315">
            <v>87.5</v>
          </cell>
        </row>
        <row r="316">
          <cell r="A316">
            <v>35</v>
          </cell>
          <cell r="M316">
            <v>100</v>
          </cell>
        </row>
        <row r="317">
          <cell r="A317">
            <v>36</v>
          </cell>
          <cell r="M317">
            <v>100</v>
          </cell>
        </row>
        <row r="318">
          <cell r="A318">
            <v>37</v>
          </cell>
          <cell r="M318">
            <v>100</v>
          </cell>
        </row>
        <row r="319">
          <cell r="A319">
            <v>38</v>
          </cell>
          <cell r="M319">
            <v>88.888888888888886</v>
          </cell>
        </row>
        <row r="320">
          <cell r="A320">
            <v>39</v>
          </cell>
          <cell r="M320">
            <v>100</v>
          </cell>
        </row>
        <row r="321">
          <cell r="A321">
            <v>40</v>
          </cell>
          <cell r="M321">
            <v>92.857142857142861</v>
          </cell>
        </row>
        <row r="322">
          <cell r="A322">
            <v>1</v>
          </cell>
          <cell r="M322">
            <v>100</v>
          </cell>
        </row>
        <row r="323">
          <cell r="A323">
            <v>2</v>
          </cell>
          <cell r="M323">
            <v>100</v>
          </cell>
        </row>
        <row r="324">
          <cell r="A324">
            <v>3</v>
          </cell>
          <cell r="M324">
            <v>100</v>
          </cell>
        </row>
        <row r="325">
          <cell r="A325">
            <v>4</v>
          </cell>
          <cell r="M325">
            <v>100</v>
          </cell>
        </row>
        <row r="326">
          <cell r="A326">
            <v>5</v>
          </cell>
          <cell r="M326">
            <v>100</v>
          </cell>
        </row>
        <row r="327">
          <cell r="A327">
            <v>6</v>
          </cell>
          <cell r="M327">
            <v>100</v>
          </cell>
        </row>
        <row r="328">
          <cell r="A328">
            <v>7</v>
          </cell>
          <cell r="M328">
            <v>100</v>
          </cell>
        </row>
        <row r="329">
          <cell r="A329">
            <v>8</v>
          </cell>
          <cell r="M329">
            <v>100</v>
          </cell>
        </row>
        <row r="330">
          <cell r="A330">
            <v>9</v>
          </cell>
          <cell r="M330">
            <v>100</v>
          </cell>
        </row>
        <row r="331">
          <cell r="A331">
            <v>10</v>
          </cell>
          <cell r="M331">
            <v>66.666666666666657</v>
          </cell>
        </row>
        <row r="332">
          <cell r="A332">
            <v>11</v>
          </cell>
          <cell r="M332">
            <v>100</v>
          </cell>
        </row>
        <row r="333">
          <cell r="A333">
            <v>12</v>
          </cell>
          <cell r="M333">
            <v>100</v>
          </cell>
        </row>
        <row r="334">
          <cell r="A334">
            <v>13</v>
          </cell>
          <cell r="M334">
            <v>100</v>
          </cell>
        </row>
        <row r="335">
          <cell r="A335">
            <v>14</v>
          </cell>
          <cell r="M335">
            <v>92.307692307692307</v>
          </cell>
        </row>
        <row r="336">
          <cell r="A336">
            <v>15</v>
          </cell>
          <cell r="M336">
            <v>80</v>
          </cell>
        </row>
        <row r="337">
          <cell r="A337">
            <v>16</v>
          </cell>
          <cell r="M337">
            <v>100</v>
          </cell>
        </row>
        <row r="338">
          <cell r="A338">
            <v>17</v>
          </cell>
          <cell r="M338">
            <v>80</v>
          </cell>
        </row>
        <row r="339">
          <cell r="A339">
            <v>18</v>
          </cell>
          <cell r="M339">
            <v>100</v>
          </cell>
        </row>
        <row r="340">
          <cell r="A340">
            <v>19</v>
          </cell>
          <cell r="M340">
            <v>100</v>
          </cell>
        </row>
        <row r="341">
          <cell r="A341">
            <v>20</v>
          </cell>
          <cell r="M341">
            <v>100</v>
          </cell>
        </row>
        <row r="342">
          <cell r="A342">
            <v>21</v>
          </cell>
          <cell r="M342">
            <v>90.909090909090907</v>
          </cell>
        </row>
        <row r="343">
          <cell r="A343">
            <v>22</v>
          </cell>
          <cell r="M343">
            <v>80</v>
          </cell>
        </row>
        <row r="344">
          <cell r="A344">
            <v>23</v>
          </cell>
          <cell r="M344">
            <v>88.888888888888886</v>
          </cell>
        </row>
        <row r="345">
          <cell r="A345">
            <v>24</v>
          </cell>
          <cell r="M345">
            <v>85.714285714285708</v>
          </cell>
        </row>
        <row r="346">
          <cell r="A346">
            <v>25</v>
          </cell>
          <cell r="M346">
            <v>90.909090909090907</v>
          </cell>
        </row>
        <row r="347">
          <cell r="A347">
            <v>26</v>
          </cell>
          <cell r="M347">
            <v>100</v>
          </cell>
        </row>
        <row r="348">
          <cell r="A348">
            <v>27</v>
          </cell>
          <cell r="M348">
            <v>90</v>
          </cell>
        </row>
        <row r="349">
          <cell r="A349">
            <v>28</v>
          </cell>
          <cell r="M349">
            <v>66.666666666666657</v>
          </cell>
        </row>
        <row r="350">
          <cell r="A350">
            <v>29</v>
          </cell>
          <cell r="M350">
            <v>81.818181818181827</v>
          </cell>
        </row>
        <row r="351">
          <cell r="A351">
            <v>30</v>
          </cell>
          <cell r="M351">
            <v>83.333333333333343</v>
          </cell>
        </row>
        <row r="352">
          <cell r="A352">
            <v>31</v>
          </cell>
          <cell r="M352">
            <v>82.35294117647058</v>
          </cell>
        </row>
        <row r="353">
          <cell r="A353">
            <v>32</v>
          </cell>
          <cell r="M353">
            <v>85.714285714285708</v>
          </cell>
        </row>
        <row r="354">
          <cell r="A354">
            <v>33</v>
          </cell>
          <cell r="M354">
            <v>92.857142857142861</v>
          </cell>
        </row>
        <row r="355">
          <cell r="A355">
            <v>34</v>
          </cell>
          <cell r="M355">
            <v>100</v>
          </cell>
        </row>
        <row r="356">
          <cell r="A356">
            <v>35</v>
          </cell>
          <cell r="M356">
            <v>100</v>
          </cell>
        </row>
        <row r="357">
          <cell r="A357">
            <v>36</v>
          </cell>
          <cell r="M357">
            <v>87.5</v>
          </cell>
        </row>
        <row r="358">
          <cell r="A358">
            <v>37</v>
          </cell>
          <cell r="M358">
            <v>80</v>
          </cell>
        </row>
        <row r="359">
          <cell r="A359">
            <v>38</v>
          </cell>
          <cell r="M359">
            <v>80</v>
          </cell>
        </row>
        <row r="360">
          <cell r="A360">
            <v>39</v>
          </cell>
          <cell r="M360">
            <v>77.272727272727266</v>
          </cell>
        </row>
        <row r="361">
          <cell r="A361">
            <v>40</v>
          </cell>
          <cell r="M361">
            <v>78.571428571428569</v>
          </cell>
        </row>
        <row r="362">
          <cell r="A362">
            <v>1</v>
          </cell>
          <cell r="M362">
            <v>93.865030674846622</v>
          </cell>
        </row>
        <row r="363">
          <cell r="A363">
            <v>2</v>
          </cell>
          <cell r="M363">
            <v>93.650793650793645</v>
          </cell>
        </row>
        <row r="364">
          <cell r="A364">
            <v>3</v>
          </cell>
          <cell r="M364">
            <v>97.159090909090907</v>
          </cell>
        </row>
        <row r="365">
          <cell r="A365">
            <v>4</v>
          </cell>
          <cell r="M365">
            <v>98.630136986301366</v>
          </cell>
        </row>
        <row r="366">
          <cell r="A366">
            <v>5</v>
          </cell>
          <cell r="M366">
            <v>99.290780141843967</v>
          </cell>
        </row>
        <row r="367">
          <cell r="A367">
            <v>6</v>
          </cell>
          <cell r="M367">
            <v>96.666666666666671</v>
          </cell>
        </row>
        <row r="368">
          <cell r="A368">
            <v>7</v>
          </cell>
          <cell r="M368">
            <v>94.117647058823522</v>
          </cell>
        </row>
        <row r="369">
          <cell r="A369">
            <v>8</v>
          </cell>
          <cell r="M369">
            <v>96.581196581196579</v>
          </cell>
        </row>
        <row r="370">
          <cell r="A370">
            <v>9</v>
          </cell>
          <cell r="M370">
            <v>95.36423841059603</v>
          </cell>
        </row>
        <row r="371">
          <cell r="A371">
            <v>10</v>
          </cell>
          <cell r="M371">
            <v>95.172413793103445</v>
          </cell>
        </row>
        <row r="372">
          <cell r="A372">
            <v>11</v>
          </cell>
          <cell r="M372">
            <v>93.788819875776397</v>
          </cell>
        </row>
        <row r="373">
          <cell r="A373">
            <v>12</v>
          </cell>
          <cell r="M373">
            <v>94.615384615384613</v>
          </cell>
        </row>
        <row r="374">
          <cell r="A374">
            <v>13</v>
          </cell>
          <cell r="M374">
            <v>92.356687898089177</v>
          </cell>
        </row>
        <row r="375">
          <cell r="A375">
            <v>14</v>
          </cell>
          <cell r="M375">
            <v>96.527777777777786</v>
          </cell>
        </row>
        <row r="376">
          <cell r="A376">
            <v>15</v>
          </cell>
          <cell r="M376">
            <v>94.936708860759495</v>
          </cell>
        </row>
        <row r="377">
          <cell r="A377">
            <v>16</v>
          </cell>
          <cell r="M377">
            <v>94.475138121546962</v>
          </cell>
        </row>
        <row r="378">
          <cell r="A378">
            <v>17</v>
          </cell>
          <cell r="M378">
            <v>93.661971830985919</v>
          </cell>
        </row>
        <row r="379">
          <cell r="A379">
            <v>18</v>
          </cell>
          <cell r="M379">
            <v>91.279069767441854</v>
          </cell>
        </row>
        <row r="380">
          <cell r="A380">
            <v>19</v>
          </cell>
          <cell r="M380">
            <v>89.743589743589752</v>
          </cell>
        </row>
        <row r="381">
          <cell r="A381">
            <v>20</v>
          </cell>
          <cell r="M381">
            <v>91.19496855345912</v>
          </cell>
        </row>
        <row r="382">
          <cell r="A382">
            <v>21</v>
          </cell>
          <cell r="M382">
            <v>84.93150684931507</v>
          </cell>
        </row>
        <row r="383">
          <cell r="A383">
            <v>22</v>
          </cell>
          <cell r="M383">
            <v>96.590909090909093</v>
          </cell>
        </row>
        <row r="384">
          <cell r="A384">
            <v>23</v>
          </cell>
          <cell r="M384">
            <v>96.341463414634148</v>
          </cell>
        </row>
        <row r="385">
          <cell r="A385">
            <v>24</v>
          </cell>
          <cell r="M385">
            <v>93.85474860335195</v>
          </cell>
        </row>
        <row r="386">
          <cell r="A386">
            <v>25</v>
          </cell>
          <cell r="M386">
            <v>91.124260355029591</v>
          </cell>
        </row>
        <row r="387">
          <cell r="A387">
            <v>26</v>
          </cell>
          <cell r="M387">
            <v>94.117647058823522</v>
          </cell>
        </row>
        <row r="388">
          <cell r="A388">
            <v>27</v>
          </cell>
          <cell r="M388">
            <v>86.19047619047619</v>
          </cell>
        </row>
        <row r="389">
          <cell r="A389">
            <v>28</v>
          </cell>
          <cell r="M389">
            <v>90.957446808510639</v>
          </cell>
        </row>
        <row r="390">
          <cell r="A390">
            <v>29</v>
          </cell>
          <cell r="M390">
            <v>88.613861386138609</v>
          </cell>
        </row>
        <row r="391">
          <cell r="A391">
            <v>30</v>
          </cell>
          <cell r="M391">
            <v>89.333333333333329</v>
          </cell>
        </row>
        <row r="392">
          <cell r="A392">
            <v>31</v>
          </cell>
          <cell r="M392">
            <v>86.893203883495147</v>
          </cell>
        </row>
        <row r="393">
          <cell r="A393">
            <v>32</v>
          </cell>
          <cell r="M393">
            <v>92.156862745098039</v>
          </cell>
        </row>
        <row r="394">
          <cell r="A394">
            <v>33</v>
          </cell>
          <cell r="M394">
            <v>88.177339901477836</v>
          </cell>
        </row>
        <row r="395">
          <cell r="A395">
            <v>34</v>
          </cell>
          <cell r="M395">
            <v>85</v>
          </cell>
        </row>
        <row r="396">
          <cell r="A396">
            <v>35</v>
          </cell>
          <cell r="M396">
            <v>89.714285714285708</v>
          </cell>
        </row>
        <row r="397">
          <cell r="A397">
            <v>36</v>
          </cell>
          <cell r="M397">
            <v>86.390532544378701</v>
          </cell>
        </row>
        <row r="398">
          <cell r="A398">
            <v>37</v>
          </cell>
          <cell r="M398">
            <v>87.195121951219505</v>
          </cell>
        </row>
        <row r="399">
          <cell r="A399">
            <v>38</v>
          </cell>
          <cell r="M399">
            <v>85.207100591715985</v>
          </cell>
        </row>
        <row r="400">
          <cell r="A400">
            <v>39</v>
          </cell>
          <cell r="M400">
            <v>91.62561576354679</v>
          </cell>
        </row>
        <row r="401">
          <cell r="A401">
            <v>40</v>
          </cell>
          <cell r="M401">
            <v>88.888888888888886</v>
          </cell>
        </row>
        <row r="402">
          <cell r="A402">
            <v>1</v>
          </cell>
          <cell r="M402">
            <v>95.927601809954751</v>
          </cell>
        </row>
        <row r="403">
          <cell r="A403">
            <v>2</v>
          </cell>
          <cell r="M403">
            <v>96.832579185520359</v>
          </cell>
        </row>
        <row r="404">
          <cell r="A404">
            <v>3</v>
          </cell>
          <cell r="M404">
            <v>95.238095238095227</v>
          </cell>
        </row>
        <row r="405">
          <cell r="A405">
            <v>4</v>
          </cell>
          <cell r="M405">
            <v>95.544554455445535</v>
          </cell>
        </row>
        <row r="406">
          <cell r="A406">
            <v>5</v>
          </cell>
          <cell r="M406">
            <v>93.212669683257914</v>
          </cell>
        </row>
        <row r="407">
          <cell r="A407">
            <v>6</v>
          </cell>
          <cell r="M407">
            <v>94.468085106382986</v>
          </cell>
        </row>
        <row r="408">
          <cell r="A408">
            <v>7</v>
          </cell>
          <cell r="M408">
            <v>96</v>
          </cell>
        </row>
        <row r="409">
          <cell r="A409">
            <v>8</v>
          </cell>
          <cell r="M409">
            <v>90.366972477064223</v>
          </cell>
        </row>
        <row r="410">
          <cell r="A410">
            <v>9</v>
          </cell>
          <cell r="M410">
            <v>91.079812206572768</v>
          </cell>
        </row>
        <row r="411">
          <cell r="A411">
            <v>10</v>
          </cell>
          <cell r="M411">
            <v>94.805194805194802</v>
          </cell>
        </row>
        <row r="412">
          <cell r="A412">
            <v>11</v>
          </cell>
          <cell r="M412">
            <v>97.787610619469021</v>
          </cell>
        </row>
        <row r="413">
          <cell r="A413">
            <v>12</v>
          </cell>
          <cell r="M413">
            <v>96.943231441048042</v>
          </cell>
        </row>
        <row r="414">
          <cell r="A414">
            <v>13</v>
          </cell>
          <cell r="M414">
            <v>91.709844559585491</v>
          </cell>
        </row>
        <row r="415">
          <cell r="A415">
            <v>14</v>
          </cell>
          <cell r="M415">
            <v>92.672413793103445</v>
          </cell>
        </row>
        <row r="416">
          <cell r="A416">
            <v>15</v>
          </cell>
          <cell r="M416">
            <v>86.142322097378283</v>
          </cell>
        </row>
        <row r="417">
          <cell r="A417">
            <v>16</v>
          </cell>
          <cell r="M417">
            <v>88.659793814432987</v>
          </cell>
        </row>
        <row r="418">
          <cell r="A418">
            <v>17</v>
          </cell>
          <cell r="M418">
            <v>92.410714285714292</v>
          </cell>
        </row>
        <row r="419">
          <cell r="A419">
            <v>18</v>
          </cell>
          <cell r="M419">
            <v>89.610389610389603</v>
          </cell>
        </row>
        <row r="420">
          <cell r="A420">
            <v>19</v>
          </cell>
          <cell r="M420">
            <v>82.969432314410483</v>
          </cell>
        </row>
        <row r="421">
          <cell r="A421">
            <v>20</v>
          </cell>
          <cell r="M421">
            <v>87.169811320754718</v>
          </cell>
        </row>
        <row r="422">
          <cell r="A422">
            <v>21</v>
          </cell>
          <cell r="M422">
            <v>89.88326848249028</v>
          </cell>
        </row>
        <row r="423">
          <cell r="A423">
            <v>22</v>
          </cell>
          <cell r="M423">
            <v>90.34749034749035</v>
          </cell>
        </row>
        <row r="424">
          <cell r="A424">
            <v>23</v>
          </cell>
          <cell r="M424">
            <v>89.642857142857153</v>
          </cell>
        </row>
        <row r="425">
          <cell r="A425">
            <v>24</v>
          </cell>
          <cell r="M425">
            <v>89.400921658986178</v>
          </cell>
        </row>
        <row r="426">
          <cell r="A426">
            <v>25</v>
          </cell>
          <cell r="M426">
            <v>86.419753086419746</v>
          </cell>
        </row>
        <row r="427">
          <cell r="A427">
            <v>26</v>
          </cell>
          <cell r="M427">
            <v>87.931034482758619</v>
          </cell>
        </row>
        <row r="428">
          <cell r="A428">
            <v>27</v>
          </cell>
          <cell r="M428">
            <v>83.467741935483872</v>
          </cell>
        </row>
        <row r="429">
          <cell r="A429">
            <v>28</v>
          </cell>
          <cell r="M429">
            <v>82.926829268292678</v>
          </cell>
        </row>
        <row r="430">
          <cell r="A430">
            <v>29</v>
          </cell>
          <cell r="M430">
            <v>88.60759493670885</v>
          </cell>
        </row>
        <row r="431">
          <cell r="A431">
            <v>30</v>
          </cell>
          <cell r="M431">
            <v>89.523809523809533</v>
          </cell>
        </row>
        <row r="432">
          <cell r="A432">
            <v>31</v>
          </cell>
          <cell r="M432">
            <v>95.238095238095227</v>
          </cell>
        </row>
        <row r="433">
          <cell r="A433">
            <v>32</v>
          </cell>
          <cell r="M433">
            <v>94.930875576036868</v>
          </cell>
        </row>
        <row r="434">
          <cell r="A434">
            <v>33</v>
          </cell>
          <cell r="M434">
            <v>91.904761904761898</v>
          </cell>
        </row>
        <row r="435">
          <cell r="A435">
            <v>34</v>
          </cell>
          <cell r="M435">
            <v>89.142857142857139</v>
          </cell>
        </row>
        <row r="436">
          <cell r="A436">
            <v>35</v>
          </cell>
          <cell r="M436">
            <v>97.252747252747255</v>
          </cell>
        </row>
        <row r="437">
          <cell r="A437">
            <v>36</v>
          </cell>
          <cell r="M437">
            <v>97.560975609756099</v>
          </cell>
        </row>
        <row r="438">
          <cell r="A438">
            <v>37</v>
          </cell>
          <cell r="M438">
            <v>93.782383419689126</v>
          </cell>
        </row>
        <row r="439">
          <cell r="A439">
            <v>38</v>
          </cell>
          <cell r="M439">
            <v>90.909090909090907</v>
          </cell>
        </row>
        <row r="440">
          <cell r="A440">
            <v>39</v>
          </cell>
          <cell r="M440">
            <v>92.857142857142861</v>
          </cell>
        </row>
        <row r="441">
          <cell r="A441">
            <v>40</v>
          </cell>
          <cell r="M441">
            <v>88.185654008438817</v>
          </cell>
        </row>
        <row r="442">
          <cell r="A442">
            <v>1</v>
          </cell>
          <cell r="M442">
            <v>94.829760403530898</v>
          </cell>
        </row>
        <row r="443">
          <cell r="A443">
            <v>2</v>
          </cell>
          <cell r="M443">
            <v>95.862884160756494</v>
          </cell>
        </row>
        <row r="444">
          <cell r="A444">
            <v>3</v>
          </cell>
          <cell r="M444">
            <v>94.306930693069305</v>
          </cell>
        </row>
        <row r="445">
          <cell r="A445">
            <v>4</v>
          </cell>
          <cell r="M445">
            <v>94.903737259343146</v>
          </cell>
        </row>
        <row r="446">
          <cell r="A446">
            <v>5</v>
          </cell>
          <cell r="M446">
            <v>93.412384716732547</v>
          </cell>
        </row>
        <row r="447">
          <cell r="A447">
            <v>6</v>
          </cell>
          <cell r="M447">
            <v>94.329896907216494</v>
          </cell>
        </row>
        <row r="448">
          <cell r="A448">
            <v>7</v>
          </cell>
          <cell r="M448">
            <v>93.19899244332494</v>
          </cell>
        </row>
        <row r="449">
          <cell r="A449">
            <v>8</v>
          </cell>
          <cell r="M449">
            <v>94.223826714801433</v>
          </cell>
        </row>
        <row r="450">
          <cell r="A450">
            <v>9</v>
          </cell>
          <cell r="M450">
            <v>90.400972053462937</v>
          </cell>
        </row>
        <row r="451">
          <cell r="A451">
            <v>10</v>
          </cell>
          <cell r="M451">
            <v>89.850057670126873</v>
          </cell>
        </row>
        <row r="452">
          <cell r="A452">
            <v>11</v>
          </cell>
          <cell r="M452">
            <v>90.740740740740748</v>
          </cell>
        </row>
        <row r="453">
          <cell r="A453">
            <v>12</v>
          </cell>
          <cell r="M453">
            <v>92.65255292652553</v>
          </cell>
        </row>
        <row r="454">
          <cell r="A454">
            <v>13</v>
          </cell>
          <cell r="M454">
            <v>90.665110851808635</v>
          </cell>
        </row>
        <row r="455">
          <cell r="A455">
            <v>14</v>
          </cell>
          <cell r="M455">
            <v>89.626055488540416</v>
          </cell>
        </row>
        <row r="456">
          <cell r="A456">
            <v>15</v>
          </cell>
          <cell r="M456">
            <v>86.238532110091754</v>
          </cell>
        </row>
        <row r="457">
          <cell r="A457">
            <v>16</v>
          </cell>
          <cell r="M457">
            <v>87.149028077753769</v>
          </cell>
        </row>
        <row r="458">
          <cell r="A458">
            <v>17</v>
          </cell>
          <cell r="M458">
            <v>85.968819599109139</v>
          </cell>
        </row>
        <row r="459">
          <cell r="A459">
            <v>18</v>
          </cell>
          <cell r="M459">
            <v>87.950450450450447</v>
          </cell>
        </row>
        <row r="460">
          <cell r="A460">
            <v>19</v>
          </cell>
          <cell r="M460">
            <v>81.950672645739914</v>
          </cell>
        </row>
        <row r="461">
          <cell r="A461">
            <v>20</v>
          </cell>
          <cell r="M461">
            <v>84.573894282632139</v>
          </cell>
        </row>
        <row r="462">
          <cell r="A462">
            <v>21</v>
          </cell>
          <cell r="M462">
            <v>83.095499451152577</v>
          </cell>
        </row>
        <row r="463">
          <cell r="A463">
            <v>22</v>
          </cell>
          <cell r="M463">
            <v>82.563025210084035</v>
          </cell>
        </row>
        <row r="464">
          <cell r="A464">
            <v>23</v>
          </cell>
          <cell r="M464">
            <v>81.208791208791212</v>
          </cell>
        </row>
        <row r="465">
          <cell r="A465">
            <v>24</v>
          </cell>
          <cell r="M465">
            <v>81.438998957247136</v>
          </cell>
        </row>
        <row r="466">
          <cell r="A466">
            <v>25</v>
          </cell>
          <cell r="M466">
            <v>80.148619957537164</v>
          </cell>
        </row>
        <row r="467">
          <cell r="A467">
            <v>26</v>
          </cell>
          <cell r="M467">
            <v>78.8</v>
          </cell>
        </row>
        <row r="468">
          <cell r="A468">
            <v>27</v>
          </cell>
          <cell r="M468">
            <v>75.508317929759698</v>
          </cell>
        </row>
        <row r="469">
          <cell r="A469">
            <v>28</v>
          </cell>
          <cell r="M469">
            <v>76</v>
          </cell>
        </row>
        <row r="470">
          <cell r="A470">
            <v>29</v>
          </cell>
          <cell r="M470">
            <v>75.157515751575161</v>
          </cell>
        </row>
        <row r="471">
          <cell r="A471">
            <v>30</v>
          </cell>
          <cell r="M471">
            <v>76.360392506690459</v>
          </cell>
        </row>
        <row r="472">
          <cell r="A472">
            <v>31</v>
          </cell>
          <cell r="M472">
            <v>78.715596330275233</v>
          </cell>
        </row>
        <row r="473">
          <cell r="A473">
            <v>32</v>
          </cell>
          <cell r="M473">
            <v>78.494623655913969</v>
          </cell>
        </row>
        <row r="474">
          <cell r="A474">
            <v>33</v>
          </cell>
          <cell r="M474">
            <v>80.603842634949686</v>
          </cell>
        </row>
        <row r="475">
          <cell r="A475">
            <v>34</v>
          </cell>
          <cell r="M475">
            <v>80.606060606060609</v>
          </cell>
        </row>
        <row r="476">
          <cell r="A476">
            <v>35</v>
          </cell>
          <cell r="M476">
            <v>85.933806146572095</v>
          </cell>
        </row>
        <row r="477">
          <cell r="A477">
            <v>36</v>
          </cell>
          <cell r="M477">
            <v>81.92893401015229</v>
          </cell>
        </row>
        <row r="478">
          <cell r="A478">
            <v>37</v>
          </cell>
          <cell r="M478">
            <v>80.708294501397944</v>
          </cell>
        </row>
        <row r="479">
          <cell r="A479">
            <v>38</v>
          </cell>
          <cell r="M479">
            <v>79.945799457994582</v>
          </cell>
        </row>
        <row r="480">
          <cell r="A480">
            <v>39</v>
          </cell>
          <cell r="M480">
            <v>78.135888501742158</v>
          </cell>
        </row>
        <row r="481">
          <cell r="A481">
            <v>40</v>
          </cell>
          <cell r="M481">
            <v>71.722365038560412</v>
          </cell>
        </row>
        <row r="482">
          <cell r="A482">
            <v>1</v>
          </cell>
          <cell r="M482">
            <v>97.297297297297305</v>
          </cell>
        </row>
        <row r="483">
          <cell r="A483">
            <v>2</v>
          </cell>
          <cell r="M483">
            <v>97.590361445783131</v>
          </cell>
        </row>
        <row r="484">
          <cell r="A484">
            <v>3</v>
          </cell>
          <cell r="M484">
            <v>99.033816425120762</v>
          </cell>
        </row>
        <row r="485">
          <cell r="A485">
            <v>4</v>
          </cell>
          <cell r="M485">
            <v>97.881355932203391</v>
          </cell>
        </row>
        <row r="486">
          <cell r="A486">
            <v>5</v>
          </cell>
          <cell r="M486">
            <v>98.067632850241552</v>
          </cell>
        </row>
        <row r="487">
          <cell r="A487">
            <v>6</v>
          </cell>
          <cell r="M487">
            <v>97.47899159663865</v>
          </cell>
        </row>
        <row r="488">
          <cell r="A488">
            <v>7</v>
          </cell>
          <cell r="M488">
            <v>96.5</v>
          </cell>
        </row>
        <row r="489">
          <cell r="A489">
            <v>8</v>
          </cell>
          <cell r="M489">
            <v>97.727272727272734</v>
          </cell>
        </row>
        <row r="490">
          <cell r="A490">
            <v>9</v>
          </cell>
          <cell r="M490">
            <v>96.460176991150433</v>
          </cell>
        </row>
        <row r="491">
          <cell r="A491">
            <v>10</v>
          </cell>
          <cell r="M491">
            <v>97.21254355400697</v>
          </cell>
        </row>
        <row r="492">
          <cell r="A492">
            <v>11</v>
          </cell>
          <cell r="M492">
            <v>97.959183673469383</v>
          </cell>
        </row>
        <row r="493">
          <cell r="A493">
            <v>12</v>
          </cell>
          <cell r="M493">
            <v>96.761133603238875</v>
          </cell>
        </row>
        <row r="494">
          <cell r="A494">
            <v>13</v>
          </cell>
          <cell r="M494">
            <v>98.122065727699521</v>
          </cell>
        </row>
        <row r="495">
          <cell r="A495">
            <v>14</v>
          </cell>
          <cell r="M495">
            <v>98.23788546255507</v>
          </cell>
        </row>
        <row r="496">
          <cell r="A496">
            <v>15</v>
          </cell>
          <cell r="M496">
            <v>96.638655462184872</v>
          </cell>
        </row>
        <row r="497">
          <cell r="A497">
            <v>16</v>
          </cell>
          <cell r="M497">
            <v>95.33898305084746</v>
          </cell>
        </row>
        <row r="498">
          <cell r="A498">
            <v>17</v>
          </cell>
          <cell r="M498">
            <v>97.391304347826093</v>
          </cell>
        </row>
        <row r="499">
          <cell r="A499">
            <v>18</v>
          </cell>
          <cell r="M499">
            <v>95.620437956204384</v>
          </cell>
        </row>
        <row r="500">
          <cell r="A500">
            <v>19</v>
          </cell>
          <cell r="M500">
            <v>97.718631178707227</v>
          </cell>
        </row>
        <row r="501">
          <cell r="A501">
            <v>20</v>
          </cell>
          <cell r="M501">
            <v>97.747747747747752</v>
          </cell>
        </row>
        <row r="502">
          <cell r="A502">
            <v>21</v>
          </cell>
          <cell r="M502">
            <v>97.435897435897431</v>
          </cell>
        </row>
        <row r="503">
          <cell r="A503">
            <v>22</v>
          </cell>
          <cell r="M503">
            <v>96.15384615384616</v>
          </cell>
        </row>
        <row r="504">
          <cell r="A504">
            <v>23</v>
          </cell>
          <cell r="M504">
            <v>95.723684210526315</v>
          </cell>
        </row>
        <row r="505">
          <cell r="A505">
            <v>24</v>
          </cell>
          <cell r="M505">
            <v>96.638655462184872</v>
          </cell>
        </row>
        <row r="506">
          <cell r="A506">
            <v>25</v>
          </cell>
          <cell r="M506">
            <v>97.416974169741692</v>
          </cell>
        </row>
        <row r="507">
          <cell r="A507">
            <v>26</v>
          </cell>
          <cell r="M507">
            <v>96.407185628742525</v>
          </cell>
        </row>
        <row r="508">
          <cell r="A508">
            <v>27</v>
          </cell>
          <cell r="M508">
            <v>97.115384615384613</v>
          </cell>
        </row>
        <row r="509">
          <cell r="A509">
            <v>28</v>
          </cell>
          <cell r="M509">
            <v>97.394136807817588</v>
          </cell>
        </row>
        <row r="510">
          <cell r="A510">
            <v>29</v>
          </cell>
          <cell r="M510">
            <v>98.71794871794873</v>
          </cell>
        </row>
        <row r="511">
          <cell r="A511">
            <v>30</v>
          </cell>
          <cell r="M511">
            <v>97.720797720797719</v>
          </cell>
        </row>
        <row r="512">
          <cell r="A512">
            <v>31</v>
          </cell>
          <cell r="M512">
            <v>97.878787878787875</v>
          </cell>
        </row>
        <row r="513">
          <cell r="A513">
            <v>32</v>
          </cell>
          <cell r="M513">
            <v>98.281786941580748</v>
          </cell>
        </row>
        <row r="514">
          <cell r="A514">
            <v>33</v>
          </cell>
          <cell r="M514">
            <v>97.994269340974213</v>
          </cell>
        </row>
        <row r="515">
          <cell r="A515">
            <v>34</v>
          </cell>
          <cell r="M515">
            <v>92.592592592592595</v>
          </cell>
        </row>
        <row r="516">
          <cell r="A516">
            <v>35</v>
          </cell>
          <cell r="M516">
            <v>90.566037735849065</v>
          </cell>
        </row>
        <row r="517">
          <cell r="A517">
            <v>36</v>
          </cell>
          <cell r="M517">
            <v>91.558441558441558</v>
          </cell>
        </row>
        <row r="518">
          <cell r="A518">
            <v>37</v>
          </cell>
          <cell r="M518">
            <v>92.72727272727272</v>
          </cell>
        </row>
        <row r="519">
          <cell r="A519">
            <v>38</v>
          </cell>
          <cell r="M519">
            <v>92.857142857142861</v>
          </cell>
        </row>
        <row r="520">
          <cell r="A520">
            <v>39</v>
          </cell>
          <cell r="M520">
            <v>89.117647058823536</v>
          </cell>
        </row>
        <row r="521">
          <cell r="A521">
            <v>40</v>
          </cell>
          <cell r="M521">
            <v>81.502890173410407</v>
          </cell>
        </row>
        <row r="522">
          <cell r="A522">
            <v>1</v>
          </cell>
          <cell r="M522">
            <v>92.307692307692307</v>
          </cell>
        </row>
        <row r="523">
          <cell r="A523">
            <v>2</v>
          </cell>
          <cell r="M523">
            <v>86.842105263157904</v>
          </cell>
        </row>
        <row r="524">
          <cell r="A524">
            <v>3</v>
          </cell>
          <cell r="M524">
            <v>82.35294117647058</v>
          </cell>
        </row>
        <row r="525">
          <cell r="A525">
            <v>4</v>
          </cell>
          <cell r="M525">
            <v>86.486486486486484</v>
          </cell>
        </row>
        <row r="526">
          <cell r="A526">
            <v>5</v>
          </cell>
          <cell r="M526">
            <v>85</v>
          </cell>
        </row>
        <row r="527">
          <cell r="A527">
            <v>6</v>
          </cell>
          <cell r="M527">
            <v>91.17647058823529</v>
          </cell>
        </row>
        <row r="528">
          <cell r="A528">
            <v>7</v>
          </cell>
          <cell r="M528">
            <v>89.189189189189193</v>
          </cell>
        </row>
        <row r="529">
          <cell r="A529">
            <v>8</v>
          </cell>
          <cell r="M529">
            <v>81.578947368421055</v>
          </cell>
        </row>
        <row r="530">
          <cell r="A530">
            <v>9</v>
          </cell>
          <cell r="M530">
            <v>84.375</v>
          </cell>
        </row>
        <row r="531">
          <cell r="A531">
            <v>10</v>
          </cell>
          <cell r="M531">
            <v>87.5</v>
          </cell>
        </row>
        <row r="532">
          <cell r="A532">
            <v>11</v>
          </cell>
          <cell r="M532">
            <v>88.095238095238088</v>
          </cell>
        </row>
        <row r="533">
          <cell r="A533">
            <v>12</v>
          </cell>
          <cell r="M533">
            <v>89.285714285714292</v>
          </cell>
        </row>
        <row r="534">
          <cell r="A534">
            <v>13</v>
          </cell>
          <cell r="M534">
            <v>76</v>
          </cell>
        </row>
        <row r="535">
          <cell r="A535">
            <v>14</v>
          </cell>
          <cell r="M535">
            <v>95.454545454545453</v>
          </cell>
        </row>
        <row r="536">
          <cell r="A536">
            <v>15</v>
          </cell>
          <cell r="M536">
            <v>85.714285714285708</v>
          </cell>
        </row>
        <row r="537">
          <cell r="A537">
            <v>16</v>
          </cell>
          <cell r="M537">
            <v>92.307692307692307</v>
          </cell>
        </row>
        <row r="538">
          <cell r="A538">
            <v>17</v>
          </cell>
          <cell r="M538">
            <v>70.588235294117652</v>
          </cell>
        </row>
        <row r="539">
          <cell r="A539">
            <v>18</v>
          </cell>
          <cell r="M539">
            <v>77.142857142857153</v>
          </cell>
        </row>
        <row r="540">
          <cell r="A540">
            <v>19</v>
          </cell>
          <cell r="M540">
            <v>75.555555555555557</v>
          </cell>
        </row>
        <row r="541">
          <cell r="A541">
            <v>20</v>
          </cell>
          <cell r="M541">
            <v>75.609756097560975</v>
          </cell>
        </row>
        <row r="542">
          <cell r="A542">
            <v>21</v>
          </cell>
          <cell r="M542">
            <v>67.441860465116278</v>
          </cell>
        </row>
        <row r="543">
          <cell r="A543">
            <v>22</v>
          </cell>
          <cell r="M543">
            <v>60.869565217391312</v>
          </cell>
        </row>
        <row r="544">
          <cell r="A544">
            <v>23</v>
          </cell>
          <cell r="M544">
            <v>71.05263157894737</v>
          </cell>
        </row>
        <row r="545">
          <cell r="A545">
            <v>24</v>
          </cell>
          <cell r="M545">
            <v>72.727272727272734</v>
          </cell>
        </row>
        <row r="546">
          <cell r="A546">
            <v>25</v>
          </cell>
          <cell r="M546">
            <v>67.567567567567565</v>
          </cell>
        </row>
        <row r="547">
          <cell r="A547">
            <v>26</v>
          </cell>
          <cell r="M547">
            <v>72.727272727272734</v>
          </cell>
        </row>
        <row r="548">
          <cell r="A548">
            <v>27</v>
          </cell>
          <cell r="M548">
            <v>71.428571428571431</v>
          </cell>
        </row>
        <row r="549">
          <cell r="A549">
            <v>28</v>
          </cell>
          <cell r="M549">
            <v>79.411764705882348</v>
          </cell>
        </row>
        <row r="550">
          <cell r="A550">
            <v>29</v>
          </cell>
          <cell r="M550">
            <v>71.428571428571431</v>
          </cell>
        </row>
        <row r="551">
          <cell r="A551">
            <v>30</v>
          </cell>
          <cell r="M551">
            <v>60</v>
          </cell>
        </row>
        <row r="552">
          <cell r="A552">
            <v>31</v>
          </cell>
          <cell r="M552">
            <v>71.428571428571431</v>
          </cell>
        </row>
        <row r="553">
          <cell r="A553">
            <v>32</v>
          </cell>
          <cell r="M553">
            <v>55.555555555555557</v>
          </cell>
        </row>
        <row r="554">
          <cell r="A554">
            <v>33</v>
          </cell>
          <cell r="M554">
            <v>66.666666666666657</v>
          </cell>
        </row>
        <row r="555">
          <cell r="A555">
            <v>34</v>
          </cell>
          <cell r="M555">
            <v>77.5</v>
          </cell>
        </row>
        <row r="556">
          <cell r="A556">
            <v>35</v>
          </cell>
          <cell r="M556">
            <v>92</v>
          </cell>
        </row>
        <row r="557">
          <cell r="A557">
            <v>36</v>
          </cell>
          <cell r="M557">
            <v>84.210526315789465</v>
          </cell>
        </row>
        <row r="558">
          <cell r="A558">
            <v>37</v>
          </cell>
          <cell r="M558">
            <v>69.767441860465112</v>
          </cell>
        </row>
        <row r="559">
          <cell r="A559">
            <v>38</v>
          </cell>
          <cell r="M559">
            <v>83.333333333333343</v>
          </cell>
        </row>
        <row r="560">
          <cell r="A560">
            <v>39</v>
          </cell>
          <cell r="M560">
            <v>68.75</v>
          </cell>
        </row>
        <row r="561">
          <cell r="A561">
            <v>40</v>
          </cell>
          <cell r="M561">
            <v>58.139534883720934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E23E-B850-4F84-A630-D06600903D1C}">
  <dimension ref="A1:I561"/>
  <sheetViews>
    <sheetView workbookViewId="0">
      <selection activeCell="I13" sqref="I13"/>
    </sheetView>
  </sheetViews>
  <sheetFormatPr defaultRowHeight="14.5" x14ac:dyDescent="0.35"/>
  <cols>
    <col min="1" max="1" width="6.1796875" bestFit="1" customWidth="1"/>
    <col min="2" max="2" width="4.81640625" bestFit="1" customWidth="1"/>
    <col min="4" max="5" width="0" hidden="1" customWidth="1"/>
    <col min="6" max="6" width="9.7265625" bestFit="1" customWidth="1"/>
    <col min="7" max="7" width="31.7265625" bestFit="1" customWidth="1"/>
    <col min="8" max="8" width="27.36328125" style="4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</row>
    <row r="2" spans="1:9" x14ac:dyDescent="0.35">
      <c r="A2">
        <v>1</v>
      </c>
      <c r="B2">
        <v>2012</v>
      </c>
      <c r="C2">
        <v>1</v>
      </c>
      <c r="D2" t="s">
        <v>8</v>
      </c>
      <c r="E2" t="s">
        <v>9</v>
      </c>
      <c r="F2" t="s">
        <v>77</v>
      </c>
      <c r="G2" t="s">
        <v>76</v>
      </c>
      <c r="H2" s="4">
        <v>97.041420118343197</v>
      </c>
    </row>
    <row r="3" spans="1:9" x14ac:dyDescent="0.35">
      <c r="A3">
        <v>2</v>
      </c>
      <c r="B3">
        <v>2012</v>
      </c>
      <c r="C3">
        <v>2</v>
      </c>
      <c r="D3" t="s">
        <v>8</v>
      </c>
      <c r="E3" t="s">
        <v>9</v>
      </c>
      <c r="F3" t="s">
        <v>77</v>
      </c>
      <c r="G3" t="s">
        <v>76</v>
      </c>
      <c r="H3" s="4">
        <v>97.044334975369466</v>
      </c>
    </row>
    <row r="4" spans="1:9" x14ac:dyDescent="0.35">
      <c r="A4">
        <v>3</v>
      </c>
      <c r="B4">
        <v>2012</v>
      </c>
      <c r="C4">
        <v>3</v>
      </c>
      <c r="D4" t="s">
        <v>8</v>
      </c>
      <c r="E4" t="s">
        <v>9</v>
      </c>
      <c r="F4" t="s">
        <v>77</v>
      </c>
      <c r="G4" t="s">
        <v>76</v>
      </c>
      <c r="H4" s="4">
        <v>97.014925373134332</v>
      </c>
    </row>
    <row r="5" spans="1:9" x14ac:dyDescent="0.35">
      <c r="A5">
        <v>4</v>
      </c>
      <c r="B5">
        <v>2012</v>
      </c>
      <c r="C5">
        <v>4</v>
      </c>
      <c r="D5" t="s">
        <v>8</v>
      </c>
      <c r="E5" t="s">
        <v>9</v>
      </c>
      <c r="F5" t="s">
        <v>77</v>
      </c>
      <c r="G5" t="s">
        <v>76</v>
      </c>
      <c r="H5" s="4">
        <v>96.36363636363636</v>
      </c>
    </row>
    <row r="6" spans="1:9" x14ac:dyDescent="0.35">
      <c r="A6">
        <v>5</v>
      </c>
      <c r="B6">
        <v>2013</v>
      </c>
      <c r="C6">
        <v>1</v>
      </c>
      <c r="D6" t="s">
        <v>8</v>
      </c>
      <c r="E6" t="s">
        <v>9</v>
      </c>
      <c r="F6" t="s">
        <v>77</v>
      </c>
      <c r="G6" t="s">
        <v>76</v>
      </c>
      <c r="H6" s="4">
        <v>98.275862068965509</v>
      </c>
    </row>
    <row r="7" spans="1:9" x14ac:dyDescent="0.35">
      <c r="A7">
        <v>6</v>
      </c>
      <c r="B7">
        <v>2013</v>
      </c>
      <c r="C7">
        <v>2</v>
      </c>
      <c r="D7" t="s">
        <v>8</v>
      </c>
      <c r="E7" t="s">
        <v>9</v>
      </c>
      <c r="F7" t="s">
        <v>77</v>
      </c>
      <c r="G7" t="s">
        <v>76</v>
      </c>
      <c r="H7" s="4">
        <v>96.934865900383144</v>
      </c>
    </row>
    <row r="8" spans="1:9" x14ac:dyDescent="0.35">
      <c r="A8">
        <v>7</v>
      </c>
      <c r="B8">
        <v>2013</v>
      </c>
      <c r="C8">
        <v>3</v>
      </c>
      <c r="D8" t="s">
        <v>8</v>
      </c>
      <c r="E8" t="s">
        <v>9</v>
      </c>
      <c r="F8" t="s">
        <v>77</v>
      </c>
      <c r="G8" t="s">
        <v>76</v>
      </c>
      <c r="H8" s="4">
        <v>97.083333333333329</v>
      </c>
    </row>
    <row r="9" spans="1:9" x14ac:dyDescent="0.35">
      <c r="A9">
        <v>8</v>
      </c>
      <c r="B9">
        <v>2013</v>
      </c>
      <c r="C9">
        <v>4</v>
      </c>
      <c r="D9" t="s">
        <v>8</v>
      </c>
      <c r="E9" t="s">
        <v>9</v>
      </c>
      <c r="F9" t="s">
        <v>77</v>
      </c>
      <c r="G9" t="s">
        <v>76</v>
      </c>
      <c r="H9" s="4">
        <v>98</v>
      </c>
    </row>
    <row r="10" spans="1:9" x14ac:dyDescent="0.35">
      <c r="A10">
        <v>9</v>
      </c>
      <c r="B10">
        <v>2014</v>
      </c>
      <c r="C10">
        <v>1</v>
      </c>
      <c r="D10" t="s">
        <v>8</v>
      </c>
      <c r="E10" t="s">
        <v>9</v>
      </c>
      <c r="F10" t="s">
        <v>77</v>
      </c>
      <c r="G10" t="s">
        <v>76</v>
      </c>
      <c r="H10" s="4">
        <v>98.578199052132703</v>
      </c>
    </row>
    <row r="11" spans="1:9" x14ac:dyDescent="0.35">
      <c r="A11">
        <v>10</v>
      </c>
      <c r="B11">
        <v>2014</v>
      </c>
      <c r="C11">
        <v>2</v>
      </c>
      <c r="D11" t="s">
        <v>8</v>
      </c>
      <c r="E11" t="s">
        <v>9</v>
      </c>
      <c r="F11" t="s">
        <v>77</v>
      </c>
      <c r="G11" t="s">
        <v>76</v>
      </c>
      <c r="H11" s="4">
        <v>95.594713656387668</v>
      </c>
    </row>
    <row r="12" spans="1:9" x14ac:dyDescent="0.35">
      <c r="A12">
        <v>11</v>
      </c>
      <c r="B12">
        <v>2014</v>
      </c>
      <c r="C12">
        <v>3</v>
      </c>
      <c r="D12" t="s">
        <v>8</v>
      </c>
      <c r="E12" t="s">
        <v>9</v>
      </c>
      <c r="F12" t="s">
        <v>77</v>
      </c>
      <c r="G12" t="s">
        <v>76</v>
      </c>
      <c r="H12" s="4">
        <v>97.468354430379748</v>
      </c>
    </row>
    <row r="13" spans="1:9" x14ac:dyDescent="0.35">
      <c r="A13">
        <v>12</v>
      </c>
      <c r="B13">
        <v>2014</v>
      </c>
      <c r="C13">
        <v>4</v>
      </c>
      <c r="D13" t="s">
        <v>8</v>
      </c>
      <c r="E13" t="s">
        <v>9</v>
      </c>
      <c r="F13" t="s">
        <v>77</v>
      </c>
      <c r="G13" t="s">
        <v>76</v>
      </c>
      <c r="H13" s="4">
        <v>95.689655172413794</v>
      </c>
    </row>
    <row r="14" spans="1:9" x14ac:dyDescent="0.35">
      <c r="A14">
        <v>13</v>
      </c>
      <c r="B14">
        <v>2015</v>
      </c>
      <c r="C14">
        <v>1</v>
      </c>
      <c r="D14" t="s">
        <v>8</v>
      </c>
      <c r="E14" t="s">
        <v>9</v>
      </c>
      <c r="F14" t="s">
        <v>77</v>
      </c>
      <c r="G14" t="s">
        <v>76</v>
      </c>
      <c r="H14" s="4">
        <v>94.560669456066947</v>
      </c>
    </row>
    <row r="15" spans="1:9" x14ac:dyDescent="0.35">
      <c r="A15">
        <v>14</v>
      </c>
      <c r="B15">
        <v>2015</v>
      </c>
      <c r="C15">
        <v>2</v>
      </c>
      <c r="D15" t="s">
        <v>8</v>
      </c>
      <c r="E15" t="s">
        <v>9</v>
      </c>
      <c r="F15" t="s">
        <v>77</v>
      </c>
      <c r="G15" t="s">
        <v>76</v>
      </c>
      <c r="H15" s="4">
        <v>97.244094488188978</v>
      </c>
    </row>
    <row r="16" spans="1:9" x14ac:dyDescent="0.35">
      <c r="A16">
        <v>15</v>
      </c>
      <c r="B16">
        <v>2015</v>
      </c>
      <c r="C16">
        <v>3</v>
      </c>
      <c r="D16" t="s">
        <v>8</v>
      </c>
      <c r="E16" t="s">
        <v>9</v>
      </c>
      <c r="F16" t="s">
        <v>77</v>
      </c>
      <c r="G16" t="s">
        <v>76</v>
      </c>
      <c r="H16" s="4">
        <v>96.551724137931032</v>
      </c>
    </row>
    <row r="17" spans="1:8" x14ac:dyDescent="0.35">
      <c r="A17">
        <v>16</v>
      </c>
      <c r="B17">
        <v>2015</v>
      </c>
      <c r="C17">
        <v>4</v>
      </c>
      <c r="D17" t="s">
        <v>8</v>
      </c>
      <c r="E17" t="s">
        <v>9</v>
      </c>
      <c r="F17" t="s">
        <v>77</v>
      </c>
      <c r="G17" t="s">
        <v>76</v>
      </c>
      <c r="H17" s="4">
        <v>95.594713656387668</v>
      </c>
    </row>
    <row r="18" spans="1:8" x14ac:dyDescent="0.35">
      <c r="A18">
        <v>17</v>
      </c>
      <c r="B18">
        <v>2016</v>
      </c>
      <c r="C18">
        <v>1</v>
      </c>
      <c r="D18" t="s">
        <v>8</v>
      </c>
      <c r="E18" t="s">
        <v>9</v>
      </c>
      <c r="F18" t="s">
        <v>77</v>
      </c>
      <c r="G18" t="s">
        <v>76</v>
      </c>
      <c r="H18" s="4">
        <v>93.689320388349515</v>
      </c>
    </row>
    <row r="19" spans="1:8" x14ac:dyDescent="0.35">
      <c r="A19">
        <v>18</v>
      </c>
      <c r="B19">
        <v>2016</v>
      </c>
      <c r="C19">
        <v>2</v>
      </c>
      <c r="D19" t="s">
        <v>8</v>
      </c>
      <c r="E19" t="s">
        <v>9</v>
      </c>
      <c r="F19" t="s">
        <v>77</v>
      </c>
      <c r="G19" t="s">
        <v>76</v>
      </c>
      <c r="H19" s="4">
        <v>93.055555555555557</v>
      </c>
    </row>
    <row r="20" spans="1:8" x14ac:dyDescent="0.35">
      <c r="A20">
        <v>19</v>
      </c>
      <c r="B20">
        <v>2016</v>
      </c>
      <c r="C20">
        <v>3</v>
      </c>
      <c r="D20" t="s">
        <v>8</v>
      </c>
      <c r="E20" t="s">
        <v>9</v>
      </c>
      <c r="F20" t="s">
        <v>77</v>
      </c>
      <c r="G20" t="s">
        <v>76</v>
      </c>
      <c r="H20" s="4">
        <v>95.614035087719301</v>
      </c>
    </row>
    <row r="21" spans="1:8" x14ac:dyDescent="0.35">
      <c r="A21">
        <v>20</v>
      </c>
      <c r="B21">
        <v>2016</v>
      </c>
      <c r="C21">
        <v>4</v>
      </c>
      <c r="D21" t="s">
        <v>8</v>
      </c>
      <c r="E21" t="s">
        <v>9</v>
      </c>
      <c r="F21" t="s">
        <v>77</v>
      </c>
      <c r="G21" t="s">
        <v>76</v>
      </c>
      <c r="H21" s="4">
        <v>95.319148936170222</v>
      </c>
    </row>
    <row r="22" spans="1:8" x14ac:dyDescent="0.35">
      <c r="A22">
        <v>21</v>
      </c>
      <c r="B22">
        <v>2017</v>
      </c>
      <c r="C22">
        <v>1</v>
      </c>
      <c r="D22" t="s">
        <v>8</v>
      </c>
      <c r="E22" t="s">
        <v>9</v>
      </c>
      <c r="F22" t="s">
        <v>77</v>
      </c>
      <c r="G22" t="s">
        <v>76</v>
      </c>
      <c r="H22" s="4">
        <v>95.794392523364493</v>
      </c>
    </row>
    <row r="23" spans="1:8" x14ac:dyDescent="0.35">
      <c r="A23">
        <v>22</v>
      </c>
      <c r="B23">
        <v>2017</v>
      </c>
      <c r="C23">
        <v>2</v>
      </c>
      <c r="D23" t="s">
        <v>8</v>
      </c>
      <c r="E23" t="s">
        <v>9</v>
      </c>
      <c r="F23" t="s">
        <v>77</v>
      </c>
      <c r="G23" t="s">
        <v>76</v>
      </c>
      <c r="H23" s="4">
        <v>94.9579831932773</v>
      </c>
    </row>
    <row r="24" spans="1:8" x14ac:dyDescent="0.35">
      <c r="A24">
        <v>23</v>
      </c>
      <c r="B24">
        <v>2017</v>
      </c>
      <c r="C24">
        <v>3</v>
      </c>
      <c r="D24" t="s">
        <v>8</v>
      </c>
      <c r="E24" t="s">
        <v>9</v>
      </c>
      <c r="F24" t="s">
        <v>77</v>
      </c>
      <c r="G24" t="s">
        <v>76</v>
      </c>
      <c r="H24" s="4">
        <v>92.96875</v>
      </c>
    </row>
    <row r="25" spans="1:8" x14ac:dyDescent="0.35">
      <c r="A25">
        <v>24</v>
      </c>
      <c r="B25">
        <v>2017</v>
      </c>
      <c r="C25">
        <v>4</v>
      </c>
      <c r="D25" t="s">
        <v>8</v>
      </c>
      <c r="E25" t="s">
        <v>9</v>
      </c>
      <c r="F25" t="s">
        <v>77</v>
      </c>
      <c r="G25" t="s">
        <v>76</v>
      </c>
      <c r="H25" s="4">
        <v>96.399999999999991</v>
      </c>
    </row>
    <row r="26" spans="1:8" x14ac:dyDescent="0.35">
      <c r="A26">
        <v>25</v>
      </c>
      <c r="B26">
        <v>2018</v>
      </c>
      <c r="C26">
        <v>1</v>
      </c>
      <c r="D26" t="s">
        <v>8</v>
      </c>
      <c r="E26" t="s">
        <v>9</v>
      </c>
      <c r="F26" t="s">
        <v>77</v>
      </c>
      <c r="G26" t="s">
        <v>76</v>
      </c>
      <c r="H26" s="4">
        <v>92.165898617511516</v>
      </c>
    </row>
    <row r="27" spans="1:8" x14ac:dyDescent="0.35">
      <c r="A27">
        <v>26</v>
      </c>
      <c r="B27">
        <v>2018</v>
      </c>
      <c r="C27">
        <v>2</v>
      </c>
      <c r="D27" t="s">
        <v>8</v>
      </c>
      <c r="E27" t="s">
        <v>9</v>
      </c>
      <c r="F27" t="s">
        <v>77</v>
      </c>
      <c r="G27" t="s">
        <v>76</v>
      </c>
      <c r="H27" s="4">
        <v>91.363636363636374</v>
      </c>
    </row>
    <row r="28" spans="1:8" x14ac:dyDescent="0.35">
      <c r="A28">
        <v>27</v>
      </c>
      <c r="B28">
        <v>2018</v>
      </c>
      <c r="C28">
        <v>3</v>
      </c>
      <c r="D28" t="s">
        <v>8</v>
      </c>
      <c r="E28" t="s">
        <v>9</v>
      </c>
      <c r="F28" t="s">
        <v>77</v>
      </c>
      <c r="G28" t="s">
        <v>76</v>
      </c>
      <c r="H28" s="4">
        <v>88.65546218487394</v>
      </c>
    </row>
    <row r="29" spans="1:8" x14ac:dyDescent="0.35">
      <c r="A29">
        <v>28</v>
      </c>
      <c r="B29">
        <v>2018</v>
      </c>
      <c r="C29">
        <v>4</v>
      </c>
      <c r="D29" t="s">
        <v>8</v>
      </c>
      <c r="E29" t="s">
        <v>9</v>
      </c>
      <c r="F29" t="s">
        <v>77</v>
      </c>
      <c r="G29" t="s">
        <v>76</v>
      </c>
      <c r="H29" s="4">
        <v>86.715867158671585</v>
      </c>
    </row>
    <row r="30" spans="1:8" x14ac:dyDescent="0.35">
      <c r="A30">
        <v>29</v>
      </c>
      <c r="B30">
        <v>2019</v>
      </c>
      <c r="C30">
        <v>1</v>
      </c>
      <c r="D30" t="s">
        <v>8</v>
      </c>
      <c r="E30" t="s">
        <v>9</v>
      </c>
      <c r="F30" t="s">
        <v>77</v>
      </c>
      <c r="G30" t="s">
        <v>76</v>
      </c>
      <c r="H30" s="4">
        <v>84.549356223175963</v>
      </c>
    </row>
    <row r="31" spans="1:8" x14ac:dyDescent="0.35">
      <c r="A31">
        <v>30</v>
      </c>
      <c r="B31">
        <v>2019</v>
      </c>
      <c r="C31">
        <v>2</v>
      </c>
      <c r="D31" t="s">
        <v>8</v>
      </c>
      <c r="E31" t="s">
        <v>9</v>
      </c>
      <c r="F31" t="s">
        <v>77</v>
      </c>
      <c r="G31" t="s">
        <v>76</v>
      </c>
      <c r="H31" s="4">
        <v>83.206106870229007</v>
      </c>
    </row>
    <row r="32" spans="1:8" x14ac:dyDescent="0.35">
      <c r="A32">
        <v>31</v>
      </c>
      <c r="B32">
        <v>2019</v>
      </c>
      <c r="C32">
        <v>3</v>
      </c>
      <c r="D32" t="s">
        <v>8</v>
      </c>
      <c r="E32" t="s">
        <v>9</v>
      </c>
      <c r="F32" t="s">
        <v>77</v>
      </c>
      <c r="G32" t="s">
        <v>76</v>
      </c>
      <c r="H32" s="4">
        <v>88.721804511278194</v>
      </c>
    </row>
    <row r="33" spans="1:8" x14ac:dyDescent="0.35">
      <c r="A33">
        <v>32</v>
      </c>
      <c r="B33">
        <v>2019</v>
      </c>
      <c r="C33">
        <v>4</v>
      </c>
      <c r="D33" t="s">
        <v>8</v>
      </c>
      <c r="E33" t="s">
        <v>9</v>
      </c>
      <c r="F33" t="s">
        <v>77</v>
      </c>
      <c r="G33" t="s">
        <v>76</v>
      </c>
      <c r="H33" s="4">
        <v>89.565217391304358</v>
      </c>
    </row>
    <row r="34" spans="1:8" x14ac:dyDescent="0.35">
      <c r="A34">
        <v>33</v>
      </c>
      <c r="B34">
        <v>2020</v>
      </c>
      <c r="C34">
        <v>1</v>
      </c>
      <c r="D34" t="s">
        <v>8</v>
      </c>
      <c r="E34" t="s">
        <v>9</v>
      </c>
      <c r="F34" t="s">
        <v>77</v>
      </c>
      <c r="G34" t="s">
        <v>76</v>
      </c>
      <c r="H34" s="4">
        <v>93.155893536121667</v>
      </c>
    </row>
    <row r="35" spans="1:8" x14ac:dyDescent="0.35">
      <c r="A35">
        <v>34</v>
      </c>
      <c r="B35">
        <v>2020</v>
      </c>
      <c r="C35">
        <v>2</v>
      </c>
      <c r="D35" t="s">
        <v>8</v>
      </c>
      <c r="E35" t="s">
        <v>9</v>
      </c>
      <c r="F35" t="s">
        <v>77</v>
      </c>
      <c r="G35" t="s">
        <v>76</v>
      </c>
      <c r="H35" s="4">
        <v>94.642857142857139</v>
      </c>
    </row>
    <row r="36" spans="1:8" x14ac:dyDescent="0.35">
      <c r="A36">
        <v>35</v>
      </c>
      <c r="B36">
        <v>2020</v>
      </c>
      <c r="C36">
        <v>3</v>
      </c>
      <c r="D36" t="s">
        <v>8</v>
      </c>
      <c r="E36" t="s">
        <v>9</v>
      </c>
      <c r="F36" t="s">
        <v>77</v>
      </c>
      <c r="G36" t="s">
        <v>76</v>
      </c>
      <c r="H36" s="4">
        <v>94.857142857142861</v>
      </c>
    </row>
    <row r="37" spans="1:8" x14ac:dyDescent="0.35">
      <c r="A37">
        <v>36</v>
      </c>
      <c r="B37">
        <v>2020</v>
      </c>
      <c r="C37">
        <v>4</v>
      </c>
      <c r="D37" t="s">
        <v>8</v>
      </c>
      <c r="E37" t="s">
        <v>9</v>
      </c>
      <c r="F37" t="s">
        <v>77</v>
      </c>
      <c r="G37" t="s">
        <v>76</v>
      </c>
      <c r="H37" s="4">
        <v>85.777777777777771</v>
      </c>
    </row>
    <row r="38" spans="1:8" x14ac:dyDescent="0.35">
      <c r="A38">
        <v>37</v>
      </c>
      <c r="B38">
        <v>2021</v>
      </c>
      <c r="C38">
        <v>1</v>
      </c>
      <c r="D38" t="s">
        <v>8</v>
      </c>
      <c r="E38" t="s">
        <v>9</v>
      </c>
      <c r="F38" t="s">
        <v>77</v>
      </c>
      <c r="G38" t="s">
        <v>76</v>
      </c>
      <c r="H38" s="4">
        <v>79.555555555555557</v>
      </c>
    </row>
    <row r="39" spans="1:8" x14ac:dyDescent="0.35">
      <c r="A39">
        <v>38</v>
      </c>
      <c r="B39">
        <v>2021</v>
      </c>
      <c r="C39">
        <v>2</v>
      </c>
      <c r="D39" t="s">
        <v>8</v>
      </c>
      <c r="E39" t="s">
        <v>9</v>
      </c>
      <c r="F39" t="s">
        <v>77</v>
      </c>
      <c r="G39" t="s">
        <v>76</v>
      </c>
      <c r="H39" s="4">
        <v>88.405797101449281</v>
      </c>
    </row>
    <row r="40" spans="1:8" x14ac:dyDescent="0.35">
      <c r="A40">
        <v>39</v>
      </c>
      <c r="B40">
        <v>2021</v>
      </c>
      <c r="C40">
        <v>3</v>
      </c>
      <c r="D40" t="s">
        <v>8</v>
      </c>
      <c r="E40" t="s">
        <v>9</v>
      </c>
      <c r="F40" t="s">
        <v>77</v>
      </c>
      <c r="G40" t="s">
        <v>76</v>
      </c>
      <c r="H40" s="4">
        <v>85.407725321888421</v>
      </c>
    </row>
    <row r="41" spans="1:8" x14ac:dyDescent="0.35">
      <c r="A41">
        <v>40</v>
      </c>
      <c r="B41">
        <v>2021</v>
      </c>
      <c r="C41">
        <v>4</v>
      </c>
      <c r="D41" t="s">
        <v>8</v>
      </c>
      <c r="E41" t="s">
        <v>9</v>
      </c>
      <c r="F41" t="s">
        <v>77</v>
      </c>
      <c r="G41" t="s">
        <v>76</v>
      </c>
      <c r="H41" s="4">
        <v>77.642276422764226</v>
      </c>
    </row>
    <row r="42" spans="1:8" x14ac:dyDescent="0.35">
      <c r="A42">
        <v>1</v>
      </c>
      <c r="B42">
        <v>2012</v>
      </c>
      <c r="C42">
        <v>1</v>
      </c>
      <c r="D42" t="s">
        <v>8</v>
      </c>
      <c r="E42" t="s">
        <v>9</v>
      </c>
      <c r="F42" t="s">
        <v>75</v>
      </c>
      <c r="G42" t="s">
        <v>74</v>
      </c>
      <c r="H42" s="4">
        <v>100</v>
      </c>
    </row>
    <row r="43" spans="1:8" x14ac:dyDescent="0.35">
      <c r="A43">
        <v>2</v>
      </c>
      <c r="B43">
        <v>2012</v>
      </c>
      <c r="C43">
        <v>2</v>
      </c>
      <c r="D43" t="s">
        <v>8</v>
      </c>
      <c r="E43" t="s">
        <v>9</v>
      </c>
      <c r="F43" t="s">
        <v>75</v>
      </c>
      <c r="G43" t="s">
        <v>74</v>
      </c>
      <c r="H43" s="4">
        <v>100</v>
      </c>
    </row>
    <row r="44" spans="1:8" x14ac:dyDescent="0.35">
      <c r="A44">
        <v>3</v>
      </c>
      <c r="B44">
        <v>2012</v>
      </c>
      <c r="C44">
        <v>3</v>
      </c>
      <c r="D44" t="s">
        <v>8</v>
      </c>
      <c r="E44" t="s">
        <v>9</v>
      </c>
      <c r="F44" t="s">
        <v>75</v>
      </c>
      <c r="G44" t="s">
        <v>74</v>
      </c>
      <c r="H44" s="4">
        <v>100</v>
      </c>
    </row>
    <row r="45" spans="1:8" x14ac:dyDescent="0.35">
      <c r="A45">
        <v>4</v>
      </c>
      <c r="B45">
        <v>2012</v>
      </c>
      <c r="C45">
        <v>4</v>
      </c>
      <c r="D45" t="s">
        <v>8</v>
      </c>
      <c r="E45" t="s">
        <v>9</v>
      </c>
      <c r="F45" t="s">
        <v>75</v>
      </c>
      <c r="G45" t="s">
        <v>74</v>
      </c>
      <c r="H45" s="4">
        <v>100</v>
      </c>
    </row>
    <row r="46" spans="1:8" x14ac:dyDescent="0.35">
      <c r="A46">
        <v>5</v>
      </c>
      <c r="B46">
        <v>2013</v>
      </c>
      <c r="C46">
        <v>1</v>
      </c>
      <c r="D46" t="s">
        <v>8</v>
      </c>
      <c r="E46" t="s">
        <v>9</v>
      </c>
      <c r="F46" t="s">
        <v>75</v>
      </c>
      <c r="G46" t="s">
        <v>74</v>
      </c>
      <c r="H46" s="4">
        <v>98.305084745762713</v>
      </c>
    </row>
    <row r="47" spans="1:8" x14ac:dyDescent="0.35">
      <c r="A47">
        <v>6</v>
      </c>
      <c r="B47">
        <v>2013</v>
      </c>
      <c r="C47">
        <v>2</v>
      </c>
      <c r="D47" t="s">
        <v>8</v>
      </c>
      <c r="E47" t="s">
        <v>9</v>
      </c>
      <c r="F47" t="s">
        <v>75</v>
      </c>
      <c r="G47" t="s">
        <v>74</v>
      </c>
      <c r="H47" s="4">
        <v>93.75</v>
      </c>
    </row>
    <row r="48" spans="1:8" x14ac:dyDescent="0.35">
      <c r="A48">
        <v>7</v>
      </c>
      <c r="B48">
        <v>2013</v>
      </c>
      <c r="C48">
        <v>3</v>
      </c>
      <c r="D48" t="s">
        <v>8</v>
      </c>
      <c r="E48" t="s">
        <v>9</v>
      </c>
      <c r="F48" t="s">
        <v>75</v>
      </c>
      <c r="G48" t="s">
        <v>74</v>
      </c>
      <c r="H48" s="4">
        <v>97.142857142857139</v>
      </c>
    </row>
    <row r="49" spans="1:8" x14ac:dyDescent="0.35">
      <c r="A49">
        <v>8</v>
      </c>
      <c r="B49">
        <v>2013</v>
      </c>
      <c r="C49">
        <v>4</v>
      </c>
      <c r="D49" t="s">
        <v>8</v>
      </c>
      <c r="E49" t="s">
        <v>9</v>
      </c>
      <c r="F49" t="s">
        <v>75</v>
      </c>
      <c r="G49" t="s">
        <v>74</v>
      </c>
      <c r="H49" s="4">
        <v>98.591549295774655</v>
      </c>
    </row>
    <row r="50" spans="1:8" x14ac:dyDescent="0.35">
      <c r="A50">
        <v>9</v>
      </c>
      <c r="B50">
        <v>2014</v>
      </c>
      <c r="C50">
        <v>1</v>
      </c>
      <c r="D50" t="s">
        <v>8</v>
      </c>
      <c r="E50" t="s">
        <v>9</v>
      </c>
      <c r="F50" t="s">
        <v>75</v>
      </c>
      <c r="G50" t="s">
        <v>74</v>
      </c>
      <c r="H50" s="4">
        <v>97.674418604651152</v>
      </c>
    </row>
    <row r="51" spans="1:8" x14ac:dyDescent="0.35">
      <c r="A51">
        <v>10</v>
      </c>
      <c r="B51">
        <v>2014</v>
      </c>
      <c r="C51">
        <v>2</v>
      </c>
      <c r="D51" t="s">
        <v>8</v>
      </c>
      <c r="E51" t="s">
        <v>9</v>
      </c>
      <c r="F51" t="s">
        <v>75</v>
      </c>
      <c r="G51" t="s">
        <v>74</v>
      </c>
      <c r="H51" s="4">
        <v>100</v>
      </c>
    </row>
    <row r="52" spans="1:8" x14ac:dyDescent="0.35">
      <c r="A52">
        <v>11</v>
      </c>
      <c r="B52">
        <v>2014</v>
      </c>
      <c r="C52">
        <v>3</v>
      </c>
      <c r="D52" t="s">
        <v>8</v>
      </c>
      <c r="E52" t="s">
        <v>9</v>
      </c>
      <c r="F52" t="s">
        <v>75</v>
      </c>
      <c r="G52" t="s">
        <v>74</v>
      </c>
      <c r="H52" s="4">
        <v>97.916666666666657</v>
      </c>
    </row>
    <row r="53" spans="1:8" x14ac:dyDescent="0.35">
      <c r="A53">
        <v>12</v>
      </c>
      <c r="B53">
        <v>2014</v>
      </c>
      <c r="C53">
        <v>4</v>
      </c>
      <c r="D53" t="s">
        <v>8</v>
      </c>
      <c r="E53" t="s">
        <v>9</v>
      </c>
      <c r="F53" t="s">
        <v>75</v>
      </c>
      <c r="G53" t="s">
        <v>74</v>
      </c>
      <c r="H53" s="4">
        <v>100</v>
      </c>
    </row>
    <row r="54" spans="1:8" x14ac:dyDescent="0.35">
      <c r="A54">
        <v>13</v>
      </c>
      <c r="B54">
        <v>2015</v>
      </c>
      <c r="C54">
        <v>1</v>
      </c>
      <c r="D54" t="s">
        <v>8</v>
      </c>
      <c r="E54" t="s">
        <v>9</v>
      </c>
      <c r="F54" t="s">
        <v>75</v>
      </c>
      <c r="G54" t="s">
        <v>74</v>
      </c>
      <c r="H54" s="4">
        <v>96.610169491525426</v>
      </c>
    </row>
    <row r="55" spans="1:8" x14ac:dyDescent="0.35">
      <c r="A55">
        <v>14</v>
      </c>
      <c r="B55">
        <v>2015</v>
      </c>
      <c r="C55">
        <v>2</v>
      </c>
      <c r="D55" t="s">
        <v>8</v>
      </c>
      <c r="E55" t="s">
        <v>9</v>
      </c>
      <c r="F55" t="s">
        <v>75</v>
      </c>
      <c r="G55" t="s">
        <v>74</v>
      </c>
      <c r="H55" s="4">
        <v>100</v>
      </c>
    </row>
    <row r="56" spans="1:8" x14ac:dyDescent="0.35">
      <c r="A56">
        <v>15</v>
      </c>
      <c r="B56">
        <v>2015</v>
      </c>
      <c r="C56">
        <v>3</v>
      </c>
      <c r="D56" t="s">
        <v>8</v>
      </c>
      <c r="E56" t="s">
        <v>9</v>
      </c>
      <c r="F56" t="s">
        <v>75</v>
      </c>
      <c r="G56" t="s">
        <v>74</v>
      </c>
      <c r="H56" s="4">
        <v>100</v>
      </c>
    </row>
    <row r="57" spans="1:8" x14ac:dyDescent="0.35">
      <c r="A57">
        <v>16</v>
      </c>
      <c r="B57">
        <v>2015</v>
      </c>
      <c r="C57">
        <v>4</v>
      </c>
      <c r="D57" t="s">
        <v>8</v>
      </c>
      <c r="E57" t="s">
        <v>9</v>
      </c>
      <c r="F57" t="s">
        <v>75</v>
      </c>
      <c r="G57" t="s">
        <v>74</v>
      </c>
      <c r="H57" s="4">
        <v>100</v>
      </c>
    </row>
    <row r="58" spans="1:8" x14ac:dyDescent="0.35">
      <c r="A58">
        <v>17</v>
      </c>
      <c r="B58">
        <v>2016</v>
      </c>
      <c r="C58">
        <v>1</v>
      </c>
      <c r="D58" t="s">
        <v>8</v>
      </c>
      <c r="E58" t="s">
        <v>9</v>
      </c>
      <c r="F58" t="s">
        <v>75</v>
      </c>
      <c r="G58" t="s">
        <v>74</v>
      </c>
      <c r="H58" s="4">
        <v>100</v>
      </c>
    </row>
    <row r="59" spans="1:8" x14ac:dyDescent="0.35">
      <c r="A59">
        <v>18</v>
      </c>
      <c r="B59">
        <v>2016</v>
      </c>
      <c r="C59">
        <v>2</v>
      </c>
      <c r="D59" t="s">
        <v>8</v>
      </c>
      <c r="E59" t="s">
        <v>9</v>
      </c>
      <c r="F59" t="s">
        <v>75</v>
      </c>
      <c r="G59" t="s">
        <v>74</v>
      </c>
      <c r="H59" s="4">
        <v>100</v>
      </c>
    </row>
    <row r="60" spans="1:8" x14ac:dyDescent="0.35">
      <c r="A60">
        <v>19</v>
      </c>
      <c r="B60">
        <v>2016</v>
      </c>
      <c r="C60">
        <v>3</v>
      </c>
      <c r="D60" t="s">
        <v>8</v>
      </c>
      <c r="E60" t="s">
        <v>9</v>
      </c>
      <c r="F60" t="s">
        <v>75</v>
      </c>
      <c r="G60" t="s">
        <v>74</v>
      </c>
      <c r="H60" s="4">
        <v>100</v>
      </c>
    </row>
    <row r="61" spans="1:8" x14ac:dyDescent="0.35">
      <c r="A61">
        <v>20</v>
      </c>
      <c r="B61">
        <v>2016</v>
      </c>
      <c r="C61">
        <v>4</v>
      </c>
      <c r="D61" t="s">
        <v>8</v>
      </c>
      <c r="E61" t="s">
        <v>9</v>
      </c>
      <c r="F61" t="s">
        <v>75</v>
      </c>
      <c r="G61" t="s">
        <v>74</v>
      </c>
      <c r="H61" s="4">
        <v>98.4375</v>
      </c>
    </row>
    <row r="62" spans="1:8" x14ac:dyDescent="0.35">
      <c r="A62">
        <v>21</v>
      </c>
      <c r="B62">
        <v>2017</v>
      </c>
      <c r="C62">
        <v>1</v>
      </c>
      <c r="D62" t="s">
        <v>8</v>
      </c>
      <c r="E62" t="s">
        <v>9</v>
      </c>
      <c r="F62" t="s">
        <v>75</v>
      </c>
      <c r="G62" t="s">
        <v>74</v>
      </c>
      <c r="H62" s="4">
        <v>98.550724637681171</v>
      </c>
    </row>
    <row r="63" spans="1:8" x14ac:dyDescent="0.35">
      <c r="A63">
        <v>22</v>
      </c>
      <c r="B63">
        <v>2017</v>
      </c>
      <c r="C63">
        <v>2</v>
      </c>
      <c r="D63" t="s">
        <v>8</v>
      </c>
      <c r="E63" t="s">
        <v>9</v>
      </c>
      <c r="F63" t="s">
        <v>75</v>
      </c>
      <c r="G63" t="s">
        <v>74</v>
      </c>
      <c r="H63" s="4">
        <v>97.101449275362313</v>
      </c>
    </row>
    <row r="64" spans="1:8" x14ac:dyDescent="0.35">
      <c r="A64">
        <v>23</v>
      </c>
      <c r="B64">
        <v>2017</v>
      </c>
      <c r="C64">
        <v>3</v>
      </c>
      <c r="D64" t="s">
        <v>8</v>
      </c>
      <c r="E64" t="s">
        <v>9</v>
      </c>
      <c r="F64" t="s">
        <v>75</v>
      </c>
      <c r="G64" t="s">
        <v>74</v>
      </c>
      <c r="H64" s="4">
        <v>100</v>
      </c>
    </row>
    <row r="65" spans="1:8" x14ac:dyDescent="0.35">
      <c r="A65">
        <v>24</v>
      </c>
      <c r="B65">
        <v>2017</v>
      </c>
      <c r="C65">
        <v>4</v>
      </c>
      <c r="D65" t="s">
        <v>8</v>
      </c>
      <c r="E65" t="s">
        <v>9</v>
      </c>
      <c r="F65" t="s">
        <v>75</v>
      </c>
      <c r="G65" t="s">
        <v>74</v>
      </c>
      <c r="H65" s="4">
        <v>98.305084745762713</v>
      </c>
    </row>
    <row r="66" spans="1:8" x14ac:dyDescent="0.35">
      <c r="A66">
        <v>25</v>
      </c>
      <c r="B66">
        <v>2018</v>
      </c>
      <c r="C66">
        <v>1</v>
      </c>
      <c r="D66" t="s">
        <v>8</v>
      </c>
      <c r="E66" t="s">
        <v>9</v>
      </c>
      <c r="F66" t="s">
        <v>75</v>
      </c>
      <c r="G66" t="s">
        <v>74</v>
      </c>
      <c r="H66" s="4">
        <v>100</v>
      </c>
    </row>
    <row r="67" spans="1:8" x14ac:dyDescent="0.35">
      <c r="A67">
        <v>26</v>
      </c>
      <c r="B67">
        <v>2018</v>
      </c>
      <c r="C67">
        <v>2</v>
      </c>
      <c r="D67" t="s">
        <v>8</v>
      </c>
      <c r="E67" t="s">
        <v>9</v>
      </c>
      <c r="F67" t="s">
        <v>75</v>
      </c>
      <c r="G67" t="s">
        <v>74</v>
      </c>
      <c r="H67" s="4">
        <v>96.92307692307692</v>
      </c>
    </row>
    <row r="68" spans="1:8" x14ac:dyDescent="0.35">
      <c r="A68">
        <v>27</v>
      </c>
      <c r="B68">
        <v>2018</v>
      </c>
      <c r="C68">
        <v>3</v>
      </c>
      <c r="D68" t="s">
        <v>8</v>
      </c>
      <c r="E68" t="s">
        <v>9</v>
      </c>
      <c r="F68" t="s">
        <v>75</v>
      </c>
      <c r="G68" t="s">
        <v>74</v>
      </c>
      <c r="H68" s="4">
        <v>97.222222222222214</v>
      </c>
    </row>
    <row r="69" spans="1:8" x14ac:dyDescent="0.35">
      <c r="A69">
        <v>28</v>
      </c>
      <c r="B69">
        <v>2018</v>
      </c>
      <c r="C69">
        <v>4</v>
      </c>
      <c r="D69" t="s">
        <v>8</v>
      </c>
      <c r="E69" t="s">
        <v>9</v>
      </c>
      <c r="F69" t="s">
        <v>75</v>
      </c>
      <c r="G69" t="s">
        <v>74</v>
      </c>
      <c r="H69" s="4">
        <v>98.412698412698404</v>
      </c>
    </row>
    <row r="70" spans="1:8" x14ac:dyDescent="0.35">
      <c r="A70">
        <v>29</v>
      </c>
      <c r="B70">
        <v>2019</v>
      </c>
      <c r="C70">
        <v>1</v>
      </c>
      <c r="D70" t="s">
        <v>8</v>
      </c>
      <c r="E70" t="s">
        <v>9</v>
      </c>
      <c r="F70" t="s">
        <v>75</v>
      </c>
      <c r="G70" t="s">
        <v>74</v>
      </c>
      <c r="H70" s="4">
        <v>88</v>
      </c>
    </row>
    <row r="71" spans="1:8" x14ac:dyDescent="0.35">
      <c r="A71">
        <v>30</v>
      </c>
      <c r="B71">
        <v>2019</v>
      </c>
      <c r="C71">
        <v>2</v>
      </c>
      <c r="D71" t="s">
        <v>8</v>
      </c>
      <c r="E71" t="s">
        <v>9</v>
      </c>
      <c r="F71" t="s">
        <v>75</v>
      </c>
      <c r="G71" t="s">
        <v>74</v>
      </c>
      <c r="H71" s="4">
        <v>98.507462686567166</v>
      </c>
    </row>
    <row r="72" spans="1:8" x14ac:dyDescent="0.35">
      <c r="A72">
        <v>31</v>
      </c>
      <c r="B72">
        <v>2019</v>
      </c>
      <c r="C72">
        <v>3</v>
      </c>
      <c r="D72" t="s">
        <v>8</v>
      </c>
      <c r="E72" t="s">
        <v>9</v>
      </c>
      <c r="F72" t="s">
        <v>75</v>
      </c>
      <c r="G72" t="s">
        <v>74</v>
      </c>
      <c r="H72" s="4">
        <v>91.428571428571431</v>
      </c>
    </row>
    <row r="73" spans="1:8" x14ac:dyDescent="0.35">
      <c r="A73">
        <v>32</v>
      </c>
      <c r="B73">
        <v>2019</v>
      </c>
      <c r="C73">
        <v>4</v>
      </c>
      <c r="D73" t="s">
        <v>8</v>
      </c>
      <c r="E73" t="s">
        <v>9</v>
      </c>
      <c r="F73" t="s">
        <v>75</v>
      </c>
      <c r="G73" t="s">
        <v>74</v>
      </c>
      <c r="H73" s="4">
        <v>96.551724137931032</v>
      </c>
    </row>
    <row r="74" spans="1:8" x14ac:dyDescent="0.35">
      <c r="A74">
        <v>33</v>
      </c>
      <c r="B74">
        <v>2020</v>
      </c>
      <c r="C74">
        <v>1</v>
      </c>
      <c r="D74" t="s">
        <v>8</v>
      </c>
      <c r="E74" t="s">
        <v>9</v>
      </c>
      <c r="F74" t="s">
        <v>75</v>
      </c>
      <c r="G74" t="s">
        <v>74</v>
      </c>
      <c r="H74" s="4">
        <v>96.36363636363636</v>
      </c>
    </row>
    <row r="75" spans="1:8" x14ac:dyDescent="0.35">
      <c r="A75">
        <v>34</v>
      </c>
      <c r="B75">
        <v>2020</v>
      </c>
      <c r="C75">
        <v>2</v>
      </c>
      <c r="D75" t="s">
        <v>8</v>
      </c>
      <c r="E75" t="s">
        <v>9</v>
      </c>
      <c r="F75" t="s">
        <v>75</v>
      </c>
      <c r="G75" t="s">
        <v>74</v>
      </c>
      <c r="H75" s="4">
        <v>92.753623188405797</v>
      </c>
    </row>
    <row r="76" spans="1:8" x14ac:dyDescent="0.35">
      <c r="A76">
        <v>35</v>
      </c>
      <c r="B76">
        <v>2020</v>
      </c>
      <c r="C76">
        <v>3</v>
      </c>
      <c r="D76" t="s">
        <v>8</v>
      </c>
      <c r="E76" t="s">
        <v>9</v>
      </c>
      <c r="F76" t="s">
        <v>75</v>
      </c>
      <c r="G76" t="s">
        <v>74</v>
      </c>
      <c r="H76" s="4">
        <v>100</v>
      </c>
    </row>
    <row r="77" spans="1:8" x14ac:dyDescent="0.35">
      <c r="A77">
        <v>36</v>
      </c>
      <c r="B77">
        <v>2020</v>
      </c>
      <c r="C77">
        <v>4</v>
      </c>
      <c r="D77" t="s">
        <v>8</v>
      </c>
      <c r="E77" t="s">
        <v>9</v>
      </c>
      <c r="F77" t="s">
        <v>75</v>
      </c>
      <c r="G77" t="s">
        <v>74</v>
      </c>
      <c r="H77" s="4">
        <v>96</v>
      </c>
    </row>
    <row r="78" spans="1:8" x14ac:dyDescent="0.35">
      <c r="A78">
        <v>37</v>
      </c>
      <c r="B78">
        <v>2021</v>
      </c>
      <c r="C78">
        <v>1</v>
      </c>
      <c r="D78" t="s">
        <v>8</v>
      </c>
      <c r="E78" t="s">
        <v>9</v>
      </c>
      <c r="F78" t="s">
        <v>75</v>
      </c>
      <c r="G78" t="s">
        <v>74</v>
      </c>
      <c r="H78" s="4">
        <v>98.333333333333329</v>
      </c>
    </row>
    <row r="79" spans="1:8" x14ac:dyDescent="0.35">
      <c r="A79">
        <v>38</v>
      </c>
      <c r="B79">
        <v>2021</v>
      </c>
      <c r="C79">
        <v>2</v>
      </c>
      <c r="D79" t="s">
        <v>8</v>
      </c>
      <c r="E79" t="s">
        <v>9</v>
      </c>
      <c r="F79" t="s">
        <v>75</v>
      </c>
      <c r="G79" t="s">
        <v>74</v>
      </c>
      <c r="H79" s="4">
        <v>94.73684210526315</v>
      </c>
    </row>
    <row r="80" spans="1:8" x14ac:dyDescent="0.35">
      <c r="A80">
        <v>39</v>
      </c>
      <c r="B80">
        <v>2021</v>
      </c>
      <c r="C80">
        <v>3</v>
      </c>
      <c r="D80" t="s">
        <v>8</v>
      </c>
      <c r="E80" t="s">
        <v>9</v>
      </c>
      <c r="F80" t="s">
        <v>75</v>
      </c>
      <c r="G80" t="s">
        <v>74</v>
      </c>
      <c r="H80" s="4">
        <v>96.296296296296291</v>
      </c>
    </row>
    <row r="81" spans="1:8" x14ac:dyDescent="0.35">
      <c r="A81">
        <v>40</v>
      </c>
      <c r="B81">
        <v>2021</v>
      </c>
      <c r="C81">
        <v>4</v>
      </c>
      <c r="D81" t="s">
        <v>8</v>
      </c>
      <c r="E81" t="s">
        <v>9</v>
      </c>
      <c r="F81" t="s">
        <v>75</v>
      </c>
      <c r="G81" t="s">
        <v>74</v>
      </c>
      <c r="H81" s="4">
        <v>95.774647887323937</v>
      </c>
    </row>
    <row r="82" spans="1:8" x14ac:dyDescent="0.35">
      <c r="A82">
        <v>1</v>
      </c>
      <c r="B82">
        <v>2012</v>
      </c>
      <c r="C82">
        <v>1</v>
      </c>
      <c r="D82" t="s">
        <v>8</v>
      </c>
      <c r="E82" t="s">
        <v>9</v>
      </c>
      <c r="F82" t="s">
        <v>73</v>
      </c>
      <c r="G82" t="s">
        <v>72</v>
      </c>
      <c r="H82" s="4">
        <v>100</v>
      </c>
    </row>
    <row r="83" spans="1:8" x14ac:dyDescent="0.35">
      <c r="A83">
        <v>2</v>
      </c>
      <c r="B83">
        <v>2012</v>
      </c>
      <c r="C83">
        <v>2</v>
      </c>
      <c r="D83" t="s">
        <v>8</v>
      </c>
      <c r="E83" t="s">
        <v>9</v>
      </c>
      <c r="F83" t="s">
        <v>73</v>
      </c>
      <c r="G83" t="s">
        <v>72</v>
      </c>
      <c r="H83" s="4">
        <v>98.611111111111114</v>
      </c>
    </row>
    <row r="84" spans="1:8" x14ac:dyDescent="0.35">
      <c r="A84">
        <v>3</v>
      </c>
      <c r="B84">
        <v>2012</v>
      </c>
      <c r="C84">
        <v>3</v>
      </c>
      <c r="D84" t="s">
        <v>8</v>
      </c>
      <c r="E84" t="s">
        <v>9</v>
      </c>
      <c r="F84" t="s">
        <v>73</v>
      </c>
      <c r="G84" t="s">
        <v>72</v>
      </c>
      <c r="H84" s="4">
        <v>97.142857142857139</v>
      </c>
    </row>
    <row r="85" spans="1:8" x14ac:dyDescent="0.35">
      <c r="A85">
        <v>4</v>
      </c>
      <c r="B85">
        <v>2012</v>
      </c>
      <c r="C85">
        <v>4</v>
      </c>
      <c r="D85" t="s">
        <v>8</v>
      </c>
      <c r="E85" t="s">
        <v>9</v>
      </c>
      <c r="F85" t="s">
        <v>73</v>
      </c>
      <c r="G85" t="s">
        <v>72</v>
      </c>
      <c r="H85" s="4">
        <v>98.591549295774655</v>
      </c>
    </row>
    <row r="86" spans="1:8" x14ac:dyDescent="0.35">
      <c r="A86">
        <v>5</v>
      </c>
      <c r="B86">
        <v>2013</v>
      </c>
      <c r="C86">
        <v>1</v>
      </c>
      <c r="D86" t="s">
        <v>8</v>
      </c>
      <c r="E86" t="s">
        <v>9</v>
      </c>
      <c r="F86" t="s">
        <v>73</v>
      </c>
      <c r="G86" t="s">
        <v>72</v>
      </c>
      <c r="H86" s="4">
        <v>100</v>
      </c>
    </row>
    <row r="87" spans="1:8" x14ac:dyDescent="0.35">
      <c r="A87">
        <v>6</v>
      </c>
      <c r="B87">
        <v>2013</v>
      </c>
      <c r="C87">
        <v>2</v>
      </c>
      <c r="D87" t="s">
        <v>8</v>
      </c>
      <c r="E87" t="s">
        <v>9</v>
      </c>
      <c r="F87" t="s">
        <v>73</v>
      </c>
      <c r="G87" t="s">
        <v>72</v>
      </c>
      <c r="H87" s="4">
        <v>100</v>
      </c>
    </row>
    <row r="88" spans="1:8" x14ac:dyDescent="0.35">
      <c r="A88">
        <v>7</v>
      </c>
      <c r="B88">
        <v>2013</v>
      </c>
      <c r="C88">
        <v>3</v>
      </c>
      <c r="D88" t="s">
        <v>8</v>
      </c>
      <c r="E88" t="s">
        <v>9</v>
      </c>
      <c r="F88" t="s">
        <v>73</v>
      </c>
      <c r="G88" t="s">
        <v>72</v>
      </c>
      <c r="H88" s="4">
        <v>100</v>
      </c>
    </row>
    <row r="89" spans="1:8" x14ac:dyDescent="0.35">
      <c r="A89">
        <v>8</v>
      </c>
      <c r="B89">
        <v>2013</v>
      </c>
      <c r="C89">
        <v>4</v>
      </c>
      <c r="D89" t="s">
        <v>8</v>
      </c>
      <c r="E89" t="s">
        <v>9</v>
      </c>
      <c r="F89" t="s">
        <v>73</v>
      </c>
      <c r="G89" t="s">
        <v>72</v>
      </c>
      <c r="H89" s="4">
        <v>100</v>
      </c>
    </row>
    <row r="90" spans="1:8" x14ac:dyDescent="0.35">
      <c r="A90">
        <v>9</v>
      </c>
      <c r="B90">
        <v>2014</v>
      </c>
      <c r="C90">
        <v>1</v>
      </c>
      <c r="D90" t="s">
        <v>8</v>
      </c>
      <c r="E90" t="s">
        <v>9</v>
      </c>
      <c r="F90" t="s">
        <v>73</v>
      </c>
      <c r="G90" t="s">
        <v>72</v>
      </c>
      <c r="H90" s="4">
        <v>100</v>
      </c>
    </row>
    <row r="91" spans="1:8" x14ac:dyDescent="0.35">
      <c r="A91">
        <v>10</v>
      </c>
      <c r="B91">
        <v>2014</v>
      </c>
      <c r="C91">
        <v>2</v>
      </c>
      <c r="D91" t="s">
        <v>8</v>
      </c>
      <c r="E91" t="s">
        <v>9</v>
      </c>
      <c r="F91" t="s">
        <v>73</v>
      </c>
      <c r="G91" t="s">
        <v>72</v>
      </c>
      <c r="H91" s="4">
        <v>98.98989898989899</v>
      </c>
    </row>
    <row r="92" spans="1:8" x14ac:dyDescent="0.35">
      <c r="A92">
        <v>11</v>
      </c>
      <c r="B92">
        <v>2014</v>
      </c>
      <c r="C92">
        <v>3</v>
      </c>
      <c r="D92" t="s">
        <v>8</v>
      </c>
      <c r="E92" t="s">
        <v>9</v>
      </c>
      <c r="F92" t="s">
        <v>73</v>
      </c>
      <c r="G92" t="s">
        <v>72</v>
      </c>
      <c r="H92" s="4">
        <v>98.958333333333343</v>
      </c>
    </row>
    <row r="93" spans="1:8" x14ac:dyDescent="0.35">
      <c r="A93">
        <v>12</v>
      </c>
      <c r="B93">
        <v>2014</v>
      </c>
      <c r="C93">
        <v>4</v>
      </c>
      <c r="D93" t="s">
        <v>8</v>
      </c>
      <c r="E93" t="s">
        <v>9</v>
      </c>
      <c r="F93" t="s">
        <v>73</v>
      </c>
      <c r="G93" t="s">
        <v>72</v>
      </c>
      <c r="H93" s="4">
        <v>100</v>
      </c>
    </row>
    <row r="94" spans="1:8" x14ac:dyDescent="0.35">
      <c r="A94">
        <v>13</v>
      </c>
      <c r="B94">
        <v>2015</v>
      </c>
      <c r="C94">
        <v>1</v>
      </c>
      <c r="D94" t="s">
        <v>8</v>
      </c>
      <c r="E94" t="s">
        <v>9</v>
      </c>
      <c r="F94" t="s">
        <v>73</v>
      </c>
      <c r="G94" t="s">
        <v>72</v>
      </c>
      <c r="H94" s="4">
        <v>100</v>
      </c>
    </row>
    <row r="95" spans="1:8" x14ac:dyDescent="0.35">
      <c r="A95">
        <v>14</v>
      </c>
      <c r="B95">
        <v>2015</v>
      </c>
      <c r="C95">
        <v>2</v>
      </c>
      <c r="D95" t="s">
        <v>8</v>
      </c>
      <c r="E95" t="s">
        <v>9</v>
      </c>
      <c r="F95" t="s">
        <v>73</v>
      </c>
      <c r="G95" t="s">
        <v>72</v>
      </c>
      <c r="H95" s="4">
        <v>100</v>
      </c>
    </row>
    <row r="96" spans="1:8" x14ac:dyDescent="0.35">
      <c r="A96">
        <v>15</v>
      </c>
      <c r="B96">
        <v>2015</v>
      </c>
      <c r="C96">
        <v>3</v>
      </c>
      <c r="D96" t="s">
        <v>8</v>
      </c>
      <c r="E96" t="s">
        <v>9</v>
      </c>
      <c r="F96" t="s">
        <v>73</v>
      </c>
      <c r="G96" t="s">
        <v>72</v>
      </c>
      <c r="H96" s="4">
        <v>97.53086419753086</v>
      </c>
    </row>
    <row r="97" spans="1:8" x14ac:dyDescent="0.35">
      <c r="A97">
        <v>16</v>
      </c>
      <c r="B97">
        <v>2015</v>
      </c>
      <c r="C97">
        <v>4</v>
      </c>
      <c r="D97" t="s">
        <v>8</v>
      </c>
      <c r="E97" t="s">
        <v>9</v>
      </c>
      <c r="F97" t="s">
        <v>73</v>
      </c>
      <c r="G97" t="s">
        <v>72</v>
      </c>
      <c r="H97" s="4">
        <v>100</v>
      </c>
    </row>
    <row r="98" spans="1:8" x14ac:dyDescent="0.35">
      <c r="A98">
        <v>17</v>
      </c>
      <c r="B98">
        <v>2016</v>
      </c>
      <c r="C98">
        <v>1</v>
      </c>
      <c r="D98" t="s">
        <v>8</v>
      </c>
      <c r="E98" t="s">
        <v>9</v>
      </c>
      <c r="F98" t="s">
        <v>73</v>
      </c>
      <c r="G98" t="s">
        <v>72</v>
      </c>
      <c r="H98" s="4">
        <v>98.837209302325576</v>
      </c>
    </row>
    <row r="99" spans="1:8" x14ac:dyDescent="0.35">
      <c r="A99">
        <v>18</v>
      </c>
      <c r="B99">
        <v>2016</v>
      </c>
      <c r="C99">
        <v>2</v>
      </c>
      <c r="D99" t="s">
        <v>8</v>
      </c>
      <c r="E99" t="s">
        <v>9</v>
      </c>
      <c r="F99" t="s">
        <v>73</v>
      </c>
      <c r="G99" t="s">
        <v>72</v>
      </c>
      <c r="H99" s="4">
        <v>95.121951219512198</v>
      </c>
    </row>
    <row r="100" spans="1:8" x14ac:dyDescent="0.35">
      <c r="A100">
        <v>19</v>
      </c>
      <c r="B100">
        <v>2016</v>
      </c>
      <c r="C100">
        <v>3</v>
      </c>
      <c r="D100" t="s">
        <v>8</v>
      </c>
      <c r="E100" t="s">
        <v>9</v>
      </c>
      <c r="F100" t="s">
        <v>73</v>
      </c>
      <c r="G100" t="s">
        <v>72</v>
      </c>
      <c r="H100" s="4">
        <v>97.183098591549296</v>
      </c>
    </row>
    <row r="101" spans="1:8" x14ac:dyDescent="0.35">
      <c r="A101">
        <v>20</v>
      </c>
      <c r="B101">
        <v>2016</v>
      </c>
      <c r="C101">
        <v>4</v>
      </c>
      <c r="D101" t="s">
        <v>8</v>
      </c>
      <c r="E101" t="s">
        <v>9</v>
      </c>
      <c r="F101" t="s">
        <v>73</v>
      </c>
      <c r="G101" t="s">
        <v>72</v>
      </c>
      <c r="H101" s="4">
        <v>98.571428571428584</v>
      </c>
    </row>
    <row r="102" spans="1:8" x14ac:dyDescent="0.35">
      <c r="A102">
        <v>21</v>
      </c>
      <c r="B102">
        <v>2017</v>
      </c>
      <c r="C102">
        <v>1</v>
      </c>
      <c r="D102" t="s">
        <v>8</v>
      </c>
      <c r="E102" t="s">
        <v>9</v>
      </c>
      <c r="F102" t="s">
        <v>73</v>
      </c>
      <c r="G102" t="s">
        <v>72</v>
      </c>
      <c r="H102" s="4">
        <v>98.76543209876543</v>
      </c>
    </row>
    <row r="103" spans="1:8" x14ac:dyDescent="0.35">
      <c r="A103">
        <v>22</v>
      </c>
      <c r="B103">
        <v>2017</v>
      </c>
      <c r="C103">
        <v>2</v>
      </c>
      <c r="D103" t="s">
        <v>8</v>
      </c>
      <c r="E103" t="s">
        <v>9</v>
      </c>
      <c r="F103" t="s">
        <v>73</v>
      </c>
      <c r="G103" t="s">
        <v>72</v>
      </c>
      <c r="H103" s="4">
        <v>98.76543209876543</v>
      </c>
    </row>
    <row r="104" spans="1:8" x14ac:dyDescent="0.35">
      <c r="A104">
        <v>23</v>
      </c>
      <c r="B104">
        <v>2017</v>
      </c>
      <c r="C104">
        <v>3</v>
      </c>
      <c r="D104" t="s">
        <v>8</v>
      </c>
      <c r="E104" t="s">
        <v>9</v>
      </c>
      <c r="F104" t="s">
        <v>73</v>
      </c>
      <c r="G104" t="s">
        <v>72</v>
      </c>
      <c r="H104" s="4">
        <v>97.402597402597408</v>
      </c>
    </row>
    <row r="105" spans="1:8" x14ac:dyDescent="0.35">
      <c r="A105">
        <v>24</v>
      </c>
      <c r="B105">
        <v>2017</v>
      </c>
      <c r="C105">
        <v>4</v>
      </c>
      <c r="D105" t="s">
        <v>8</v>
      </c>
      <c r="E105" t="s">
        <v>9</v>
      </c>
      <c r="F105" t="s">
        <v>73</v>
      </c>
      <c r="G105" t="s">
        <v>72</v>
      </c>
      <c r="H105" s="4">
        <v>98.571428571428584</v>
      </c>
    </row>
    <row r="106" spans="1:8" x14ac:dyDescent="0.35">
      <c r="A106">
        <v>25</v>
      </c>
      <c r="B106">
        <v>2018</v>
      </c>
      <c r="C106">
        <v>1</v>
      </c>
      <c r="D106" t="s">
        <v>8</v>
      </c>
      <c r="E106" t="s">
        <v>9</v>
      </c>
      <c r="F106" t="s">
        <v>73</v>
      </c>
      <c r="G106" t="s">
        <v>72</v>
      </c>
      <c r="H106" s="4">
        <v>97.916666666666657</v>
      </c>
    </row>
    <row r="107" spans="1:8" x14ac:dyDescent="0.35">
      <c r="A107">
        <v>26</v>
      </c>
      <c r="B107">
        <v>2018</v>
      </c>
      <c r="C107">
        <v>2</v>
      </c>
      <c r="D107" t="s">
        <v>8</v>
      </c>
      <c r="E107" t="s">
        <v>9</v>
      </c>
      <c r="F107" t="s">
        <v>73</v>
      </c>
      <c r="G107" t="s">
        <v>72</v>
      </c>
      <c r="H107" s="4">
        <v>97.169811320754718</v>
      </c>
    </row>
    <row r="108" spans="1:8" x14ac:dyDescent="0.35">
      <c r="A108">
        <v>27</v>
      </c>
      <c r="B108">
        <v>2018</v>
      </c>
      <c r="C108">
        <v>3</v>
      </c>
      <c r="D108" t="s">
        <v>8</v>
      </c>
      <c r="E108" t="s">
        <v>9</v>
      </c>
      <c r="F108" t="s">
        <v>73</v>
      </c>
      <c r="G108" t="s">
        <v>72</v>
      </c>
      <c r="H108" s="4">
        <v>93.827160493827151</v>
      </c>
    </row>
    <row r="109" spans="1:8" x14ac:dyDescent="0.35">
      <c r="A109">
        <v>28</v>
      </c>
      <c r="B109">
        <v>2018</v>
      </c>
      <c r="C109">
        <v>4</v>
      </c>
      <c r="D109" t="s">
        <v>8</v>
      </c>
      <c r="E109" t="s">
        <v>9</v>
      </c>
      <c r="F109" t="s">
        <v>73</v>
      </c>
      <c r="G109" t="s">
        <v>72</v>
      </c>
      <c r="H109" s="4">
        <v>96.666666666666671</v>
      </c>
    </row>
    <row r="110" spans="1:8" x14ac:dyDescent="0.35">
      <c r="A110">
        <v>29</v>
      </c>
      <c r="B110">
        <v>2019</v>
      </c>
      <c r="C110">
        <v>1</v>
      </c>
      <c r="D110" t="s">
        <v>8</v>
      </c>
      <c r="E110" t="s">
        <v>9</v>
      </c>
      <c r="F110" t="s">
        <v>73</v>
      </c>
      <c r="G110" t="s">
        <v>72</v>
      </c>
      <c r="H110" s="4">
        <v>95.652173913043484</v>
      </c>
    </row>
    <row r="111" spans="1:8" x14ac:dyDescent="0.35">
      <c r="A111">
        <v>30</v>
      </c>
      <c r="B111">
        <v>2019</v>
      </c>
      <c r="C111">
        <v>2</v>
      </c>
      <c r="D111" t="s">
        <v>8</v>
      </c>
      <c r="E111" t="s">
        <v>9</v>
      </c>
      <c r="F111" t="s">
        <v>73</v>
      </c>
      <c r="G111" t="s">
        <v>72</v>
      </c>
      <c r="H111" s="4">
        <v>93.75</v>
      </c>
    </row>
    <row r="112" spans="1:8" x14ac:dyDescent="0.35">
      <c r="A112">
        <v>31</v>
      </c>
      <c r="B112">
        <v>2019</v>
      </c>
      <c r="C112">
        <v>3</v>
      </c>
      <c r="D112" t="s">
        <v>8</v>
      </c>
      <c r="E112" t="s">
        <v>9</v>
      </c>
      <c r="F112" t="s">
        <v>73</v>
      </c>
      <c r="G112" t="s">
        <v>72</v>
      </c>
      <c r="H112" s="4">
        <v>97.674418604651152</v>
      </c>
    </row>
    <row r="113" spans="1:8" x14ac:dyDescent="0.35">
      <c r="A113">
        <v>32</v>
      </c>
      <c r="B113">
        <v>2019</v>
      </c>
      <c r="C113">
        <v>4</v>
      </c>
      <c r="D113" t="s">
        <v>8</v>
      </c>
      <c r="E113" t="s">
        <v>9</v>
      </c>
      <c r="F113" t="s">
        <v>73</v>
      </c>
      <c r="G113" t="s">
        <v>72</v>
      </c>
      <c r="H113" s="4">
        <v>89.473684210526315</v>
      </c>
    </row>
    <row r="114" spans="1:8" x14ac:dyDescent="0.35">
      <c r="A114">
        <v>33</v>
      </c>
      <c r="B114">
        <v>2020</v>
      </c>
      <c r="C114">
        <v>1</v>
      </c>
      <c r="D114" t="s">
        <v>8</v>
      </c>
      <c r="E114" t="s">
        <v>9</v>
      </c>
      <c r="F114" t="s">
        <v>73</v>
      </c>
      <c r="G114" t="s">
        <v>72</v>
      </c>
      <c r="H114" s="4">
        <v>93.45794392523365</v>
      </c>
    </row>
    <row r="115" spans="1:8" x14ac:dyDescent="0.35">
      <c r="A115">
        <v>34</v>
      </c>
      <c r="B115">
        <v>2020</v>
      </c>
      <c r="C115">
        <v>2</v>
      </c>
      <c r="D115" t="s">
        <v>8</v>
      </c>
      <c r="E115" t="s">
        <v>9</v>
      </c>
      <c r="F115" t="s">
        <v>73</v>
      </c>
      <c r="G115" t="s">
        <v>72</v>
      </c>
      <c r="H115" s="4">
        <v>92.307692307692307</v>
      </c>
    </row>
    <row r="116" spans="1:8" x14ac:dyDescent="0.35">
      <c r="A116">
        <v>35</v>
      </c>
      <c r="B116">
        <v>2020</v>
      </c>
      <c r="C116">
        <v>3</v>
      </c>
      <c r="D116" t="s">
        <v>8</v>
      </c>
      <c r="E116" t="s">
        <v>9</v>
      </c>
      <c r="F116" t="s">
        <v>73</v>
      </c>
      <c r="G116" t="s">
        <v>72</v>
      </c>
      <c r="H116" s="4">
        <v>98.019801980198025</v>
      </c>
    </row>
    <row r="117" spans="1:8" x14ac:dyDescent="0.35">
      <c r="A117">
        <v>36</v>
      </c>
      <c r="B117">
        <v>2020</v>
      </c>
      <c r="C117">
        <v>4</v>
      </c>
      <c r="D117" t="s">
        <v>8</v>
      </c>
      <c r="E117" t="s">
        <v>9</v>
      </c>
      <c r="F117" t="s">
        <v>73</v>
      </c>
      <c r="G117" t="s">
        <v>72</v>
      </c>
      <c r="H117" s="4">
        <v>95.833333333333343</v>
      </c>
    </row>
    <row r="118" spans="1:8" x14ac:dyDescent="0.35">
      <c r="A118">
        <v>37</v>
      </c>
      <c r="B118">
        <v>2021</v>
      </c>
      <c r="C118">
        <v>1</v>
      </c>
      <c r="D118" t="s">
        <v>8</v>
      </c>
      <c r="E118" t="s">
        <v>9</v>
      </c>
      <c r="F118" t="s">
        <v>73</v>
      </c>
      <c r="G118" t="s">
        <v>72</v>
      </c>
      <c r="H118" s="4">
        <v>87.850467289719631</v>
      </c>
    </row>
    <row r="119" spans="1:8" x14ac:dyDescent="0.35">
      <c r="A119">
        <v>38</v>
      </c>
      <c r="B119">
        <v>2021</v>
      </c>
      <c r="C119">
        <v>2</v>
      </c>
      <c r="D119" t="s">
        <v>8</v>
      </c>
      <c r="E119" t="s">
        <v>9</v>
      </c>
      <c r="F119" t="s">
        <v>73</v>
      </c>
      <c r="G119" t="s">
        <v>72</v>
      </c>
      <c r="H119" s="4">
        <v>94.505494505494497</v>
      </c>
    </row>
    <row r="120" spans="1:8" x14ac:dyDescent="0.35">
      <c r="A120">
        <v>39</v>
      </c>
      <c r="B120">
        <v>2021</v>
      </c>
      <c r="C120">
        <v>3</v>
      </c>
      <c r="D120" t="s">
        <v>8</v>
      </c>
      <c r="E120" t="s">
        <v>9</v>
      </c>
      <c r="F120" t="s">
        <v>73</v>
      </c>
      <c r="G120" t="s">
        <v>72</v>
      </c>
      <c r="H120" s="4">
        <v>86.138613861386133</v>
      </c>
    </row>
    <row r="121" spans="1:8" x14ac:dyDescent="0.35">
      <c r="A121">
        <v>40</v>
      </c>
      <c r="B121">
        <v>2021</v>
      </c>
      <c r="C121">
        <v>4</v>
      </c>
      <c r="D121" t="s">
        <v>8</v>
      </c>
      <c r="E121" t="s">
        <v>9</v>
      </c>
      <c r="F121" t="s">
        <v>73</v>
      </c>
      <c r="G121" t="s">
        <v>72</v>
      </c>
      <c r="H121" s="4">
        <v>83.505154639175259</v>
      </c>
    </row>
    <row r="122" spans="1:8" x14ac:dyDescent="0.35">
      <c r="A122">
        <v>1</v>
      </c>
      <c r="B122">
        <v>2012</v>
      </c>
      <c r="C122">
        <v>1</v>
      </c>
      <c r="D122" t="s">
        <v>8</v>
      </c>
      <c r="E122" t="s">
        <v>9</v>
      </c>
      <c r="F122" t="s">
        <v>71</v>
      </c>
      <c r="G122" t="s">
        <v>70</v>
      </c>
      <c r="H122" s="4">
        <v>91.240875912408754</v>
      </c>
    </row>
    <row r="123" spans="1:8" x14ac:dyDescent="0.35">
      <c r="A123">
        <v>2</v>
      </c>
      <c r="B123">
        <v>2012</v>
      </c>
      <c r="C123">
        <v>2</v>
      </c>
      <c r="D123" t="s">
        <v>8</v>
      </c>
      <c r="E123" t="s">
        <v>9</v>
      </c>
      <c r="F123" t="s">
        <v>71</v>
      </c>
      <c r="G123" t="s">
        <v>70</v>
      </c>
      <c r="H123" s="4">
        <v>94.186046511627907</v>
      </c>
    </row>
    <row r="124" spans="1:8" x14ac:dyDescent="0.35">
      <c r="A124">
        <v>3</v>
      </c>
      <c r="B124">
        <v>2012</v>
      </c>
      <c r="C124">
        <v>3</v>
      </c>
      <c r="D124" t="s">
        <v>8</v>
      </c>
      <c r="E124" t="s">
        <v>9</v>
      </c>
      <c r="F124" t="s">
        <v>71</v>
      </c>
      <c r="G124" t="s">
        <v>70</v>
      </c>
      <c r="H124" s="4">
        <v>95.512820512820511</v>
      </c>
    </row>
    <row r="125" spans="1:8" x14ac:dyDescent="0.35">
      <c r="A125">
        <v>4</v>
      </c>
      <c r="B125">
        <v>2012</v>
      </c>
      <c r="C125">
        <v>4</v>
      </c>
      <c r="D125" t="s">
        <v>8</v>
      </c>
      <c r="E125" t="s">
        <v>9</v>
      </c>
      <c r="F125" t="s">
        <v>71</v>
      </c>
      <c r="G125" t="s">
        <v>70</v>
      </c>
      <c r="H125" s="4">
        <v>98</v>
      </c>
    </row>
    <row r="126" spans="1:8" x14ac:dyDescent="0.35">
      <c r="A126">
        <v>5</v>
      </c>
      <c r="B126">
        <v>2013</v>
      </c>
      <c r="C126">
        <v>1</v>
      </c>
      <c r="D126" t="s">
        <v>8</v>
      </c>
      <c r="E126" t="s">
        <v>9</v>
      </c>
      <c r="F126" t="s">
        <v>71</v>
      </c>
      <c r="G126" t="s">
        <v>70</v>
      </c>
      <c r="H126" s="4">
        <v>95.588235294117652</v>
      </c>
    </row>
    <row r="127" spans="1:8" x14ac:dyDescent="0.35">
      <c r="A127">
        <v>6</v>
      </c>
      <c r="B127">
        <v>2013</v>
      </c>
      <c r="C127">
        <v>2</v>
      </c>
      <c r="D127" t="s">
        <v>8</v>
      </c>
      <c r="E127" t="s">
        <v>9</v>
      </c>
      <c r="F127" t="s">
        <v>71</v>
      </c>
      <c r="G127" t="s">
        <v>70</v>
      </c>
      <c r="H127" s="4">
        <v>95.862068965517238</v>
      </c>
    </row>
    <row r="128" spans="1:8" x14ac:dyDescent="0.35">
      <c r="A128">
        <v>7</v>
      </c>
      <c r="B128">
        <v>2013</v>
      </c>
      <c r="C128">
        <v>3</v>
      </c>
      <c r="D128" t="s">
        <v>8</v>
      </c>
      <c r="E128" t="s">
        <v>9</v>
      </c>
      <c r="F128" t="s">
        <v>71</v>
      </c>
      <c r="G128" t="s">
        <v>70</v>
      </c>
      <c r="H128" s="4">
        <v>96.732026143790847</v>
      </c>
    </row>
    <row r="129" spans="1:8" x14ac:dyDescent="0.35">
      <c r="A129">
        <v>8</v>
      </c>
      <c r="B129">
        <v>2013</v>
      </c>
      <c r="C129">
        <v>4</v>
      </c>
      <c r="D129" t="s">
        <v>8</v>
      </c>
      <c r="E129" t="s">
        <v>9</v>
      </c>
      <c r="F129" t="s">
        <v>71</v>
      </c>
      <c r="G129" t="s">
        <v>70</v>
      </c>
      <c r="H129" s="4">
        <v>95.783132530120483</v>
      </c>
    </row>
    <row r="130" spans="1:8" x14ac:dyDescent="0.35">
      <c r="A130">
        <v>9</v>
      </c>
      <c r="B130">
        <v>2014</v>
      </c>
      <c r="C130">
        <v>1</v>
      </c>
      <c r="D130" t="s">
        <v>8</v>
      </c>
      <c r="E130" t="s">
        <v>9</v>
      </c>
      <c r="F130" t="s">
        <v>71</v>
      </c>
      <c r="G130" t="s">
        <v>70</v>
      </c>
      <c r="H130" s="4">
        <v>90.209790209790214</v>
      </c>
    </row>
    <row r="131" spans="1:8" x14ac:dyDescent="0.35">
      <c r="A131">
        <v>10</v>
      </c>
      <c r="B131">
        <v>2014</v>
      </c>
      <c r="C131">
        <v>2</v>
      </c>
      <c r="D131" t="s">
        <v>8</v>
      </c>
      <c r="E131" t="s">
        <v>9</v>
      </c>
      <c r="F131" t="s">
        <v>71</v>
      </c>
      <c r="G131" t="s">
        <v>70</v>
      </c>
      <c r="H131" s="4">
        <v>98.089171974522287</v>
      </c>
    </row>
    <row r="132" spans="1:8" x14ac:dyDescent="0.35">
      <c r="A132">
        <v>11</v>
      </c>
      <c r="B132">
        <v>2014</v>
      </c>
      <c r="C132">
        <v>3</v>
      </c>
      <c r="D132" t="s">
        <v>8</v>
      </c>
      <c r="E132" t="s">
        <v>9</v>
      </c>
      <c r="F132" t="s">
        <v>71</v>
      </c>
      <c r="G132" t="s">
        <v>70</v>
      </c>
      <c r="H132" s="4">
        <v>97.887323943661968</v>
      </c>
    </row>
    <row r="133" spans="1:8" x14ac:dyDescent="0.35">
      <c r="A133">
        <v>12</v>
      </c>
      <c r="B133">
        <v>2014</v>
      </c>
      <c r="C133">
        <v>4</v>
      </c>
      <c r="D133" t="s">
        <v>8</v>
      </c>
      <c r="E133" t="s">
        <v>9</v>
      </c>
      <c r="F133" t="s">
        <v>71</v>
      </c>
      <c r="G133" t="s">
        <v>70</v>
      </c>
      <c r="H133" s="4">
        <v>95.882352941176478</v>
      </c>
    </row>
    <row r="134" spans="1:8" x14ac:dyDescent="0.35">
      <c r="A134">
        <v>13</v>
      </c>
      <c r="B134">
        <v>2015</v>
      </c>
      <c r="C134">
        <v>1</v>
      </c>
      <c r="D134" t="s">
        <v>8</v>
      </c>
      <c r="E134" t="s">
        <v>9</v>
      </c>
      <c r="F134" t="s">
        <v>71</v>
      </c>
      <c r="G134" t="s">
        <v>70</v>
      </c>
      <c r="H134" s="4">
        <v>93.589743589743591</v>
      </c>
    </row>
    <row r="135" spans="1:8" x14ac:dyDescent="0.35">
      <c r="A135">
        <v>14</v>
      </c>
      <c r="B135">
        <v>2015</v>
      </c>
      <c r="C135">
        <v>2</v>
      </c>
      <c r="D135" t="s">
        <v>8</v>
      </c>
      <c r="E135" t="s">
        <v>9</v>
      </c>
      <c r="F135" t="s">
        <v>71</v>
      </c>
      <c r="G135" t="s">
        <v>70</v>
      </c>
      <c r="H135" s="4">
        <v>95.50561797752809</v>
      </c>
    </row>
    <row r="136" spans="1:8" x14ac:dyDescent="0.35">
      <c r="A136">
        <v>15</v>
      </c>
      <c r="B136">
        <v>2015</v>
      </c>
      <c r="C136">
        <v>3</v>
      </c>
      <c r="D136" t="s">
        <v>8</v>
      </c>
      <c r="E136" t="s">
        <v>9</v>
      </c>
      <c r="F136" t="s">
        <v>71</v>
      </c>
      <c r="G136" t="s">
        <v>70</v>
      </c>
      <c r="H136" s="4">
        <v>97.857142857142847</v>
      </c>
    </row>
    <row r="137" spans="1:8" x14ac:dyDescent="0.35">
      <c r="A137">
        <v>16</v>
      </c>
      <c r="B137">
        <v>2015</v>
      </c>
      <c r="C137">
        <v>4</v>
      </c>
      <c r="D137" t="s">
        <v>8</v>
      </c>
      <c r="E137" t="s">
        <v>9</v>
      </c>
      <c r="F137" t="s">
        <v>71</v>
      </c>
      <c r="G137" t="s">
        <v>70</v>
      </c>
      <c r="H137" s="4">
        <v>96.15384615384616</v>
      </c>
    </row>
    <row r="138" spans="1:8" x14ac:dyDescent="0.35">
      <c r="A138">
        <v>17</v>
      </c>
      <c r="B138">
        <v>2016</v>
      </c>
      <c r="C138">
        <v>1</v>
      </c>
      <c r="D138" t="s">
        <v>8</v>
      </c>
      <c r="E138" t="s">
        <v>9</v>
      </c>
      <c r="F138" t="s">
        <v>71</v>
      </c>
      <c r="G138" t="s">
        <v>70</v>
      </c>
      <c r="H138" s="4">
        <v>94.267515923566876</v>
      </c>
    </row>
    <row r="139" spans="1:8" x14ac:dyDescent="0.35">
      <c r="A139">
        <v>18</v>
      </c>
      <c r="B139">
        <v>2016</v>
      </c>
      <c r="C139">
        <v>2</v>
      </c>
      <c r="D139" t="s">
        <v>8</v>
      </c>
      <c r="E139" t="s">
        <v>9</v>
      </c>
      <c r="F139" t="s">
        <v>71</v>
      </c>
      <c r="G139" t="s">
        <v>70</v>
      </c>
      <c r="H139" s="4">
        <v>92.715231788079464</v>
      </c>
    </row>
    <row r="140" spans="1:8" x14ac:dyDescent="0.35">
      <c r="A140">
        <v>19</v>
      </c>
      <c r="B140">
        <v>2016</v>
      </c>
      <c r="C140">
        <v>3</v>
      </c>
      <c r="D140" t="s">
        <v>8</v>
      </c>
      <c r="E140" t="s">
        <v>9</v>
      </c>
      <c r="F140" t="s">
        <v>71</v>
      </c>
      <c r="G140" t="s">
        <v>70</v>
      </c>
      <c r="H140" s="4">
        <v>90.384615384615387</v>
      </c>
    </row>
    <row r="141" spans="1:8" x14ac:dyDescent="0.35">
      <c r="A141">
        <v>20</v>
      </c>
      <c r="B141">
        <v>2016</v>
      </c>
      <c r="C141">
        <v>4</v>
      </c>
      <c r="D141" t="s">
        <v>8</v>
      </c>
      <c r="E141" t="s">
        <v>9</v>
      </c>
      <c r="F141" t="s">
        <v>71</v>
      </c>
      <c r="G141" t="s">
        <v>70</v>
      </c>
      <c r="H141" s="4">
        <v>93.630573248407643</v>
      </c>
    </row>
    <row r="142" spans="1:8" x14ac:dyDescent="0.35">
      <c r="A142">
        <v>21</v>
      </c>
      <c r="B142">
        <v>2017</v>
      </c>
      <c r="C142">
        <v>1</v>
      </c>
      <c r="D142" t="s">
        <v>8</v>
      </c>
      <c r="E142" t="s">
        <v>9</v>
      </c>
      <c r="F142" t="s">
        <v>71</v>
      </c>
      <c r="G142" t="s">
        <v>70</v>
      </c>
      <c r="H142" s="4">
        <v>93.023255813953483</v>
      </c>
    </row>
    <row r="143" spans="1:8" x14ac:dyDescent="0.35">
      <c r="A143">
        <v>22</v>
      </c>
      <c r="B143">
        <v>2017</v>
      </c>
      <c r="C143">
        <v>2</v>
      </c>
      <c r="D143" t="s">
        <v>8</v>
      </c>
      <c r="E143" t="s">
        <v>9</v>
      </c>
      <c r="F143" t="s">
        <v>71</v>
      </c>
      <c r="G143" t="s">
        <v>70</v>
      </c>
      <c r="H143" s="4">
        <v>87.2340425531915</v>
      </c>
    </row>
    <row r="144" spans="1:8" x14ac:dyDescent="0.35">
      <c r="A144">
        <v>23</v>
      </c>
      <c r="B144">
        <v>2017</v>
      </c>
      <c r="C144">
        <v>3</v>
      </c>
      <c r="D144" t="s">
        <v>8</v>
      </c>
      <c r="E144" t="s">
        <v>9</v>
      </c>
      <c r="F144" t="s">
        <v>71</v>
      </c>
      <c r="G144" t="s">
        <v>70</v>
      </c>
      <c r="H144" s="4">
        <v>88.359788359788354</v>
      </c>
    </row>
    <row r="145" spans="1:8" x14ac:dyDescent="0.35">
      <c r="A145">
        <v>24</v>
      </c>
      <c r="B145">
        <v>2017</v>
      </c>
      <c r="C145">
        <v>4</v>
      </c>
      <c r="D145" t="s">
        <v>8</v>
      </c>
      <c r="E145" t="s">
        <v>9</v>
      </c>
      <c r="F145" t="s">
        <v>71</v>
      </c>
      <c r="G145" t="s">
        <v>70</v>
      </c>
      <c r="H145" s="4">
        <v>88.082901554404145</v>
      </c>
    </row>
    <row r="146" spans="1:8" x14ac:dyDescent="0.35">
      <c r="A146">
        <v>25</v>
      </c>
      <c r="B146">
        <v>2018</v>
      </c>
      <c r="C146">
        <v>1</v>
      </c>
      <c r="D146" t="s">
        <v>8</v>
      </c>
      <c r="E146" t="s">
        <v>9</v>
      </c>
      <c r="F146" t="s">
        <v>71</v>
      </c>
      <c r="G146" t="s">
        <v>70</v>
      </c>
      <c r="H146" s="4">
        <v>86.138613861386133</v>
      </c>
    </row>
    <row r="147" spans="1:8" x14ac:dyDescent="0.35">
      <c r="A147">
        <v>26</v>
      </c>
      <c r="B147">
        <v>2018</v>
      </c>
      <c r="C147">
        <v>2</v>
      </c>
      <c r="D147" t="s">
        <v>8</v>
      </c>
      <c r="E147" t="s">
        <v>9</v>
      </c>
      <c r="F147" t="s">
        <v>71</v>
      </c>
      <c r="G147" t="s">
        <v>70</v>
      </c>
      <c r="H147" s="4">
        <v>84.976525821596255</v>
      </c>
    </row>
    <row r="148" spans="1:8" x14ac:dyDescent="0.35">
      <c r="A148">
        <v>27</v>
      </c>
      <c r="B148">
        <v>2018</v>
      </c>
      <c r="C148">
        <v>3</v>
      </c>
      <c r="D148" t="s">
        <v>8</v>
      </c>
      <c r="E148" t="s">
        <v>9</v>
      </c>
      <c r="F148" t="s">
        <v>71</v>
      </c>
      <c r="G148" t="s">
        <v>70</v>
      </c>
      <c r="H148" s="4">
        <v>82.845188284518827</v>
      </c>
    </row>
    <row r="149" spans="1:8" x14ac:dyDescent="0.35">
      <c r="A149">
        <v>28</v>
      </c>
      <c r="B149">
        <v>2018</v>
      </c>
      <c r="C149">
        <v>4</v>
      </c>
      <c r="D149" t="s">
        <v>8</v>
      </c>
      <c r="E149" t="s">
        <v>9</v>
      </c>
      <c r="F149" t="s">
        <v>71</v>
      </c>
      <c r="G149" t="s">
        <v>70</v>
      </c>
      <c r="H149" s="4">
        <v>85.784313725490193</v>
      </c>
    </row>
    <row r="150" spans="1:8" x14ac:dyDescent="0.35">
      <c r="A150">
        <v>29</v>
      </c>
      <c r="B150">
        <v>2019</v>
      </c>
      <c r="C150">
        <v>1</v>
      </c>
      <c r="D150" t="s">
        <v>8</v>
      </c>
      <c r="E150" t="s">
        <v>9</v>
      </c>
      <c r="F150" t="s">
        <v>71</v>
      </c>
      <c r="G150" t="s">
        <v>70</v>
      </c>
      <c r="H150" s="4">
        <v>88.082901554404145</v>
      </c>
    </row>
    <row r="151" spans="1:8" x14ac:dyDescent="0.35">
      <c r="A151">
        <v>30</v>
      </c>
      <c r="B151">
        <v>2019</v>
      </c>
      <c r="C151">
        <v>2</v>
      </c>
      <c r="D151" t="s">
        <v>8</v>
      </c>
      <c r="E151" t="s">
        <v>9</v>
      </c>
      <c r="F151" t="s">
        <v>71</v>
      </c>
      <c r="G151" t="s">
        <v>70</v>
      </c>
      <c r="H151" s="4">
        <v>86</v>
      </c>
    </row>
    <row r="152" spans="1:8" x14ac:dyDescent="0.35">
      <c r="A152">
        <v>31</v>
      </c>
      <c r="B152">
        <v>2019</v>
      </c>
      <c r="C152">
        <v>3</v>
      </c>
      <c r="D152" t="s">
        <v>8</v>
      </c>
      <c r="E152" t="s">
        <v>9</v>
      </c>
      <c r="F152" t="s">
        <v>71</v>
      </c>
      <c r="G152" t="s">
        <v>70</v>
      </c>
      <c r="H152" s="4">
        <v>85.643564356435647</v>
      </c>
    </row>
    <row r="153" spans="1:8" x14ac:dyDescent="0.35">
      <c r="A153">
        <v>32</v>
      </c>
      <c r="B153">
        <v>2019</v>
      </c>
      <c r="C153">
        <v>4</v>
      </c>
      <c r="D153" t="s">
        <v>8</v>
      </c>
      <c r="E153" t="s">
        <v>9</v>
      </c>
      <c r="F153" t="s">
        <v>71</v>
      </c>
      <c r="G153" t="s">
        <v>70</v>
      </c>
      <c r="H153" s="4">
        <v>91.542288557213936</v>
      </c>
    </row>
    <row r="154" spans="1:8" x14ac:dyDescent="0.35">
      <c r="A154">
        <v>33</v>
      </c>
      <c r="B154">
        <v>2020</v>
      </c>
      <c r="C154">
        <v>1</v>
      </c>
      <c r="D154" t="s">
        <v>8</v>
      </c>
      <c r="E154" t="s">
        <v>9</v>
      </c>
      <c r="F154" t="s">
        <v>71</v>
      </c>
      <c r="G154" t="s">
        <v>70</v>
      </c>
      <c r="H154" s="4">
        <v>80</v>
      </c>
    </row>
    <row r="155" spans="1:8" x14ac:dyDescent="0.35">
      <c r="A155">
        <v>34</v>
      </c>
      <c r="B155">
        <v>2020</v>
      </c>
      <c r="C155">
        <v>2</v>
      </c>
      <c r="D155" t="s">
        <v>8</v>
      </c>
      <c r="E155" t="s">
        <v>9</v>
      </c>
      <c r="F155" t="s">
        <v>71</v>
      </c>
      <c r="G155" t="s">
        <v>70</v>
      </c>
      <c r="H155" s="4">
        <v>88.043478260869563</v>
      </c>
    </row>
    <row r="156" spans="1:8" x14ac:dyDescent="0.35">
      <c r="A156">
        <v>35</v>
      </c>
      <c r="B156">
        <v>2020</v>
      </c>
      <c r="C156">
        <v>3</v>
      </c>
      <c r="D156" t="s">
        <v>8</v>
      </c>
      <c r="E156" t="s">
        <v>9</v>
      </c>
      <c r="F156" t="s">
        <v>71</v>
      </c>
      <c r="G156" t="s">
        <v>70</v>
      </c>
      <c r="H156" s="4">
        <v>90.502793296089393</v>
      </c>
    </row>
    <row r="157" spans="1:8" x14ac:dyDescent="0.35">
      <c r="A157">
        <v>36</v>
      </c>
      <c r="B157">
        <v>2020</v>
      </c>
      <c r="C157">
        <v>4</v>
      </c>
      <c r="D157" t="s">
        <v>8</v>
      </c>
      <c r="E157" t="s">
        <v>9</v>
      </c>
      <c r="F157" t="s">
        <v>71</v>
      </c>
      <c r="G157" t="s">
        <v>70</v>
      </c>
      <c r="H157" s="4">
        <v>93.478260869565219</v>
      </c>
    </row>
    <row r="158" spans="1:8" x14ac:dyDescent="0.35">
      <c r="A158">
        <v>37</v>
      </c>
      <c r="B158">
        <v>2021</v>
      </c>
      <c r="C158">
        <v>1</v>
      </c>
      <c r="D158" t="s">
        <v>8</v>
      </c>
      <c r="E158" t="s">
        <v>9</v>
      </c>
      <c r="F158" t="s">
        <v>71</v>
      </c>
      <c r="G158" t="s">
        <v>70</v>
      </c>
      <c r="H158" s="4">
        <v>88.888888888888886</v>
      </c>
    </row>
    <row r="159" spans="1:8" x14ac:dyDescent="0.35">
      <c r="A159">
        <v>38</v>
      </c>
      <c r="B159">
        <v>2021</v>
      </c>
      <c r="C159">
        <v>2</v>
      </c>
      <c r="D159" t="s">
        <v>8</v>
      </c>
      <c r="E159" t="s">
        <v>9</v>
      </c>
      <c r="F159" t="s">
        <v>71</v>
      </c>
      <c r="G159" t="s">
        <v>70</v>
      </c>
      <c r="H159" s="4">
        <v>92.344497607655512</v>
      </c>
    </row>
    <row r="160" spans="1:8" x14ac:dyDescent="0.35">
      <c r="A160">
        <v>39</v>
      </c>
      <c r="B160">
        <v>2021</v>
      </c>
      <c r="C160">
        <v>3</v>
      </c>
      <c r="D160" t="s">
        <v>8</v>
      </c>
      <c r="E160" t="s">
        <v>9</v>
      </c>
      <c r="F160" t="s">
        <v>71</v>
      </c>
      <c r="G160" t="s">
        <v>70</v>
      </c>
      <c r="H160" s="4">
        <v>86.224489795918373</v>
      </c>
    </row>
    <row r="161" spans="1:8" x14ac:dyDescent="0.35">
      <c r="A161">
        <v>40</v>
      </c>
      <c r="B161">
        <v>2021</v>
      </c>
      <c r="C161">
        <v>4</v>
      </c>
      <c r="D161" t="s">
        <v>8</v>
      </c>
      <c r="E161" t="s">
        <v>9</v>
      </c>
      <c r="F161" t="s">
        <v>71</v>
      </c>
      <c r="G161" t="s">
        <v>70</v>
      </c>
      <c r="H161" s="4">
        <v>84.08163265306122</v>
      </c>
    </row>
    <row r="162" spans="1:8" x14ac:dyDescent="0.35">
      <c r="A162">
        <v>1</v>
      </c>
      <c r="B162">
        <v>2012</v>
      </c>
      <c r="C162">
        <v>1</v>
      </c>
      <c r="D162" t="s">
        <v>8</v>
      </c>
      <c r="E162" t="s">
        <v>9</v>
      </c>
      <c r="F162" t="s">
        <v>10</v>
      </c>
      <c r="G162" t="s">
        <v>11</v>
      </c>
      <c r="H162" s="4">
        <v>90.102389078498291</v>
      </c>
    </row>
    <row r="163" spans="1:8" x14ac:dyDescent="0.35">
      <c r="A163">
        <v>2</v>
      </c>
      <c r="B163">
        <v>2012</v>
      </c>
      <c r="C163">
        <v>2</v>
      </c>
      <c r="D163" t="s">
        <v>8</v>
      </c>
      <c r="E163" t="s">
        <v>9</v>
      </c>
      <c r="F163" t="s">
        <v>10</v>
      </c>
      <c r="G163" t="s">
        <v>11</v>
      </c>
      <c r="H163" s="4">
        <v>95.136778115501514</v>
      </c>
    </row>
    <row r="164" spans="1:8" x14ac:dyDescent="0.35">
      <c r="A164">
        <v>3</v>
      </c>
      <c r="B164">
        <v>2012</v>
      </c>
      <c r="C164">
        <v>3</v>
      </c>
      <c r="D164" t="s">
        <v>8</v>
      </c>
      <c r="E164" t="s">
        <v>9</v>
      </c>
      <c r="F164" t="s">
        <v>10</v>
      </c>
      <c r="G164" t="s">
        <v>11</v>
      </c>
      <c r="H164" s="4">
        <v>88.679245283018872</v>
      </c>
    </row>
    <row r="165" spans="1:8" x14ac:dyDescent="0.35">
      <c r="A165">
        <v>4</v>
      </c>
      <c r="B165">
        <v>2012</v>
      </c>
      <c r="C165">
        <v>4</v>
      </c>
      <c r="D165" t="s">
        <v>8</v>
      </c>
      <c r="E165" t="s">
        <v>9</v>
      </c>
      <c r="F165" t="s">
        <v>10</v>
      </c>
      <c r="G165" t="s">
        <v>11</v>
      </c>
      <c r="H165" s="4">
        <v>95.59748427672956</v>
      </c>
    </row>
    <row r="166" spans="1:8" x14ac:dyDescent="0.35">
      <c r="A166">
        <v>5</v>
      </c>
      <c r="B166">
        <v>2013</v>
      </c>
      <c r="C166">
        <v>1</v>
      </c>
      <c r="D166" t="s">
        <v>8</v>
      </c>
      <c r="E166" t="s">
        <v>9</v>
      </c>
      <c r="F166" t="s">
        <v>10</v>
      </c>
      <c r="G166" t="s">
        <v>11</v>
      </c>
      <c r="H166" s="4">
        <v>90.202702702702695</v>
      </c>
    </row>
    <row r="167" spans="1:8" x14ac:dyDescent="0.35">
      <c r="A167">
        <v>6</v>
      </c>
      <c r="B167">
        <v>2013</v>
      </c>
      <c r="C167">
        <v>2</v>
      </c>
      <c r="D167" t="s">
        <v>8</v>
      </c>
      <c r="E167" t="s">
        <v>9</v>
      </c>
      <c r="F167" t="s">
        <v>10</v>
      </c>
      <c r="G167" t="s">
        <v>11</v>
      </c>
      <c r="H167" s="4">
        <v>88.698630136986296</v>
      </c>
    </row>
    <row r="168" spans="1:8" x14ac:dyDescent="0.35">
      <c r="A168">
        <v>7</v>
      </c>
      <c r="B168">
        <v>2013</v>
      </c>
      <c r="C168">
        <v>3</v>
      </c>
      <c r="D168" t="s">
        <v>8</v>
      </c>
      <c r="E168" t="s">
        <v>9</v>
      </c>
      <c r="F168" t="s">
        <v>10</v>
      </c>
      <c r="G168" t="s">
        <v>11</v>
      </c>
      <c r="H168" s="4">
        <v>89.368770764119603</v>
      </c>
    </row>
    <row r="169" spans="1:8" x14ac:dyDescent="0.35">
      <c r="A169">
        <v>8</v>
      </c>
      <c r="B169">
        <v>2013</v>
      </c>
      <c r="C169">
        <v>4</v>
      </c>
      <c r="D169" t="s">
        <v>8</v>
      </c>
      <c r="E169" t="s">
        <v>9</v>
      </c>
      <c r="F169" t="s">
        <v>10</v>
      </c>
      <c r="G169" t="s">
        <v>11</v>
      </c>
      <c r="H169" s="4">
        <v>92.145015105740185</v>
      </c>
    </row>
    <row r="170" spans="1:8" x14ac:dyDescent="0.35">
      <c r="A170">
        <v>9</v>
      </c>
      <c r="B170">
        <v>2014</v>
      </c>
      <c r="C170">
        <v>1</v>
      </c>
      <c r="D170" t="s">
        <v>8</v>
      </c>
      <c r="E170" t="s">
        <v>9</v>
      </c>
      <c r="F170" t="s">
        <v>10</v>
      </c>
      <c r="G170" t="s">
        <v>11</v>
      </c>
      <c r="H170" s="4">
        <v>85.483870967741936</v>
      </c>
    </row>
    <row r="171" spans="1:8" x14ac:dyDescent="0.35">
      <c r="A171">
        <v>10</v>
      </c>
      <c r="B171">
        <v>2014</v>
      </c>
      <c r="C171">
        <v>2</v>
      </c>
      <c r="D171" t="s">
        <v>8</v>
      </c>
      <c r="E171" t="s">
        <v>9</v>
      </c>
      <c r="F171" t="s">
        <v>10</v>
      </c>
      <c r="G171" t="s">
        <v>11</v>
      </c>
      <c r="H171" s="4">
        <v>90.282131661442008</v>
      </c>
    </row>
    <row r="172" spans="1:8" x14ac:dyDescent="0.35">
      <c r="A172">
        <v>11</v>
      </c>
      <c r="B172">
        <v>2014</v>
      </c>
      <c r="C172">
        <v>3</v>
      </c>
      <c r="D172" t="s">
        <v>8</v>
      </c>
      <c r="E172" t="s">
        <v>9</v>
      </c>
      <c r="F172" t="s">
        <v>10</v>
      </c>
      <c r="G172" t="s">
        <v>11</v>
      </c>
      <c r="H172" s="4">
        <v>86.82634730538922</v>
      </c>
    </row>
    <row r="173" spans="1:8" x14ac:dyDescent="0.35">
      <c r="A173">
        <v>12</v>
      </c>
      <c r="B173">
        <v>2014</v>
      </c>
      <c r="C173">
        <v>4</v>
      </c>
      <c r="D173" t="s">
        <v>8</v>
      </c>
      <c r="E173" t="s">
        <v>9</v>
      </c>
      <c r="F173" t="s">
        <v>10</v>
      </c>
      <c r="G173" t="s">
        <v>11</v>
      </c>
      <c r="H173" s="4">
        <v>89.130434782608688</v>
      </c>
    </row>
    <row r="174" spans="1:8" x14ac:dyDescent="0.35">
      <c r="A174">
        <v>13</v>
      </c>
      <c r="B174">
        <v>2015</v>
      </c>
      <c r="C174">
        <v>1</v>
      </c>
      <c r="D174" t="s">
        <v>8</v>
      </c>
      <c r="E174" t="s">
        <v>9</v>
      </c>
      <c r="F174" t="s">
        <v>10</v>
      </c>
      <c r="G174" t="s">
        <v>11</v>
      </c>
      <c r="H174" s="4">
        <v>85.534591194968556</v>
      </c>
    </row>
    <row r="175" spans="1:8" x14ac:dyDescent="0.35">
      <c r="A175">
        <v>14</v>
      </c>
      <c r="B175">
        <v>2015</v>
      </c>
      <c r="C175">
        <v>2</v>
      </c>
      <c r="D175" t="s">
        <v>8</v>
      </c>
      <c r="E175" t="s">
        <v>9</v>
      </c>
      <c r="F175" t="s">
        <v>10</v>
      </c>
      <c r="G175" t="s">
        <v>11</v>
      </c>
      <c r="H175" s="4">
        <v>84.482758620689651</v>
      </c>
    </row>
    <row r="176" spans="1:8" x14ac:dyDescent="0.35">
      <c r="A176">
        <v>15</v>
      </c>
      <c r="B176">
        <v>2015</v>
      </c>
      <c r="C176">
        <v>3</v>
      </c>
      <c r="D176" t="s">
        <v>8</v>
      </c>
      <c r="E176" t="s">
        <v>9</v>
      </c>
      <c r="F176" t="s">
        <v>10</v>
      </c>
      <c r="G176" t="s">
        <v>11</v>
      </c>
      <c r="H176" s="4">
        <v>85</v>
      </c>
    </row>
    <row r="177" spans="1:8" x14ac:dyDescent="0.35">
      <c r="A177">
        <v>16</v>
      </c>
      <c r="B177">
        <v>2015</v>
      </c>
      <c r="C177">
        <v>4</v>
      </c>
      <c r="D177" t="s">
        <v>8</v>
      </c>
      <c r="E177" t="s">
        <v>9</v>
      </c>
      <c r="F177" t="s">
        <v>10</v>
      </c>
      <c r="G177" t="s">
        <v>11</v>
      </c>
      <c r="H177" s="4">
        <v>86.549707602339183</v>
      </c>
    </row>
    <row r="178" spans="1:8" x14ac:dyDescent="0.35">
      <c r="A178">
        <v>17</v>
      </c>
      <c r="B178">
        <v>2016</v>
      </c>
      <c r="C178">
        <v>1</v>
      </c>
      <c r="D178" t="s">
        <v>8</v>
      </c>
      <c r="E178" t="s">
        <v>9</v>
      </c>
      <c r="F178" t="s">
        <v>10</v>
      </c>
      <c r="G178" t="s">
        <v>11</v>
      </c>
      <c r="H178" s="4">
        <v>86.834733893557427</v>
      </c>
    </row>
    <row r="179" spans="1:8" x14ac:dyDescent="0.35">
      <c r="A179">
        <v>18</v>
      </c>
      <c r="B179">
        <v>2016</v>
      </c>
      <c r="C179">
        <v>2</v>
      </c>
      <c r="D179" t="s">
        <v>8</v>
      </c>
      <c r="E179" t="s">
        <v>9</v>
      </c>
      <c r="F179" t="s">
        <v>10</v>
      </c>
      <c r="G179" t="s">
        <v>11</v>
      </c>
      <c r="H179" s="4">
        <v>85.13513513513513</v>
      </c>
    </row>
    <row r="180" spans="1:8" x14ac:dyDescent="0.35">
      <c r="A180">
        <v>19</v>
      </c>
      <c r="B180">
        <v>2016</v>
      </c>
      <c r="C180">
        <v>3</v>
      </c>
      <c r="D180" t="s">
        <v>8</v>
      </c>
      <c r="E180" t="s">
        <v>9</v>
      </c>
      <c r="F180" t="s">
        <v>10</v>
      </c>
      <c r="G180" t="s">
        <v>11</v>
      </c>
      <c r="H180" s="4">
        <v>81.723237597911222</v>
      </c>
    </row>
    <row r="181" spans="1:8" x14ac:dyDescent="0.35">
      <c r="A181">
        <v>20</v>
      </c>
      <c r="B181">
        <v>2016</v>
      </c>
      <c r="C181">
        <v>4</v>
      </c>
      <c r="D181" t="s">
        <v>8</v>
      </c>
      <c r="E181" t="s">
        <v>9</v>
      </c>
      <c r="F181" t="s">
        <v>10</v>
      </c>
      <c r="G181" t="s">
        <v>11</v>
      </c>
      <c r="H181" s="4">
        <v>84.382871536523936</v>
      </c>
    </row>
    <row r="182" spans="1:8" x14ac:dyDescent="0.35">
      <c r="A182">
        <v>21</v>
      </c>
      <c r="B182">
        <v>2017</v>
      </c>
      <c r="C182">
        <v>1</v>
      </c>
      <c r="D182" t="s">
        <v>8</v>
      </c>
      <c r="E182" t="s">
        <v>9</v>
      </c>
      <c r="F182" t="s">
        <v>10</v>
      </c>
      <c r="G182" t="s">
        <v>11</v>
      </c>
      <c r="H182" s="4">
        <v>85.359801488833739</v>
      </c>
    </row>
    <row r="183" spans="1:8" x14ac:dyDescent="0.35">
      <c r="A183">
        <v>22</v>
      </c>
      <c r="B183">
        <v>2017</v>
      </c>
      <c r="C183">
        <v>2</v>
      </c>
      <c r="D183" t="s">
        <v>8</v>
      </c>
      <c r="E183" t="s">
        <v>9</v>
      </c>
      <c r="F183" t="s">
        <v>10</v>
      </c>
      <c r="G183" t="s">
        <v>11</v>
      </c>
      <c r="H183" s="4">
        <v>81.84143222506394</v>
      </c>
    </row>
    <row r="184" spans="1:8" x14ac:dyDescent="0.35">
      <c r="A184">
        <v>23</v>
      </c>
      <c r="B184">
        <v>2017</v>
      </c>
      <c r="C184">
        <v>3</v>
      </c>
      <c r="D184" t="s">
        <v>8</v>
      </c>
      <c r="E184" t="s">
        <v>9</v>
      </c>
      <c r="F184" t="s">
        <v>10</v>
      </c>
      <c r="G184" t="s">
        <v>11</v>
      </c>
      <c r="H184" s="4">
        <v>82.608695652173907</v>
      </c>
    </row>
    <row r="185" spans="1:8" x14ac:dyDescent="0.35">
      <c r="A185">
        <v>24</v>
      </c>
      <c r="B185">
        <v>2017</v>
      </c>
      <c r="C185">
        <v>4</v>
      </c>
      <c r="D185" t="s">
        <v>8</v>
      </c>
      <c r="E185" t="s">
        <v>9</v>
      </c>
      <c r="F185" t="s">
        <v>10</v>
      </c>
      <c r="G185" t="s">
        <v>11</v>
      </c>
      <c r="H185" s="4">
        <v>79.606879606879616</v>
      </c>
    </row>
    <row r="186" spans="1:8" x14ac:dyDescent="0.35">
      <c r="A186">
        <v>25</v>
      </c>
      <c r="B186">
        <v>2018</v>
      </c>
      <c r="C186">
        <v>1</v>
      </c>
      <c r="D186" t="s">
        <v>8</v>
      </c>
      <c r="E186" t="s">
        <v>9</v>
      </c>
      <c r="F186" t="s">
        <v>10</v>
      </c>
      <c r="G186" t="s">
        <v>11</v>
      </c>
      <c r="H186" s="4">
        <v>75.797872340425528</v>
      </c>
    </row>
    <row r="187" spans="1:8" x14ac:dyDescent="0.35">
      <c r="A187">
        <v>26</v>
      </c>
      <c r="B187">
        <v>2018</v>
      </c>
      <c r="C187">
        <v>2</v>
      </c>
      <c r="D187" t="s">
        <v>8</v>
      </c>
      <c r="E187" t="s">
        <v>9</v>
      </c>
      <c r="F187" t="s">
        <v>10</v>
      </c>
      <c r="G187" t="s">
        <v>11</v>
      </c>
      <c r="H187" s="4">
        <v>79.820627802690581</v>
      </c>
    </row>
    <row r="188" spans="1:8" x14ac:dyDescent="0.35">
      <c r="A188">
        <v>27</v>
      </c>
      <c r="B188">
        <v>2018</v>
      </c>
      <c r="C188">
        <v>3</v>
      </c>
      <c r="D188" t="s">
        <v>8</v>
      </c>
      <c r="E188" t="s">
        <v>9</v>
      </c>
      <c r="F188" t="s">
        <v>10</v>
      </c>
      <c r="G188" t="s">
        <v>11</v>
      </c>
      <c r="H188" s="4">
        <v>76.712328767123282</v>
      </c>
    </row>
    <row r="189" spans="1:8" x14ac:dyDescent="0.35">
      <c r="A189">
        <v>28</v>
      </c>
      <c r="B189">
        <v>2018</v>
      </c>
      <c r="C189">
        <v>4</v>
      </c>
      <c r="D189" t="s">
        <v>8</v>
      </c>
      <c r="E189" t="s">
        <v>9</v>
      </c>
      <c r="F189" t="s">
        <v>10</v>
      </c>
      <c r="G189" t="s">
        <v>11</v>
      </c>
      <c r="H189" s="4">
        <v>79.136690647482013</v>
      </c>
    </row>
    <row r="190" spans="1:8" x14ac:dyDescent="0.35">
      <c r="A190">
        <v>29</v>
      </c>
      <c r="B190">
        <v>2019</v>
      </c>
      <c r="C190">
        <v>1</v>
      </c>
      <c r="D190" t="s">
        <v>8</v>
      </c>
      <c r="E190" t="s">
        <v>9</v>
      </c>
      <c r="F190" t="s">
        <v>10</v>
      </c>
      <c r="G190" t="s">
        <v>11</v>
      </c>
      <c r="H190" s="4">
        <v>76.737967914438499</v>
      </c>
    </row>
    <row r="191" spans="1:8" x14ac:dyDescent="0.35">
      <c r="A191">
        <v>30</v>
      </c>
      <c r="B191">
        <v>2019</v>
      </c>
      <c r="C191">
        <v>2</v>
      </c>
      <c r="D191" t="s">
        <v>8</v>
      </c>
      <c r="E191" t="s">
        <v>9</v>
      </c>
      <c r="F191" t="s">
        <v>10</v>
      </c>
      <c r="G191" t="s">
        <v>11</v>
      </c>
      <c r="H191" s="4">
        <v>86.634844868735087</v>
      </c>
    </row>
    <row r="192" spans="1:8" x14ac:dyDescent="0.35">
      <c r="A192">
        <v>31</v>
      </c>
      <c r="B192">
        <v>2019</v>
      </c>
      <c r="C192">
        <v>3</v>
      </c>
      <c r="D192" t="s">
        <v>8</v>
      </c>
      <c r="E192" t="s">
        <v>9</v>
      </c>
      <c r="F192" t="s">
        <v>10</v>
      </c>
      <c r="G192" t="s">
        <v>11</v>
      </c>
      <c r="H192" s="4">
        <v>79.126213592233015</v>
      </c>
    </row>
    <row r="193" spans="1:8" x14ac:dyDescent="0.35">
      <c r="A193">
        <v>32</v>
      </c>
      <c r="B193">
        <v>2019</v>
      </c>
      <c r="C193">
        <v>4</v>
      </c>
      <c r="D193" t="s">
        <v>8</v>
      </c>
      <c r="E193" t="s">
        <v>9</v>
      </c>
      <c r="F193" t="s">
        <v>10</v>
      </c>
      <c r="G193" t="s">
        <v>11</v>
      </c>
      <c r="H193" s="4">
        <v>79.255319148936167</v>
      </c>
    </row>
    <row r="194" spans="1:8" x14ac:dyDescent="0.35">
      <c r="A194">
        <v>33</v>
      </c>
      <c r="B194">
        <v>2020</v>
      </c>
      <c r="C194">
        <v>1</v>
      </c>
      <c r="D194" t="s">
        <v>8</v>
      </c>
      <c r="E194" t="s">
        <v>9</v>
      </c>
      <c r="F194" t="s">
        <v>10</v>
      </c>
      <c r="G194" t="s">
        <v>11</v>
      </c>
      <c r="H194" s="4">
        <v>83.78378378378379</v>
      </c>
    </row>
    <row r="195" spans="1:8" x14ac:dyDescent="0.35">
      <c r="A195">
        <v>34</v>
      </c>
      <c r="B195">
        <v>2020</v>
      </c>
      <c r="C195">
        <v>2</v>
      </c>
      <c r="D195" t="s">
        <v>8</v>
      </c>
      <c r="E195" t="s">
        <v>9</v>
      </c>
      <c r="F195" t="s">
        <v>10</v>
      </c>
      <c r="G195" t="s">
        <v>11</v>
      </c>
      <c r="H195" s="4">
        <v>80.792682926829272</v>
      </c>
    </row>
    <row r="196" spans="1:8" x14ac:dyDescent="0.35">
      <c r="A196">
        <v>35</v>
      </c>
      <c r="B196">
        <v>2020</v>
      </c>
      <c r="C196">
        <v>3</v>
      </c>
      <c r="D196" t="s">
        <v>8</v>
      </c>
      <c r="E196" t="s">
        <v>9</v>
      </c>
      <c r="F196" t="s">
        <v>10</v>
      </c>
      <c r="G196" t="s">
        <v>11</v>
      </c>
      <c r="H196" s="4">
        <v>81.350482315112544</v>
      </c>
    </row>
    <row r="197" spans="1:8" x14ac:dyDescent="0.35">
      <c r="A197">
        <v>36</v>
      </c>
      <c r="B197">
        <v>2020</v>
      </c>
      <c r="C197">
        <v>4</v>
      </c>
      <c r="D197" t="s">
        <v>8</v>
      </c>
      <c r="E197" t="s">
        <v>9</v>
      </c>
      <c r="F197" t="s">
        <v>10</v>
      </c>
      <c r="G197" t="s">
        <v>11</v>
      </c>
      <c r="H197" s="4">
        <v>86.206896551724128</v>
      </c>
    </row>
    <row r="198" spans="1:8" x14ac:dyDescent="0.35">
      <c r="A198">
        <v>37</v>
      </c>
      <c r="B198">
        <v>2021</v>
      </c>
      <c r="C198">
        <v>1</v>
      </c>
      <c r="D198" t="s">
        <v>8</v>
      </c>
      <c r="E198" t="s">
        <v>9</v>
      </c>
      <c r="F198" t="s">
        <v>10</v>
      </c>
      <c r="G198" t="s">
        <v>11</v>
      </c>
      <c r="H198" s="4">
        <v>75.454545454545453</v>
      </c>
    </row>
    <row r="199" spans="1:8" x14ac:dyDescent="0.35">
      <c r="A199">
        <v>38</v>
      </c>
      <c r="B199">
        <v>2021</v>
      </c>
      <c r="C199">
        <v>2</v>
      </c>
      <c r="D199" t="s">
        <v>8</v>
      </c>
      <c r="E199" t="s">
        <v>9</v>
      </c>
      <c r="F199" t="s">
        <v>10</v>
      </c>
      <c r="G199" t="s">
        <v>11</v>
      </c>
      <c r="H199" s="4">
        <v>80.361757105943155</v>
      </c>
    </row>
    <row r="200" spans="1:8" x14ac:dyDescent="0.35">
      <c r="A200">
        <v>39</v>
      </c>
      <c r="B200">
        <v>2021</v>
      </c>
      <c r="C200">
        <v>3</v>
      </c>
      <c r="D200" t="s">
        <v>8</v>
      </c>
      <c r="E200" t="s">
        <v>9</v>
      </c>
      <c r="F200" t="s">
        <v>10</v>
      </c>
      <c r="G200" t="s">
        <v>11</v>
      </c>
      <c r="H200" s="4">
        <v>75.335120643431637</v>
      </c>
    </row>
    <row r="201" spans="1:8" x14ac:dyDescent="0.35">
      <c r="A201">
        <v>40</v>
      </c>
      <c r="B201">
        <v>2021</v>
      </c>
      <c r="C201">
        <v>4</v>
      </c>
      <c r="D201" t="s">
        <v>8</v>
      </c>
      <c r="E201" t="s">
        <v>9</v>
      </c>
      <c r="F201" t="s">
        <v>10</v>
      </c>
      <c r="G201" t="s">
        <v>11</v>
      </c>
      <c r="H201" s="4">
        <v>72.616136919315394</v>
      </c>
    </row>
    <row r="202" spans="1:8" x14ac:dyDescent="0.35">
      <c r="A202">
        <v>1</v>
      </c>
      <c r="B202">
        <v>2012</v>
      </c>
      <c r="C202">
        <v>1</v>
      </c>
      <c r="D202" t="s">
        <v>8</v>
      </c>
      <c r="E202" t="s">
        <v>9</v>
      </c>
      <c r="F202" t="s">
        <v>69</v>
      </c>
      <c r="G202" t="s">
        <v>68</v>
      </c>
      <c r="H202" s="4">
        <v>95.512820512820511</v>
      </c>
    </row>
    <row r="203" spans="1:8" x14ac:dyDescent="0.35">
      <c r="A203">
        <v>2</v>
      </c>
      <c r="B203">
        <v>2012</v>
      </c>
      <c r="C203">
        <v>2</v>
      </c>
      <c r="D203" t="s">
        <v>8</v>
      </c>
      <c r="E203" t="s">
        <v>9</v>
      </c>
      <c r="F203" t="s">
        <v>69</v>
      </c>
      <c r="G203" t="s">
        <v>68</v>
      </c>
      <c r="H203" s="4">
        <v>97.560975609756099</v>
      </c>
    </row>
    <row r="204" spans="1:8" x14ac:dyDescent="0.35">
      <c r="A204">
        <v>3</v>
      </c>
      <c r="B204">
        <v>2012</v>
      </c>
      <c r="C204">
        <v>3</v>
      </c>
      <c r="D204" t="s">
        <v>8</v>
      </c>
      <c r="E204" t="s">
        <v>9</v>
      </c>
      <c r="F204" t="s">
        <v>69</v>
      </c>
      <c r="G204" t="s">
        <v>68</v>
      </c>
      <c r="H204" s="4">
        <v>96.875</v>
      </c>
    </row>
    <row r="205" spans="1:8" x14ac:dyDescent="0.35">
      <c r="A205">
        <v>4</v>
      </c>
      <c r="B205">
        <v>2012</v>
      </c>
      <c r="C205">
        <v>4</v>
      </c>
      <c r="D205" t="s">
        <v>8</v>
      </c>
      <c r="E205" t="s">
        <v>9</v>
      </c>
      <c r="F205" t="s">
        <v>69</v>
      </c>
      <c r="G205" t="s">
        <v>68</v>
      </c>
      <c r="H205" s="4">
        <v>93.442622950819683</v>
      </c>
    </row>
    <row r="206" spans="1:8" x14ac:dyDescent="0.35">
      <c r="A206">
        <v>5</v>
      </c>
      <c r="B206">
        <v>2013</v>
      </c>
      <c r="C206">
        <v>1</v>
      </c>
      <c r="D206" t="s">
        <v>8</v>
      </c>
      <c r="E206" t="s">
        <v>9</v>
      </c>
      <c r="F206" t="s">
        <v>69</v>
      </c>
      <c r="G206" t="s">
        <v>68</v>
      </c>
      <c r="H206" s="4">
        <v>90</v>
      </c>
    </row>
    <row r="207" spans="1:8" x14ac:dyDescent="0.35">
      <c r="A207">
        <v>6</v>
      </c>
      <c r="B207">
        <v>2013</v>
      </c>
      <c r="C207">
        <v>2</v>
      </c>
      <c r="D207" t="s">
        <v>8</v>
      </c>
      <c r="E207" t="s">
        <v>9</v>
      </c>
      <c r="F207" t="s">
        <v>69</v>
      </c>
      <c r="G207" t="s">
        <v>68</v>
      </c>
      <c r="H207" s="4">
        <v>92.972972972972983</v>
      </c>
    </row>
    <row r="208" spans="1:8" x14ac:dyDescent="0.35">
      <c r="A208">
        <v>7</v>
      </c>
      <c r="B208">
        <v>2013</v>
      </c>
      <c r="C208">
        <v>3</v>
      </c>
      <c r="D208" t="s">
        <v>8</v>
      </c>
      <c r="E208" t="s">
        <v>9</v>
      </c>
      <c r="F208" t="s">
        <v>69</v>
      </c>
      <c r="G208" t="s">
        <v>68</v>
      </c>
      <c r="H208" s="4">
        <v>93.264248704663217</v>
      </c>
    </row>
    <row r="209" spans="1:8" x14ac:dyDescent="0.35">
      <c r="A209">
        <v>8</v>
      </c>
      <c r="B209">
        <v>2013</v>
      </c>
      <c r="C209">
        <v>4</v>
      </c>
      <c r="D209" t="s">
        <v>8</v>
      </c>
      <c r="E209" t="s">
        <v>9</v>
      </c>
      <c r="F209" t="s">
        <v>69</v>
      </c>
      <c r="G209" t="s">
        <v>68</v>
      </c>
      <c r="H209" s="4">
        <v>95.26627218934911</v>
      </c>
    </row>
    <row r="210" spans="1:8" x14ac:dyDescent="0.35">
      <c r="A210">
        <v>9</v>
      </c>
      <c r="B210">
        <v>2014</v>
      </c>
      <c r="C210">
        <v>1</v>
      </c>
      <c r="D210" t="s">
        <v>8</v>
      </c>
      <c r="E210" t="s">
        <v>9</v>
      </c>
      <c r="F210" t="s">
        <v>69</v>
      </c>
      <c r="G210" t="s">
        <v>68</v>
      </c>
      <c r="H210" s="4">
        <v>89.444444444444443</v>
      </c>
    </row>
    <row r="211" spans="1:8" x14ac:dyDescent="0.35">
      <c r="A211">
        <v>10</v>
      </c>
      <c r="B211">
        <v>2014</v>
      </c>
      <c r="C211">
        <v>2</v>
      </c>
      <c r="D211" t="s">
        <v>8</v>
      </c>
      <c r="E211" t="s">
        <v>9</v>
      </c>
      <c r="F211" t="s">
        <v>69</v>
      </c>
      <c r="G211" t="s">
        <v>68</v>
      </c>
      <c r="H211" s="4">
        <v>91.397849462365585</v>
      </c>
    </row>
    <row r="212" spans="1:8" x14ac:dyDescent="0.35">
      <c r="A212">
        <v>11</v>
      </c>
      <c r="B212">
        <v>2014</v>
      </c>
      <c r="C212">
        <v>3</v>
      </c>
      <c r="D212" t="s">
        <v>8</v>
      </c>
      <c r="E212" t="s">
        <v>9</v>
      </c>
      <c r="F212" t="s">
        <v>69</v>
      </c>
      <c r="G212" t="s">
        <v>68</v>
      </c>
      <c r="H212" s="4">
        <v>94.674556213017752</v>
      </c>
    </row>
    <row r="213" spans="1:8" x14ac:dyDescent="0.35">
      <c r="A213">
        <v>12</v>
      </c>
      <c r="B213">
        <v>2014</v>
      </c>
      <c r="C213">
        <v>4</v>
      </c>
      <c r="D213" t="s">
        <v>8</v>
      </c>
      <c r="E213" t="s">
        <v>9</v>
      </c>
      <c r="F213" t="s">
        <v>69</v>
      </c>
      <c r="G213" t="s">
        <v>68</v>
      </c>
      <c r="H213" s="4">
        <v>94.318181818181827</v>
      </c>
    </row>
    <row r="214" spans="1:8" x14ac:dyDescent="0.35">
      <c r="A214">
        <v>13</v>
      </c>
      <c r="B214">
        <v>2015</v>
      </c>
      <c r="C214">
        <v>1</v>
      </c>
      <c r="D214" t="s">
        <v>8</v>
      </c>
      <c r="E214" t="s">
        <v>9</v>
      </c>
      <c r="F214" t="s">
        <v>69</v>
      </c>
      <c r="G214" t="s">
        <v>68</v>
      </c>
      <c r="H214" s="4">
        <v>94.413407821229043</v>
      </c>
    </row>
    <row r="215" spans="1:8" x14ac:dyDescent="0.35">
      <c r="A215">
        <v>14</v>
      </c>
      <c r="B215">
        <v>2015</v>
      </c>
      <c r="C215">
        <v>2</v>
      </c>
      <c r="D215" t="s">
        <v>8</v>
      </c>
      <c r="E215" t="s">
        <v>9</v>
      </c>
      <c r="F215" t="s">
        <v>69</v>
      </c>
      <c r="G215" t="s">
        <v>68</v>
      </c>
      <c r="H215" s="4">
        <v>88.64864864864866</v>
      </c>
    </row>
    <row r="216" spans="1:8" x14ac:dyDescent="0.35">
      <c r="A216">
        <v>15</v>
      </c>
      <c r="B216">
        <v>2015</v>
      </c>
      <c r="C216">
        <v>3</v>
      </c>
      <c r="D216" t="s">
        <v>8</v>
      </c>
      <c r="E216" t="s">
        <v>9</v>
      </c>
      <c r="F216" t="s">
        <v>69</v>
      </c>
      <c r="G216" t="s">
        <v>68</v>
      </c>
      <c r="H216" s="4">
        <v>87.939698492462313</v>
      </c>
    </row>
    <row r="217" spans="1:8" x14ac:dyDescent="0.35">
      <c r="A217">
        <v>16</v>
      </c>
      <c r="B217">
        <v>2015</v>
      </c>
      <c r="C217">
        <v>4</v>
      </c>
      <c r="D217" t="s">
        <v>8</v>
      </c>
      <c r="E217" t="s">
        <v>9</v>
      </c>
      <c r="F217" t="s">
        <v>69</v>
      </c>
      <c r="G217" t="s">
        <v>68</v>
      </c>
      <c r="H217" s="4">
        <v>90.957446808510639</v>
      </c>
    </row>
    <row r="218" spans="1:8" x14ac:dyDescent="0.35">
      <c r="A218">
        <v>17</v>
      </c>
      <c r="B218">
        <v>2016</v>
      </c>
      <c r="C218">
        <v>1</v>
      </c>
      <c r="D218" t="s">
        <v>8</v>
      </c>
      <c r="E218" t="s">
        <v>9</v>
      </c>
      <c r="F218" t="s">
        <v>69</v>
      </c>
      <c r="G218" t="s">
        <v>68</v>
      </c>
      <c r="H218" s="4">
        <v>93.670886075949369</v>
      </c>
    </row>
    <row r="219" spans="1:8" x14ac:dyDescent="0.35">
      <c r="A219">
        <v>18</v>
      </c>
      <c r="B219">
        <v>2016</v>
      </c>
      <c r="C219">
        <v>2</v>
      </c>
      <c r="D219" t="s">
        <v>8</v>
      </c>
      <c r="E219" t="s">
        <v>9</v>
      </c>
      <c r="F219" t="s">
        <v>69</v>
      </c>
      <c r="G219" t="s">
        <v>68</v>
      </c>
      <c r="H219" s="4">
        <v>84.472049689440993</v>
      </c>
    </row>
    <row r="220" spans="1:8" x14ac:dyDescent="0.35">
      <c r="A220">
        <v>19</v>
      </c>
      <c r="B220">
        <v>2016</v>
      </c>
      <c r="C220">
        <v>3</v>
      </c>
      <c r="D220" t="s">
        <v>8</v>
      </c>
      <c r="E220" t="s">
        <v>9</v>
      </c>
      <c r="F220" t="s">
        <v>69</v>
      </c>
      <c r="G220" t="s">
        <v>68</v>
      </c>
      <c r="H220" s="4">
        <v>88.829787234042556</v>
      </c>
    </row>
    <row r="221" spans="1:8" x14ac:dyDescent="0.35">
      <c r="A221">
        <v>20</v>
      </c>
      <c r="B221">
        <v>2016</v>
      </c>
      <c r="C221">
        <v>4</v>
      </c>
      <c r="D221" t="s">
        <v>8</v>
      </c>
      <c r="E221" t="s">
        <v>9</v>
      </c>
      <c r="F221" t="s">
        <v>69</v>
      </c>
      <c r="G221" t="s">
        <v>68</v>
      </c>
      <c r="H221" s="4">
        <v>84.768211920529808</v>
      </c>
    </row>
    <row r="222" spans="1:8" x14ac:dyDescent="0.35">
      <c r="A222">
        <v>21</v>
      </c>
      <c r="B222">
        <v>2017</v>
      </c>
      <c r="C222">
        <v>1</v>
      </c>
      <c r="D222" t="s">
        <v>8</v>
      </c>
      <c r="E222" t="s">
        <v>9</v>
      </c>
      <c r="F222" t="s">
        <v>69</v>
      </c>
      <c r="G222" t="s">
        <v>68</v>
      </c>
      <c r="H222" s="4">
        <v>88.41463414634147</v>
      </c>
    </row>
    <row r="223" spans="1:8" x14ac:dyDescent="0.35">
      <c r="A223">
        <v>22</v>
      </c>
      <c r="B223">
        <v>2017</v>
      </c>
      <c r="C223">
        <v>2</v>
      </c>
      <c r="D223" t="s">
        <v>8</v>
      </c>
      <c r="E223" t="s">
        <v>9</v>
      </c>
      <c r="F223" t="s">
        <v>69</v>
      </c>
      <c r="G223" t="s">
        <v>68</v>
      </c>
      <c r="H223" s="4">
        <v>82.8125</v>
      </c>
    </row>
    <row r="224" spans="1:8" x14ac:dyDescent="0.35">
      <c r="A224">
        <v>23</v>
      </c>
      <c r="B224">
        <v>2017</v>
      </c>
      <c r="C224">
        <v>3</v>
      </c>
      <c r="D224" t="s">
        <v>8</v>
      </c>
      <c r="E224" t="s">
        <v>9</v>
      </c>
      <c r="F224" t="s">
        <v>69</v>
      </c>
      <c r="G224" t="s">
        <v>68</v>
      </c>
      <c r="H224" s="4">
        <v>86.631016042780757</v>
      </c>
    </row>
    <row r="225" spans="1:8" x14ac:dyDescent="0.35">
      <c r="A225">
        <v>24</v>
      </c>
      <c r="B225">
        <v>2017</v>
      </c>
      <c r="C225">
        <v>4</v>
      </c>
      <c r="D225" t="s">
        <v>8</v>
      </c>
      <c r="E225" t="s">
        <v>9</v>
      </c>
      <c r="F225" t="s">
        <v>69</v>
      </c>
      <c r="G225" t="s">
        <v>68</v>
      </c>
      <c r="H225" s="4">
        <v>85.082872928176798</v>
      </c>
    </row>
    <row r="226" spans="1:8" x14ac:dyDescent="0.35">
      <c r="A226">
        <v>25</v>
      </c>
      <c r="B226">
        <v>2018</v>
      </c>
      <c r="C226">
        <v>1</v>
      </c>
      <c r="D226" t="s">
        <v>8</v>
      </c>
      <c r="E226" t="s">
        <v>9</v>
      </c>
      <c r="F226" t="s">
        <v>69</v>
      </c>
      <c r="G226" t="s">
        <v>68</v>
      </c>
      <c r="H226" s="4">
        <v>82.775119617224874</v>
      </c>
    </row>
    <row r="227" spans="1:8" x14ac:dyDescent="0.35">
      <c r="A227">
        <v>26</v>
      </c>
      <c r="B227">
        <v>2018</v>
      </c>
      <c r="C227">
        <v>2</v>
      </c>
      <c r="D227" t="s">
        <v>8</v>
      </c>
      <c r="E227" t="s">
        <v>9</v>
      </c>
      <c r="F227" t="s">
        <v>69</v>
      </c>
      <c r="G227" t="s">
        <v>68</v>
      </c>
      <c r="H227" s="4">
        <v>86.206896551724128</v>
      </c>
    </row>
    <row r="228" spans="1:8" x14ac:dyDescent="0.35">
      <c r="A228">
        <v>27</v>
      </c>
      <c r="B228">
        <v>2018</v>
      </c>
      <c r="C228">
        <v>3</v>
      </c>
      <c r="D228" t="s">
        <v>8</v>
      </c>
      <c r="E228" t="s">
        <v>9</v>
      </c>
      <c r="F228" t="s">
        <v>69</v>
      </c>
      <c r="G228" t="s">
        <v>68</v>
      </c>
      <c r="H228" s="4">
        <v>79.326923076923066</v>
      </c>
    </row>
    <row r="229" spans="1:8" x14ac:dyDescent="0.35">
      <c r="A229">
        <v>28</v>
      </c>
      <c r="B229">
        <v>2018</v>
      </c>
      <c r="C229">
        <v>4</v>
      </c>
      <c r="D229" t="s">
        <v>8</v>
      </c>
      <c r="E229" t="s">
        <v>9</v>
      </c>
      <c r="F229" t="s">
        <v>69</v>
      </c>
      <c r="G229" t="s">
        <v>68</v>
      </c>
      <c r="H229" s="4">
        <v>83.65384615384616</v>
      </c>
    </row>
    <row r="230" spans="1:8" x14ac:dyDescent="0.35">
      <c r="A230">
        <v>29</v>
      </c>
      <c r="B230">
        <v>2019</v>
      </c>
      <c r="C230">
        <v>1</v>
      </c>
      <c r="D230" t="s">
        <v>8</v>
      </c>
      <c r="E230" t="s">
        <v>9</v>
      </c>
      <c r="F230" t="s">
        <v>69</v>
      </c>
      <c r="G230" t="s">
        <v>68</v>
      </c>
      <c r="H230" s="4">
        <v>74.090909090909093</v>
      </c>
    </row>
    <row r="231" spans="1:8" x14ac:dyDescent="0.35">
      <c r="A231">
        <v>30</v>
      </c>
      <c r="B231">
        <v>2019</v>
      </c>
      <c r="C231">
        <v>2</v>
      </c>
      <c r="D231" t="s">
        <v>8</v>
      </c>
      <c r="E231" t="s">
        <v>9</v>
      </c>
      <c r="F231" t="s">
        <v>69</v>
      </c>
      <c r="G231" t="s">
        <v>68</v>
      </c>
      <c r="H231" s="4">
        <v>83.944954128440358</v>
      </c>
    </row>
    <row r="232" spans="1:8" x14ac:dyDescent="0.35">
      <c r="A232">
        <v>31</v>
      </c>
      <c r="B232">
        <v>2019</v>
      </c>
      <c r="C232">
        <v>3</v>
      </c>
      <c r="D232" t="s">
        <v>8</v>
      </c>
      <c r="E232" t="s">
        <v>9</v>
      </c>
      <c r="F232" t="s">
        <v>69</v>
      </c>
      <c r="G232" t="s">
        <v>68</v>
      </c>
      <c r="H232" s="4">
        <v>77.253218884120173</v>
      </c>
    </row>
    <row r="233" spans="1:8" x14ac:dyDescent="0.35">
      <c r="A233">
        <v>32</v>
      </c>
      <c r="B233">
        <v>2019</v>
      </c>
      <c r="C233">
        <v>4</v>
      </c>
      <c r="D233" t="s">
        <v>8</v>
      </c>
      <c r="E233" t="s">
        <v>9</v>
      </c>
      <c r="F233" t="s">
        <v>69</v>
      </c>
      <c r="G233" t="s">
        <v>68</v>
      </c>
      <c r="H233" s="4">
        <v>73.267326732673268</v>
      </c>
    </row>
    <row r="234" spans="1:8" x14ac:dyDescent="0.35">
      <c r="A234">
        <v>33</v>
      </c>
      <c r="B234">
        <v>2020</v>
      </c>
      <c r="C234">
        <v>1</v>
      </c>
      <c r="D234" t="s">
        <v>8</v>
      </c>
      <c r="E234" t="s">
        <v>9</v>
      </c>
      <c r="F234" t="s">
        <v>69</v>
      </c>
      <c r="G234" t="s">
        <v>68</v>
      </c>
      <c r="H234" s="4">
        <v>74.528301886792448</v>
      </c>
    </row>
    <row r="235" spans="1:8" x14ac:dyDescent="0.35">
      <c r="A235">
        <v>34</v>
      </c>
      <c r="B235">
        <v>2020</v>
      </c>
      <c r="C235">
        <v>2</v>
      </c>
      <c r="D235" t="s">
        <v>8</v>
      </c>
      <c r="E235" t="s">
        <v>9</v>
      </c>
      <c r="F235" t="s">
        <v>69</v>
      </c>
      <c r="G235" t="s">
        <v>68</v>
      </c>
      <c r="H235" s="4">
        <v>73.5</v>
      </c>
    </row>
    <row r="236" spans="1:8" x14ac:dyDescent="0.35">
      <c r="A236">
        <v>35</v>
      </c>
      <c r="B236">
        <v>2020</v>
      </c>
      <c r="C236">
        <v>3</v>
      </c>
      <c r="D236" t="s">
        <v>8</v>
      </c>
      <c r="E236" t="s">
        <v>9</v>
      </c>
      <c r="F236" t="s">
        <v>69</v>
      </c>
      <c r="G236" t="s">
        <v>68</v>
      </c>
      <c r="H236" s="4">
        <v>74.585635359116026</v>
      </c>
    </row>
    <row r="237" spans="1:8" x14ac:dyDescent="0.35">
      <c r="A237">
        <v>36</v>
      </c>
      <c r="B237">
        <v>2020</v>
      </c>
      <c r="C237">
        <v>4</v>
      </c>
      <c r="D237" t="s">
        <v>8</v>
      </c>
      <c r="E237" t="s">
        <v>9</v>
      </c>
      <c r="F237" t="s">
        <v>69</v>
      </c>
      <c r="G237" t="s">
        <v>68</v>
      </c>
      <c r="H237" s="4">
        <v>70.56074766355141</v>
      </c>
    </row>
    <row r="238" spans="1:8" x14ac:dyDescent="0.35">
      <c r="A238">
        <v>37</v>
      </c>
      <c r="B238">
        <v>2021</v>
      </c>
      <c r="C238">
        <v>1</v>
      </c>
      <c r="D238" t="s">
        <v>8</v>
      </c>
      <c r="E238" t="s">
        <v>9</v>
      </c>
      <c r="F238" t="s">
        <v>69</v>
      </c>
      <c r="G238" t="s">
        <v>68</v>
      </c>
      <c r="H238" s="4">
        <v>72.56637168141593</v>
      </c>
    </row>
    <row r="239" spans="1:8" x14ac:dyDescent="0.35">
      <c r="A239">
        <v>38</v>
      </c>
      <c r="B239">
        <v>2021</v>
      </c>
      <c r="C239">
        <v>2</v>
      </c>
      <c r="D239" t="s">
        <v>8</v>
      </c>
      <c r="E239" t="s">
        <v>9</v>
      </c>
      <c r="F239" t="s">
        <v>69</v>
      </c>
      <c r="G239" t="s">
        <v>68</v>
      </c>
      <c r="H239" s="4">
        <v>67.158671586715869</v>
      </c>
    </row>
    <row r="240" spans="1:8" x14ac:dyDescent="0.35">
      <c r="A240">
        <v>39</v>
      </c>
      <c r="B240">
        <v>2021</v>
      </c>
      <c r="C240">
        <v>3</v>
      </c>
      <c r="D240" t="s">
        <v>8</v>
      </c>
      <c r="E240" t="s">
        <v>9</v>
      </c>
      <c r="F240" t="s">
        <v>69</v>
      </c>
      <c r="G240" t="s">
        <v>68</v>
      </c>
      <c r="H240" s="4">
        <v>80.882352941176478</v>
      </c>
    </row>
    <row r="241" spans="1:8" x14ac:dyDescent="0.35">
      <c r="A241">
        <v>40</v>
      </c>
      <c r="B241">
        <v>2021</v>
      </c>
      <c r="C241">
        <v>4</v>
      </c>
      <c r="D241" t="s">
        <v>8</v>
      </c>
      <c r="E241" t="s">
        <v>9</v>
      </c>
      <c r="F241" t="s">
        <v>69</v>
      </c>
      <c r="G241" t="s">
        <v>68</v>
      </c>
      <c r="H241" s="4">
        <v>86.715867158671585</v>
      </c>
    </row>
    <row r="242" spans="1:8" x14ac:dyDescent="0.35">
      <c r="A242">
        <v>1</v>
      </c>
      <c r="B242">
        <v>2012</v>
      </c>
      <c r="C242">
        <v>1</v>
      </c>
      <c r="D242" t="s">
        <v>8</v>
      </c>
      <c r="E242" t="s">
        <v>9</v>
      </c>
      <c r="F242" t="s">
        <v>49</v>
      </c>
      <c r="G242" t="s">
        <v>50</v>
      </c>
      <c r="H242" s="4">
        <v>94.642857142857139</v>
      </c>
    </row>
    <row r="243" spans="1:8" x14ac:dyDescent="0.35">
      <c r="A243">
        <v>2</v>
      </c>
      <c r="B243">
        <v>2012</v>
      </c>
      <c r="C243">
        <v>2</v>
      </c>
      <c r="D243" t="s">
        <v>8</v>
      </c>
      <c r="E243" t="s">
        <v>9</v>
      </c>
      <c r="F243" t="s">
        <v>49</v>
      </c>
      <c r="G243" t="s">
        <v>50</v>
      </c>
      <c r="H243" s="4">
        <v>92.025518341307816</v>
      </c>
    </row>
    <row r="244" spans="1:8" x14ac:dyDescent="0.35">
      <c r="A244">
        <v>3</v>
      </c>
      <c r="B244">
        <v>2012</v>
      </c>
      <c r="C244">
        <v>3</v>
      </c>
      <c r="D244" t="s">
        <v>8</v>
      </c>
      <c r="E244" t="s">
        <v>9</v>
      </c>
      <c r="F244" t="s">
        <v>49</v>
      </c>
      <c r="G244" t="s">
        <v>50</v>
      </c>
      <c r="H244" s="4">
        <v>90.085470085470092</v>
      </c>
    </row>
    <row r="245" spans="1:8" x14ac:dyDescent="0.35">
      <c r="A245">
        <v>4</v>
      </c>
      <c r="B245">
        <v>2012</v>
      </c>
      <c r="C245">
        <v>4</v>
      </c>
      <c r="D245" t="s">
        <v>8</v>
      </c>
      <c r="E245" t="s">
        <v>9</v>
      </c>
      <c r="F245" t="s">
        <v>49</v>
      </c>
      <c r="G245" t="s">
        <v>50</v>
      </c>
      <c r="H245" s="4">
        <v>95.595432300163125</v>
      </c>
    </row>
    <row r="246" spans="1:8" x14ac:dyDescent="0.35">
      <c r="A246">
        <v>5</v>
      </c>
      <c r="B246">
        <v>2013</v>
      </c>
      <c r="C246">
        <v>1</v>
      </c>
      <c r="D246" t="s">
        <v>8</v>
      </c>
      <c r="E246" t="s">
        <v>9</v>
      </c>
      <c r="F246" t="s">
        <v>49</v>
      </c>
      <c r="G246" t="s">
        <v>50</v>
      </c>
      <c r="H246" s="4">
        <v>94.708029197080293</v>
      </c>
    </row>
    <row r="247" spans="1:8" x14ac:dyDescent="0.35">
      <c r="A247">
        <v>6</v>
      </c>
      <c r="B247">
        <v>2013</v>
      </c>
      <c r="C247">
        <v>2</v>
      </c>
      <c r="D247" t="s">
        <v>8</v>
      </c>
      <c r="E247" t="s">
        <v>9</v>
      </c>
      <c r="F247" t="s">
        <v>49</v>
      </c>
      <c r="G247" t="s">
        <v>50</v>
      </c>
      <c r="H247" s="4">
        <v>94.21641791044776</v>
      </c>
    </row>
    <row r="248" spans="1:8" x14ac:dyDescent="0.35">
      <c r="A248">
        <v>7</v>
      </c>
      <c r="B248">
        <v>2013</v>
      </c>
      <c r="C248">
        <v>3</v>
      </c>
      <c r="D248" t="s">
        <v>8</v>
      </c>
      <c r="E248" t="s">
        <v>9</v>
      </c>
      <c r="F248" t="s">
        <v>49</v>
      </c>
      <c r="G248" t="s">
        <v>50</v>
      </c>
      <c r="H248" s="4">
        <v>95.585738539898131</v>
      </c>
    </row>
    <row r="249" spans="1:8" x14ac:dyDescent="0.35">
      <c r="A249">
        <v>8</v>
      </c>
      <c r="B249">
        <v>2013</v>
      </c>
      <c r="C249">
        <v>4</v>
      </c>
      <c r="D249" t="s">
        <v>8</v>
      </c>
      <c r="E249" t="s">
        <v>9</v>
      </c>
      <c r="F249" t="s">
        <v>49</v>
      </c>
      <c r="G249" t="s">
        <v>50</v>
      </c>
      <c r="H249" s="4">
        <v>94.38943894389439</v>
      </c>
    </row>
    <row r="250" spans="1:8" x14ac:dyDescent="0.35">
      <c r="A250">
        <v>9</v>
      </c>
      <c r="B250">
        <v>2014</v>
      </c>
      <c r="C250">
        <v>1</v>
      </c>
      <c r="D250" t="s">
        <v>8</v>
      </c>
      <c r="E250" t="s">
        <v>9</v>
      </c>
      <c r="F250" t="s">
        <v>49</v>
      </c>
      <c r="G250" t="s">
        <v>50</v>
      </c>
      <c r="H250" s="4">
        <v>90.733590733590731</v>
      </c>
    </row>
    <row r="251" spans="1:8" x14ac:dyDescent="0.35">
      <c r="A251">
        <v>10</v>
      </c>
      <c r="B251">
        <v>2014</v>
      </c>
      <c r="C251">
        <v>2</v>
      </c>
      <c r="D251" t="s">
        <v>8</v>
      </c>
      <c r="E251" t="s">
        <v>9</v>
      </c>
      <c r="F251" t="s">
        <v>49</v>
      </c>
      <c r="G251" t="s">
        <v>50</v>
      </c>
      <c r="H251" s="4">
        <v>92.266187050359719</v>
      </c>
    </row>
    <row r="252" spans="1:8" x14ac:dyDescent="0.35">
      <c r="A252">
        <v>11</v>
      </c>
      <c r="B252">
        <v>2014</v>
      </c>
      <c r="C252">
        <v>3</v>
      </c>
      <c r="D252" t="s">
        <v>8</v>
      </c>
      <c r="E252" t="s">
        <v>9</v>
      </c>
      <c r="F252" t="s">
        <v>49</v>
      </c>
      <c r="G252" t="s">
        <v>50</v>
      </c>
      <c r="H252" s="4">
        <v>94.026974951830439</v>
      </c>
    </row>
    <row r="253" spans="1:8" x14ac:dyDescent="0.35">
      <c r="A253">
        <v>12</v>
      </c>
      <c r="B253">
        <v>2014</v>
      </c>
      <c r="C253">
        <v>4</v>
      </c>
      <c r="D253" t="s">
        <v>8</v>
      </c>
      <c r="E253" t="s">
        <v>9</v>
      </c>
      <c r="F253" t="s">
        <v>49</v>
      </c>
      <c r="G253" t="s">
        <v>50</v>
      </c>
      <c r="H253" s="4">
        <v>93.849206349206355</v>
      </c>
    </row>
    <row r="254" spans="1:8" x14ac:dyDescent="0.35">
      <c r="A254">
        <v>13</v>
      </c>
      <c r="B254">
        <v>2015</v>
      </c>
      <c r="C254">
        <v>1</v>
      </c>
      <c r="D254" t="s">
        <v>8</v>
      </c>
      <c r="E254" t="s">
        <v>9</v>
      </c>
      <c r="F254" t="s">
        <v>49</v>
      </c>
      <c r="G254" t="s">
        <v>50</v>
      </c>
      <c r="H254" s="4">
        <v>92.427184466019412</v>
      </c>
    </row>
    <row r="255" spans="1:8" x14ac:dyDescent="0.35">
      <c r="A255">
        <v>14</v>
      </c>
      <c r="B255">
        <v>2015</v>
      </c>
      <c r="C255">
        <v>2</v>
      </c>
      <c r="D255" t="s">
        <v>8</v>
      </c>
      <c r="E255" t="s">
        <v>9</v>
      </c>
      <c r="F255" t="s">
        <v>49</v>
      </c>
      <c r="G255" t="s">
        <v>50</v>
      </c>
      <c r="H255" s="4">
        <v>92.222222222222229</v>
      </c>
    </row>
    <row r="256" spans="1:8" x14ac:dyDescent="0.35">
      <c r="A256">
        <v>15</v>
      </c>
      <c r="B256">
        <v>2015</v>
      </c>
      <c r="C256">
        <v>3</v>
      </c>
      <c r="D256" t="s">
        <v>8</v>
      </c>
      <c r="E256" t="s">
        <v>9</v>
      </c>
      <c r="F256" t="s">
        <v>49</v>
      </c>
      <c r="G256" t="s">
        <v>50</v>
      </c>
      <c r="H256" s="4">
        <v>92.723880597014926</v>
      </c>
    </row>
    <row r="257" spans="1:8" x14ac:dyDescent="0.35">
      <c r="A257">
        <v>16</v>
      </c>
      <c r="B257">
        <v>2015</v>
      </c>
      <c r="C257">
        <v>4</v>
      </c>
      <c r="D257" t="s">
        <v>8</v>
      </c>
      <c r="E257" t="s">
        <v>9</v>
      </c>
      <c r="F257" t="s">
        <v>49</v>
      </c>
      <c r="G257" t="s">
        <v>50</v>
      </c>
      <c r="H257" s="4">
        <v>91.064638783269956</v>
      </c>
    </row>
    <row r="258" spans="1:8" x14ac:dyDescent="0.35">
      <c r="A258">
        <v>17</v>
      </c>
      <c r="B258">
        <v>2016</v>
      </c>
      <c r="C258">
        <v>1</v>
      </c>
      <c r="D258" t="s">
        <v>8</v>
      </c>
      <c r="E258" t="s">
        <v>9</v>
      </c>
      <c r="F258" t="s">
        <v>49</v>
      </c>
      <c r="G258" t="s">
        <v>50</v>
      </c>
      <c r="H258" s="4">
        <v>90.427698574338095</v>
      </c>
    </row>
    <row r="259" spans="1:8" x14ac:dyDescent="0.35">
      <c r="A259">
        <v>18</v>
      </c>
      <c r="B259">
        <v>2016</v>
      </c>
      <c r="C259">
        <v>2</v>
      </c>
      <c r="D259" t="s">
        <v>8</v>
      </c>
      <c r="E259" t="s">
        <v>9</v>
      </c>
      <c r="F259" t="s">
        <v>49</v>
      </c>
      <c r="G259" t="s">
        <v>50</v>
      </c>
      <c r="H259" s="4">
        <v>91.452991452991455</v>
      </c>
    </row>
    <row r="260" spans="1:8" x14ac:dyDescent="0.35">
      <c r="A260">
        <v>19</v>
      </c>
      <c r="B260">
        <v>2016</v>
      </c>
      <c r="C260">
        <v>3</v>
      </c>
      <c r="D260" t="s">
        <v>8</v>
      </c>
      <c r="E260" t="s">
        <v>9</v>
      </c>
      <c r="F260" t="s">
        <v>49</v>
      </c>
      <c r="G260" t="s">
        <v>50</v>
      </c>
      <c r="H260" s="4">
        <v>87.449392712550605</v>
      </c>
    </row>
    <row r="261" spans="1:8" x14ac:dyDescent="0.35">
      <c r="A261">
        <v>20</v>
      </c>
      <c r="B261">
        <v>2016</v>
      </c>
      <c r="C261">
        <v>4</v>
      </c>
      <c r="D261" t="s">
        <v>8</v>
      </c>
      <c r="E261" t="s">
        <v>9</v>
      </c>
      <c r="F261" t="s">
        <v>49</v>
      </c>
      <c r="G261" t="s">
        <v>50</v>
      </c>
      <c r="H261" s="4">
        <v>82.592592592592595</v>
      </c>
    </row>
    <row r="262" spans="1:8" x14ac:dyDescent="0.35">
      <c r="A262">
        <v>21</v>
      </c>
      <c r="B262">
        <v>2017</v>
      </c>
      <c r="C262">
        <v>1</v>
      </c>
      <c r="D262" t="s">
        <v>8</v>
      </c>
      <c r="E262" t="s">
        <v>9</v>
      </c>
      <c r="F262" t="s">
        <v>49</v>
      </c>
      <c r="G262" t="s">
        <v>50</v>
      </c>
      <c r="H262" s="4">
        <v>87.620889748549331</v>
      </c>
    </row>
    <row r="263" spans="1:8" x14ac:dyDescent="0.35">
      <c r="A263">
        <v>22</v>
      </c>
      <c r="B263">
        <v>2017</v>
      </c>
      <c r="C263">
        <v>2</v>
      </c>
      <c r="D263" t="s">
        <v>8</v>
      </c>
      <c r="E263" t="s">
        <v>9</v>
      </c>
      <c r="F263" t="s">
        <v>49</v>
      </c>
      <c r="G263" t="s">
        <v>50</v>
      </c>
      <c r="H263" s="4">
        <v>85.621970920840056</v>
      </c>
    </row>
    <row r="264" spans="1:8" x14ac:dyDescent="0.35">
      <c r="A264">
        <v>23</v>
      </c>
      <c r="B264">
        <v>2017</v>
      </c>
      <c r="C264">
        <v>3</v>
      </c>
      <c r="D264" t="s">
        <v>8</v>
      </c>
      <c r="E264" t="s">
        <v>9</v>
      </c>
      <c r="F264" t="s">
        <v>49</v>
      </c>
      <c r="G264" t="s">
        <v>50</v>
      </c>
      <c r="H264" s="4">
        <v>86.542056074766364</v>
      </c>
    </row>
    <row r="265" spans="1:8" x14ac:dyDescent="0.35">
      <c r="A265">
        <v>24</v>
      </c>
      <c r="B265">
        <v>2017</v>
      </c>
      <c r="C265">
        <v>4</v>
      </c>
      <c r="D265" t="s">
        <v>8</v>
      </c>
      <c r="E265" t="s">
        <v>9</v>
      </c>
      <c r="F265" t="s">
        <v>49</v>
      </c>
      <c r="G265" t="s">
        <v>50</v>
      </c>
      <c r="H265" s="4">
        <v>89.303904923599319</v>
      </c>
    </row>
    <row r="266" spans="1:8" x14ac:dyDescent="0.35">
      <c r="A266">
        <v>25</v>
      </c>
      <c r="B266">
        <v>2018</v>
      </c>
      <c r="C266">
        <v>1</v>
      </c>
      <c r="D266" t="s">
        <v>8</v>
      </c>
      <c r="E266" t="s">
        <v>9</v>
      </c>
      <c r="F266" t="s">
        <v>49</v>
      </c>
      <c r="G266" t="s">
        <v>50</v>
      </c>
      <c r="H266" s="4">
        <v>85.027726432532347</v>
      </c>
    </row>
    <row r="267" spans="1:8" x14ac:dyDescent="0.35">
      <c r="A267">
        <v>26</v>
      </c>
      <c r="B267">
        <v>2018</v>
      </c>
      <c r="C267">
        <v>2</v>
      </c>
      <c r="D267" t="s">
        <v>8</v>
      </c>
      <c r="E267" t="s">
        <v>9</v>
      </c>
      <c r="F267" t="s">
        <v>49</v>
      </c>
      <c r="G267" t="s">
        <v>50</v>
      </c>
      <c r="H267" s="4">
        <v>80.769230769230774</v>
      </c>
    </row>
    <row r="268" spans="1:8" x14ac:dyDescent="0.35">
      <c r="A268">
        <v>27</v>
      </c>
      <c r="B268">
        <v>2018</v>
      </c>
      <c r="C268">
        <v>3</v>
      </c>
      <c r="D268" t="s">
        <v>8</v>
      </c>
      <c r="E268" t="s">
        <v>9</v>
      </c>
      <c r="F268" t="s">
        <v>49</v>
      </c>
      <c r="G268" t="s">
        <v>50</v>
      </c>
      <c r="H268" s="4">
        <v>78.703703703703709</v>
      </c>
    </row>
    <row r="269" spans="1:8" x14ac:dyDescent="0.35">
      <c r="A269">
        <v>28</v>
      </c>
      <c r="B269">
        <v>2018</v>
      </c>
      <c r="C269">
        <v>4</v>
      </c>
      <c r="D269" t="s">
        <v>8</v>
      </c>
      <c r="E269" t="s">
        <v>9</v>
      </c>
      <c r="F269" t="s">
        <v>49</v>
      </c>
      <c r="G269" t="s">
        <v>50</v>
      </c>
      <c r="H269" s="4">
        <v>80.060422960725077</v>
      </c>
    </row>
    <row r="270" spans="1:8" x14ac:dyDescent="0.35">
      <c r="A270">
        <v>29</v>
      </c>
      <c r="B270">
        <v>2019</v>
      </c>
      <c r="C270">
        <v>1</v>
      </c>
      <c r="D270" t="s">
        <v>8</v>
      </c>
      <c r="E270" t="s">
        <v>9</v>
      </c>
      <c r="F270" t="s">
        <v>49</v>
      </c>
      <c r="G270" t="s">
        <v>50</v>
      </c>
      <c r="H270" s="4">
        <v>78.13559322033899</v>
      </c>
    </row>
    <row r="271" spans="1:8" x14ac:dyDescent="0.35">
      <c r="A271">
        <v>30</v>
      </c>
      <c r="B271">
        <v>2019</v>
      </c>
      <c r="C271">
        <v>2</v>
      </c>
      <c r="D271" t="s">
        <v>8</v>
      </c>
      <c r="E271" t="s">
        <v>9</v>
      </c>
      <c r="F271" t="s">
        <v>49</v>
      </c>
      <c r="G271" t="s">
        <v>50</v>
      </c>
      <c r="H271" s="4">
        <v>73.668188736681884</v>
      </c>
    </row>
    <row r="272" spans="1:8" x14ac:dyDescent="0.35">
      <c r="A272">
        <v>31</v>
      </c>
      <c r="B272">
        <v>2019</v>
      </c>
      <c r="C272">
        <v>3</v>
      </c>
      <c r="D272" t="s">
        <v>8</v>
      </c>
      <c r="E272" t="s">
        <v>9</v>
      </c>
      <c r="F272" t="s">
        <v>49</v>
      </c>
      <c r="G272" t="s">
        <v>50</v>
      </c>
      <c r="H272" s="4">
        <v>78.236130867709818</v>
      </c>
    </row>
    <row r="273" spans="1:8" x14ac:dyDescent="0.35">
      <c r="A273">
        <v>32</v>
      </c>
      <c r="B273">
        <v>2019</v>
      </c>
      <c r="C273">
        <v>4</v>
      </c>
      <c r="D273" t="s">
        <v>8</v>
      </c>
      <c r="E273" t="s">
        <v>9</v>
      </c>
      <c r="F273" t="s">
        <v>49</v>
      </c>
      <c r="G273" t="s">
        <v>50</v>
      </c>
      <c r="H273" s="4">
        <v>80.277349768875197</v>
      </c>
    </row>
    <row r="274" spans="1:8" x14ac:dyDescent="0.35">
      <c r="A274">
        <v>33</v>
      </c>
      <c r="B274">
        <v>2020</v>
      </c>
      <c r="C274">
        <v>1</v>
      </c>
      <c r="D274" t="s">
        <v>8</v>
      </c>
      <c r="E274" t="s">
        <v>9</v>
      </c>
      <c r="F274" t="s">
        <v>49</v>
      </c>
      <c r="G274" t="s">
        <v>50</v>
      </c>
      <c r="H274" s="4">
        <v>81.748466257668724</v>
      </c>
    </row>
    <row r="275" spans="1:8" x14ac:dyDescent="0.35">
      <c r="A275">
        <v>34</v>
      </c>
      <c r="B275">
        <v>2020</v>
      </c>
      <c r="C275">
        <v>2</v>
      </c>
      <c r="D275" t="s">
        <v>8</v>
      </c>
      <c r="E275" t="s">
        <v>9</v>
      </c>
      <c r="F275" t="s">
        <v>49</v>
      </c>
      <c r="G275" t="s">
        <v>50</v>
      </c>
      <c r="H275" s="4">
        <v>82.417582417582409</v>
      </c>
    </row>
    <row r="276" spans="1:8" x14ac:dyDescent="0.35">
      <c r="A276">
        <v>35</v>
      </c>
      <c r="B276">
        <v>2020</v>
      </c>
      <c r="C276">
        <v>3</v>
      </c>
      <c r="D276" t="s">
        <v>8</v>
      </c>
      <c r="E276" t="s">
        <v>9</v>
      </c>
      <c r="F276" t="s">
        <v>49</v>
      </c>
      <c r="G276" t="s">
        <v>50</v>
      </c>
      <c r="H276" s="4">
        <v>83.712121212121218</v>
      </c>
    </row>
    <row r="277" spans="1:8" x14ac:dyDescent="0.35">
      <c r="A277">
        <v>36</v>
      </c>
      <c r="B277">
        <v>2020</v>
      </c>
      <c r="C277">
        <v>4</v>
      </c>
      <c r="D277" t="s">
        <v>8</v>
      </c>
      <c r="E277" t="s">
        <v>9</v>
      </c>
      <c r="F277" t="s">
        <v>49</v>
      </c>
      <c r="G277" t="s">
        <v>50</v>
      </c>
      <c r="H277" s="4">
        <v>86.486486486486484</v>
      </c>
    </row>
    <row r="278" spans="1:8" x14ac:dyDescent="0.35">
      <c r="A278">
        <v>37</v>
      </c>
      <c r="B278">
        <v>2021</v>
      </c>
      <c r="C278">
        <v>1</v>
      </c>
      <c r="D278" t="s">
        <v>8</v>
      </c>
      <c r="E278" t="s">
        <v>9</v>
      </c>
      <c r="F278" t="s">
        <v>49</v>
      </c>
      <c r="G278" t="s">
        <v>50</v>
      </c>
      <c r="H278" s="4">
        <v>82.736156351791536</v>
      </c>
    </row>
    <row r="279" spans="1:8" x14ac:dyDescent="0.35">
      <c r="A279">
        <v>38</v>
      </c>
      <c r="B279">
        <v>2021</v>
      </c>
      <c r="C279">
        <v>2</v>
      </c>
      <c r="D279" t="s">
        <v>8</v>
      </c>
      <c r="E279" t="s">
        <v>9</v>
      </c>
      <c r="F279" t="s">
        <v>49</v>
      </c>
      <c r="G279" t="s">
        <v>50</v>
      </c>
      <c r="H279" s="4">
        <v>85.348506401137982</v>
      </c>
    </row>
    <row r="280" spans="1:8" x14ac:dyDescent="0.35">
      <c r="A280">
        <v>39</v>
      </c>
      <c r="B280">
        <v>2021</v>
      </c>
      <c r="C280">
        <v>3</v>
      </c>
      <c r="D280" t="s">
        <v>8</v>
      </c>
      <c r="E280" t="s">
        <v>9</v>
      </c>
      <c r="F280" t="s">
        <v>49</v>
      </c>
      <c r="G280" t="s">
        <v>50</v>
      </c>
      <c r="H280" s="4">
        <v>85.126162018592296</v>
      </c>
    </row>
    <row r="281" spans="1:8" x14ac:dyDescent="0.35">
      <c r="A281">
        <v>40</v>
      </c>
      <c r="B281">
        <v>2021</v>
      </c>
      <c r="C281">
        <v>4</v>
      </c>
      <c r="D281" t="s">
        <v>8</v>
      </c>
      <c r="E281" t="s">
        <v>9</v>
      </c>
      <c r="F281" t="s">
        <v>49</v>
      </c>
      <c r="G281" t="s">
        <v>50</v>
      </c>
      <c r="H281" s="4">
        <v>82.871536523929464</v>
      </c>
    </row>
    <row r="282" spans="1:8" x14ac:dyDescent="0.35">
      <c r="A282">
        <v>1</v>
      </c>
      <c r="B282">
        <v>2012</v>
      </c>
      <c r="C282">
        <v>1</v>
      </c>
      <c r="D282" t="s">
        <v>8</v>
      </c>
      <c r="E282" t="s">
        <v>9</v>
      </c>
      <c r="F282" t="s">
        <v>67</v>
      </c>
      <c r="G282" t="s">
        <v>66</v>
      </c>
      <c r="H282" s="4">
        <v>100</v>
      </c>
    </row>
    <row r="283" spans="1:8" x14ac:dyDescent="0.35">
      <c r="A283">
        <v>2</v>
      </c>
      <c r="B283">
        <v>2012</v>
      </c>
      <c r="C283">
        <v>2</v>
      </c>
      <c r="D283" t="s">
        <v>8</v>
      </c>
      <c r="E283" t="s">
        <v>9</v>
      </c>
      <c r="F283" t="s">
        <v>67</v>
      </c>
      <c r="G283" t="s">
        <v>66</v>
      </c>
      <c r="H283" s="4">
        <v>100</v>
      </c>
    </row>
    <row r="284" spans="1:8" x14ac:dyDescent="0.35">
      <c r="A284">
        <v>3</v>
      </c>
      <c r="B284">
        <v>2012</v>
      </c>
      <c r="C284">
        <v>3</v>
      </c>
      <c r="D284" t="s">
        <v>8</v>
      </c>
      <c r="E284" t="s">
        <v>9</v>
      </c>
      <c r="F284" t="s">
        <v>67</v>
      </c>
      <c r="G284" t="s">
        <v>66</v>
      </c>
      <c r="H284" s="4">
        <v>100</v>
      </c>
    </row>
    <row r="285" spans="1:8" x14ac:dyDescent="0.35">
      <c r="A285">
        <v>4</v>
      </c>
      <c r="B285">
        <v>2012</v>
      </c>
      <c r="C285">
        <v>4</v>
      </c>
      <c r="D285" t="s">
        <v>8</v>
      </c>
      <c r="E285" t="s">
        <v>9</v>
      </c>
      <c r="F285" t="s">
        <v>67</v>
      </c>
      <c r="G285" t="s">
        <v>66</v>
      </c>
      <c r="H285" s="4">
        <v>100</v>
      </c>
    </row>
    <row r="286" spans="1:8" x14ac:dyDescent="0.35">
      <c r="A286">
        <v>5</v>
      </c>
      <c r="B286">
        <v>2013</v>
      </c>
      <c r="C286">
        <v>1</v>
      </c>
      <c r="D286" t="s">
        <v>8</v>
      </c>
      <c r="E286" t="s">
        <v>9</v>
      </c>
      <c r="F286" t="s">
        <v>67</v>
      </c>
      <c r="G286" t="s">
        <v>66</v>
      </c>
      <c r="H286" s="4">
        <v>100</v>
      </c>
    </row>
    <row r="287" spans="1:8" x14ac:dyDescent="0.35">
      <c r="A287">
        <v>6</v>
      </c>
      <c r="B287">
        <v>2013</v>
      </c>
      <c r="C287">
        <v>2</v>
      </c>
      <c r="D287" t="s">
        <v>8</v>
      </c>
      <c r="E287" t="s">
        <v>9</v>
      </c>
      <c r="F287" t="s">
        <v>67</v>
      </c>
      <c r="G287" t="s">
        <v>66</v>
      </c>
      <c r="H287" s="4">
        <v>100</v>
      </c>
    </row>
    <row r="288" spans="1:8" x14ac:dyDescent="0.35">
      <c r="A288">
        <v>7</v>
      </c>
      <c r="B288">
        <v>2013</v>
      </c>
      <c r="C288">
        <v>3</v>
      </c>
      <c r="D288" t="s">
        <v>8</v>
      </c>
      <c r="E288" t="s">
        <v>9</v>
      </c>
      <c r="F288" t="s">
        <v>67</v>
      </c>
      <c r="G288" t="s">
        <v>66</v>
      </c>
      <c r="H288" s="4">
        <v>100</v>
      </c>
    </row>
    <row r="289" spans="1:8" x14ac:dyDescent="0.35">
      <c r="A289">
        <v>8</v>
      </c>
      <c r="B289">
        <v>2013</v>
      </c>
      <c r="C289">
        <v>4</v>
      </c>
      <c r="D289" t="s">
        <v>8</v>
      </c>
      <c r="E289" t="s">
        <v>9</v>
      </c>
      <c r="F289" t="s">
        <v>67</v>
      </c>
      <c r="G289" t="s">
        <v>66</v>
      </c>
      <c r="H289" s="4">
        <v>100</v>
      </c>
    </row>
    <row r="290" spans="1:8" x14ac:dyDescent="0.35">
      <c r="A290">
        <v>9</v>
      </c>
      <c r="B290">
        <v>2014</v>
      </c>
      <c r="C290">
        <v>1</v>
      </c>
      <c r="D290" t="s">
        <v>8</v>
      </c>
      <c r="E290" t="s">
        <v>9</v>
      </c>
      <c r="F290" t="s">
        <v>67</v>
      </c>
      <c r="G290" t="s">
        <v>66</v>
      </c>
      <c r="H290" s="4">
        <v>100</v>
      </c>
    </row>
    <row r="291" spans="1:8" x14ac:dyDescent="0.35">
      <c r="A291">
        <v>10</v>
      </c>
      <c r="B291">
        <v>2014</v>
      </c>
      <c r="C291">
        <v>2</v>
      </c>
      <c r="D291" t="s">
        <v>8</v>
      </c>
      <c r="E291" t="s">
        <v>9</v>
      </c>
      <c r="F291" t="s">
        <v>67</v>
      </c>
      <c r="G291" t="s">
        <v>66</v>
      </c>
      <c r="H291" s="4">
        <v>87.5</v>
      </c>
    </row>
    <row r="292" spans="1:8" x14ac:dyDescent="0.35">
      <c r="A292">
        <v>11</v>
      </c>
      <c r="B292">
        <v>2014</v>
      </c>
      <c r="C292">
        <v>3</v>
      </c>
      <c r="D292" t="s">
        <v>8</v>
      </c>
      <c r="E292" t="s">
        <v>9</v>
      </c>
      <c r="F292" t="s">
        <v>67</v>
      </c>
      <c r="G292" t="s">
        <v>66</v>
      </c>
      <c r="H292" s="4">
        <v>100</v>
      </c>
    </row>
    <row r="293" spans="1:8" x14ac:dyDescent="0.35">
      <c r="A293">
        <v>12</v>
      </c>
      <c r="B293">
        <v>2014</v>
      </c>
      <c r="C293">
        <v>4</v>
      </c>
      <c r="D293" t="s">
        <v>8</v>
      </c>
      <c r="E293" t="s">
        <v>9</v>
      </c>
      <c r="F293" t="s">
        <v>67</v>
      </c>
      <c r="G293" t="s">
        <v>66</v>
      </c>
      <c r="H293" s="4">
        <v>100</v>
      </c>
    </row>
    <row r="294" spans="1:8" x14ac:dyDescent="0.35">
      <c r="A294">
        <v>13</v>
      </c>
      <c r="B294">
        <v>2015</v>
      </c>
      <c r="C294">
        <v>1</v>
      </c>
      <c r="D294" t="s">
        <v>8</v>
      </c>
      <c r="E294" t="s">
        <v>9</v>
      </c>
      <c r="F294" t="s">
        <v>67</v>
      </c>
      <c r="G294" t="s">
        <v>66</v>
      </c>
      <c r="H294" s="4">
        <v>88.888888888888886</v>
      </c>
    </row>
    <row r="295" spans="1:8" x14ac:dyDescent="0.35">
      <c r="A295">
        <v>14</v>
      </c>
      <c r="B295">
        <v>2015</v>
      </c>
      <c r="C295">
        <v>2</v>
      </c>
      <c r="D295" t="s">
        <v>8</v>
      </c>
      <c r="E295" t="s">
        <v>9</v>
      </c>
      <c r="F295" t="s">
        <v>67</v>
      </c>
      <c r="G295" t="s">
        <v>66</v>
      </c>
      <c r="H295" s="4">
        <v>100</v>
      </c>
    </row>
    <row r="296" spans="1:8" x14ac:dyDescent="0.35">
      <c r="A296">
        <v>15</v>
      </c>
      <c r="B296">
        <v>2015</v>
      </c>
      <c r="C296">
        <v>3</v>
      </c>
      <c r="D296" t="s">
        <v>8</v>
      </c>
      <c r="E296" t="s">
        <v>9</v>
      </c>
      <c r="F296" t="s">
        <v>67</v>
      </c>
      <c r="G296" t="s">
        <v>66</v>
      </c>
      <c r="H296" s="4">
        <v>100</v>
      </c>
    </row>
    <row r="297" spans="1:8" x14ac:dyDescent="0.35">
      <c r="A297">
        <v>16</v>
      </c>
      <c r="B297">
        <v>2015</v>
      </c>
      <c r="C297">
        <v>4</v>
      </c>
      <c r="D297" t="s">
        <v>8</v>
      </c>
      <c r="E297" t="s">
        <v>9</v>
      </c>
      <c r="F297" t="s">
        <v>67</v>
      </c>
      <c r="G297" t="s">
        <v>66</v>
      </c>
      <c r="H297" s="4">
        <v>100</v>
      </c>
    </row>
    <row r="298" spans="1:8" x14ac:dyDescent="0.35">
      <c r="A298">
        <v>17</v>
      </c>
      <c r="B298">
        <v>2016</v>
      </c>
      <c r="C298">
        <v>1</v>
      </c>
      <c r="D298" t="s">
        <v>8</v>
      </c>
      <c r="E298" t="s">
        <v>9</v>
      </c>
      <c r="F298" t="s">
        <v>67</v>
      </c>
      <c r="G298" t="s">
        <v>66</v>
      </c>
      <c r="H298" s="4">
        <v>88.888888888888886</v>
      </c>
    </row>
    <row r="299" spans="1:8" x14ac:dyDescent="0.35">
      <c r="A299">
        <v>18</v>
      </c>
      <c r="B299">
        <v>2016</v>
      </c>
      <c r="C299">
        <v>2</v>
      </c>
      <c r="D299" t="s">
        <v>8</v>
      </c>
      <c r="E299" t="s">
        <v>9</v>
      </c>
      <c r="F299" t="s">
        <v>67</v>
      </c>
      <c r="G299" t="s">
        <v>66</v>
      </c>
      <c r="H299" s="4">
        <v>100</v>
      </c>
    </row>
    <row r="300" spans="1:8" x14ac:dyDescent="0.35">
      <c r="A300">
        <v>19</v>
      </c>
      <c r="B300">
        <v>2016</v>
      </c>
      <c r="C300">
        <v>3</v>
      </c>
      <c r="D300" t="s">
        <v>8</v>
      </c>
      <c r="E300" t="s">
        <v>9</v>
      </c>
      <c r="F300" t="s">
        <v>67</v>
      </c>
      <c r="G300" t="s">
        <v>66</v>
      </c>
      <c r="H300" s="4">
        <v>100</v>
      </c>
    </row>
    <row r="301" spans="1:8" x14ac:dyDescent="0.35">
      <c r="A301">
        <v>20</v>
      </c>
      <c r="B301">
        <v>2016</v>
      </c>
      <c r="C301">
        <v>4</v>
      </c>
      <c r="D301" t="s">
        <v>8</v>
      </c>
      <c r="E301" t="s">
        <v>9</v>
      </c>
      <c r="F301" t="s">
        <v>67</v>
      </c>
      <c r="G301" t="s">
        <v>66</v>
      </c>
      <c r="H301" s="4">
        <v>100</v>
      </c>
    </row>
    <row r="302" spans="1:8" x14ac:dyDescent="0.35">
      <c r="A302">
        <v>21</v>
      </c>
      <c r="B302">
        <v>2017</v>
      </c>
      <c r="C302">
        <v>1</v>
      </c>
      <c r="D302" t="s">
        <v>8</v>
      </c>
      <c r="E302" t="s">
        <v>9</v>
      </c>
      <c r="F302" t="s">
        <v>67</v>
      </c>
      <c r="G302" t="s">
        <v>66</v>
      </c>
      <c r="H302" s="4">
        <v>91.666666666666657</v>
      </c>
    </row>
    <row r="303" spans="1:8" x14ac:dyDescent="0.35">
      <c r="A303">
        <v>22</v>
      </c>
      <c r="B303">
        <v>2017</v>
      </c>
      <c r="C303">
        <v>2</v>
      </c>
      <c r="D303" t="s">
        <v>8</v>
      </c>
      <c r="E303" t="s">
        <v>9</v>
      </c>
      <c r="F303" t="s">
        <v>67</v>
      </c>
      <c r="G303" t="s">
        <v>66</v>
      </c>
      <c r="H303" s="4">
        <v>100</v>
      </c>
    </row>
    <row r="304" spans="1:8" x14ac:dyDescent="0.35">
      <c r="A304">
        <v>23</v>
      </c>
      <c r="B304">
        <v>2017</v>
      </c>
      <c r="C304">
        <v>3</v>
      </c>
      <c r="D304" t="s">
        <v>8</v>
      </c>
      <c r="E304" t="s">
        <v>9</v>
      </c>
      <c r="F304" t="s">
        <v>67</v>
      </c>
      <c r="G304" t="s">
        <v>66</v>
      </c>
      <c r="H304" s="4">
        <v>100</v>
      </c>
    </row>
    <row r="305" spans="1:8" x14ac:dyDescent="0.35">
      <c r="A305">
        <v>24</v>
      </c>
      <c r="B305">
        <v>2017</v>
      </c>
      <c r="C305">
        <v>4</v>
      </c>
      <c r="D305" t="s">
        <v>8</v>
      </c>
      <c r="E305" t="s">
        <v>9</v>
      </c>
      <c r="F305" t="s">
        <v>67</v>
      </c>
      <c r="G305" t="s">
        <v>66</v>
      </c>
      <c r="H305" s="4">
        <v>90</v>
      </c>
    </row>
    <row r="306" spans="1:8" x14ac:dyDescent="0.35">
      <c r="A306">
        <v>25</v>
      </c>
      <c r="B306">
        <v>2018</v>
      </c>
      <c r="C306">
        <v>1</v>
      </c>
      <c r="D306" t="s">
        <v>8</v>
      </c>
      <c r="E306" t="s">
        <v>9</v>
      </c>
      <c r="F306" t="s">
        <v>67</v>
      </c>
      <c r="G306" t="s">
        <v>66</v>
      </c>
      <c r="H306" s="4">
        <v>100</v>
      </c>
    </row>
    <row r="307" spans="1:8" x14ac:dyDescent="0.35">
      <c r="A307">
        <v>26</v>
      </c>
      <c r="B307">
        <v>2018</v>
      </c>
      <c r="C307">
        <v>2</v>
      </c>
      <c r="D307" t="s">
        <v>8</v>
      </c>
      <c r="E307" t="s">
        <v>9</v>
      </c>
      <c r="F307" t="s">
        <v>67</v>
      </c>
      <c r="G307" t="s">
        <v>66</v>
      </c>
      <c r="H307" s="4">
        <v>85.714285714285708</v>
      </c>
    </row>
    <row r="308" spans="1:8" x14ac:dyDescent="0.35">
      <c r="A308">
        <v>27</v>
      </c>
      <c r="B308">
        <v>2018</v>
      </c>
      <c r="C308">
        <v>3</v>
      </c>
      <c r="D308" t="s">
        <v>8</v>
      </c>
      <c r="E308" t="s">
        <v>9</v>
      </c>
      <c r="F308" t="s">
        <v>67</v>
      </c>
      <c r="G308" t="s">
        <v>66</v>
      </c>
      <c r="H308" s="4">
        <v>71.428571428571431</v>
      </c>
    </row>
    <row r="309" spans="1:8" x14ac:dyDescent="0.35">
      <c r="A309">
        <v>28</v>
      </c>
      <c r="B309">
        <v>2018</v>
      </c>
      <c r="C309">
        <v>4</v>
      </c>
      <c r="D309" t="s">
        <v>8</v>
      </c>
      <c r="E309" t="s">
        <v>9</v>
      </c>
      <c r="F309" t="s">
        <v>67</v>
      </c>
      <c r="G309" t="s">
        <v>66</v>
      </c>
      <c r="H309" s="4">
        <v>92.857142857142861</v>
      </c>
    </row>
    <row r="310" spans="1:8" x14ac:dyDescent="0.35">
      <c r="A310">
        <v>29</v>
      </c>
      <c r="B310">
        <v>2019</v>
      </c>
      <c r="C310">
        <v>1</v>
      </c>
      <c r="D310" t="s">
        <v>8</v>
      </c>
      <c r="E310" t="s">
        <v>9</v>
      </c>
      <c r="F310" t="s">
        <v>67</v>
      </c>
      <c r="G310" t="s">
        <v>66</v>
      </c>
      <c r="H310" s="4">
        <v>100</v>
      </c>
    </row>
    <row r="311" spans="1:8" x14ac:dyDescent="0.35">
      <c r="A311">
        <v>30</v>
      </c>
      <c r="B311">
        <v>2019</v>
      </c>
      <c r="C311">
        <v>2</v>
      </c>
      <c r="D311" t="s">
        <v>8</v>
      </c>
      <c r="E311" t="s">
        <v>9</v>
      </c>
      <c r="F311" t="s">
        <v>67</v>
      </c>
      <c r="G311" t="s">
        <v>66</v>
      </c>
      <c r="H311" s="4">
        <v>91.666666666666657</v>
      </c>
    </row>
    <row r="312" spans="1:8" x14ac:dyDescent="0.35">
      <c r="A312">
        <v>31</v>
      </c>
      <c r="B312">
        <v>2019</v>
      </c>
      <c r="C312">
        <v>3</v>
      </c>
      <c r="D312" t="s">
        <v>8</v>
      </c>
      <c r="E312" t="s">
        <v>9</v>
      </c>
      <c r="F312" t="s">
        <v>67</v>
      </c>
      <c r="G312" t="s">
        <v>66</v>
      </c>
      <c r="H312" s="4">
        <v>100</v>
      </c>
    </row>
    <row r="313" spans="1:8" x14ac:dyDescent="0.35">
      <c r="A313">
        <v>32</v>
      </c>
      <c r="B313">
        <v>2019</v>
      </c>
      <c r="C313">
        <v>4</v>
      </c>
      <c r="D313" t="s">
        <v>8</v>
      </c>
      <c r="E313" t="s">
        <v>9</v>
      </c>
      <c r="F313" t="s">
        <v>67</v>
      </c>
      <c r="G313" t="s">
        <v>66</v>
      </c>
      <c r="H313" s="4">
        <v>100</v>
      </c>
    </row>
    <row r="314" spans="1:8" x14ac:dyDescent="0.35">
      <c r="A314">
        <v>33</v>
      </c>
      <c r="B314">
        <v>2020</v>
      </c>
      <c r="C314">
        <v>1</v>
      </c>
      <c r="D314" t="s">
        <v>8</v>
      </c>
      <c r="E314" t="s">
        <v>9</v>
      </c>
      <c r="F314" t="s">
        <v>67</v>
      </c>
      <c r="G314" t="s">
        <v>66</v>
      </c>
      <c r="H314" s="4">
        <v>75</v>
      </c>
    </row>
    <row r="315" spans="1:8" x14ac:dyDescent="0.35">
      <c r="A315">
        <v>34</v>
      </c>
      <c r="B315">
        <v>2020</v>
      </c>
      <c r="C315">
        <v>2</v>
      </c>
      <c r="D315" t="s">
        <v>8</v>
      </c>
      <c r="E315" t="s">
        <v>9</v>
      </c>
      <c r="F315" t="s">
        <v>67</v>
      </c>
      <c r="G315" t="s">
        <v>66</v>
      </c>
      <c r="H315" s="4">
        <v>87.5</v>
      </c>
    </row>
    <row r="316" spans="1:8" x14ac:dyDescent="0.35">
      <c r="A316">
        <v>35</v>
      </c>
      <c r="B316">
        <v>2020</v>
      </c>
      <c r="C316">
        <v>3</v>
      </c>
      <c r="D316" t="s">
        <v>8</v>
      </c>
      <c r="E316" t="s">
        <v>9</v>
      </c>
      <c r="F316" t="s">
        <v>67</v>
      </c>
      <c r="G316" t="s">
        <v>66</v>
      </c>
      <c r="H316" s="4">
        <v>100</v>
      </c>
    </row>
    <row r="317" spans="1:8" x14ac:dyDescent="0.35">
      <c r="A317">
        <v>36</v>
      </c>
      <c r="B317">
        <v>2020</v>
      </c>
      <c r="C317">
        <v>4</v>
      </c>
      <c r="D317" t="s">
        <v>8</v>
      </c>
      <c r="E317" t="s">
        <v>9</v>
      </c>
      <c r="F317" t="s">
        <v>67</v>
      </c>
      <c r="G317" t="s">
        <v>66</v>
      </c>
      <c r="H317" s="4">
        <v>100</v>
      </c>
    </row>
    <row r="318" spans="1:8" x14ac:dyDescent="0.35">
      <c r="A318">
        <v>37</v>
      </c>
      <c r="B318">
        <v>2021</v>
      </c>
      <c r="C318">
        <v>1</v>
      </c>
      <c r="D318" t="s">
        <v>8</v>
      </c>
      <c r="E318" t="s">
        <v>9</v>
      </c>
      <c r="F318" t="s">
        <v>67</v>
      </c>
      <c r="G318" t="s">
        <v>66</v>
      </c>
      <c r="H318" s="4">
        <v>100</v>
      </c>
    </row>
    <row r="319" spans="1:8" x14ac:dyDescent="0.35">
      <c r="A319">
        <v>38</v>
      </c>
      <c r="B319">
        <v>2021</v>
      </c>
      <c r="C319">
        <v>2</v>
      </c>
      <c r="D319" t="s">
        <v>8</v>
      </c>
      <c r="E319" t="s">
        <v>9</v>
      </c>
      <c r="F319" t="s">
        <v>67</v>
      </c>
      <c r="G319" t="s">
        <v>66</v>
      </c>
      <c r="H319" s="4">
        <v>88.888888888888886</v>
      </c>
    </row>
    <row r="320" spans="1:8" x14ac:dyDescent="0.35">
      <c r="A320">
        <v>39</v>
      </c>
      <c r="B320">
        <v>2021</v>
      </c>
      <c r="C320">
        <v>3</v>
      </c>
      <c r="D320" t="s">
        <v>8</v>
      </c>
      <c r="E320" t="s">
        <v>9</v>
      </c>
      <c r="F320" t="s">
        <v>67</v>
      </c>
      <c r="G320" t="s">
        <v>66</v>
      </c>
      <c r="H320" s="4">
        <v>100</v>
      </c>
    </row>
    <row r="321" spans="1:8" x14ac:dyDescent="0.35">
      <c r="A321">
        <v>40</v>
      </c>
      <c r="B321">
        <v>2021</v>
      </c>
      <c r="C321">
        <v>4</v>
      </c>
      <c r="D321" t="s">
        <v>8</v>
      </c>
      <c r="E321" t="s">
        <v>9</v>
      </c>
      <c r="F321" t="s">
        <v>67</v>
      </c>
      <c r="G321" t="s">
        <v>66</v>
      </c>
      <c r="H321" s="4">
        <v>92.857142857142861</v>
      </c>
    </row>
    <row r="322" spans="1:8" x14ac:dyDescent="0.35">
      <c r="A322">
        <v>1</v>
      </c>
      <c r="B322">
        <v>2012</v>
      </c>
      <c r="C322">
        <v>1</v>
      </c>
      <c r="D322" t="s">
        <v>8</v>
      </c>
      <c r="E322" t="s">
        <v>9</v>
      </c>
      <c r="F322" t="s">
        <v>65</v>
      </c>
      <c r="G322" t="s">
        <v>64</v>
      </c>
      <c r="H322" s="4">
        <v>100</v>
      </c>
    </row>
    <row r="323" spans="1:8" x14ac:dyDescent="0.35">
      <c r="A323">
        <v>2</v>
      </c>
      <c r="B323">
        <v>2012</v>
      </c>
      <c r="C323">
        <v>2</v>
      </c>
      <c r="D323" t="s">
        <v>8</v>
      </c>
      <c r="E323" t="s">
        <v>9</v>
      </c>
      <c r="F323" t="s">
        <v>65</v>
      </c>
      <c r="G323" t="s">
        <v>64</v>
      </c>
      <c r="H323" s="4">
        <v>100</v>
      </c>
    </row>
    <row r="324" spans="1:8" x14ac:dyDescent="0.35">
      <c r="A324">
        <v>3</v>
      </c>
      <c r="B324">
        <v>2012</v>
      </c>
      <c r="C324">
        <v>3</v>
      </c>
      <c r="D324" t="s">
        <v>8</v>
      </c>
      <c r="E324" t="s">
        <v>9</v>
      </c>
      <c r="F324" t="s">
        <v>65</v>
      </c>
      <c r="G324" t="s">
        <v>64</v>
      </c>
      <c r="H324" s="4">
        <v>100</v>
      </c>
    </row>
    <row r="325" spans="1:8" x14ac:dyDescent="0.35">
      <c r="A325">
        <v>4</v>
      </c>
      <c r="B325">
        <v>2012</v>
      </c>
      <c r="C325">
        <v>4</v>
      </c>
      <c r="D325" t="s">
        <v>8</v>
      </c>
      <c r="E325" t="s">
        <v>9</v>
      </c>
      <c r="F325" t="s">
        <v>65</v>
      </c>
      <c r="G325" t="s">
        <v>64</v>
      </c>
      <c r="H325" s="4">
        <v>100</v>
      </c>
    </row>
    <row r="326" spans="1:8" x14ac:dyDescent="0.35">
      <c r="A326">
        <v>5</v>
      </c>
      <c r="B326">
        <v>2013</v>
      </c>
      <c r="C326">
        <v>1</v>
      </c>
      <c r="D326" t="s">
        <v>8</v>
      </c>
      <c r="E326" t="s">
        <v>9</v>
      </c>
      <c r="F326" t="s">
        <v>65</v>
      </c>
      <c r="G326" t="s">
        <v>64</v>
      </c>
      <c r="H326" s="4">
        <v>100</v>
      </c>
    </row>
    <row r="327" spans="1:8" x14ac:dyDescent="0.35">
      <c r="A327">
        <v>6</v>
      </c>
      <c r="B327">
        <v>2013</v>
      </c>
      <c r="C327">
        <v>2</v>
      </c>
      <c r="D327" t="s">
        <v>8</v>
      </c>
      <c r="E327" t="s">
        <v>9</v>
      </c>
      <c r="F327" t="s">
        <v>65</v>
      </c>
      <c r="G327" t="s">
        <v>64</v>
      </c>
      <c r="H327" s="4">
        <v>100</v>
      </c>
    </row>
    <row r="328" spans="1:8" x14ac:dyDescent="0.35">
      <c r="A328">
        <v>7</v>
      </c>
      <c r="B328">
        <v>2013</v>
      </c>
      <c r="C328">
        <v>3</v>
      </c>
      <c r="D328" t="s">
        <v>8</v>
      </c>
      <c r="E328" t="s">
        <v>9</v>
      </c>
      <c r="F328" t="s">
        <v>65</v>
      </c>
      <c r="G328" t="s">
        <v>64</v>
      </c>
      <c r="H328" s="4">
        <v>100</v>
      </c>
    </row>
    <row r="329" spans="1:8" x14ac:dyDescent="0.35">
      <c r="A329">
        <v>8</v>
      </c>
      <c r="B329">
        <v>2013</v>
      </c>
      <c r="C329">
        <v>4</v>
      </c>
      <c r="D329" t="s">
        <v>8</v>
      </c>
      <c r="E329" t="s">
        <v>9</v>
      </c>
      <c r="F329" t="s">
        <v>65</v>
      </c>
      <c r="G329" t="s">
        <v>64</v>
      </c>
      <c r="H329" s="4">
        <v>100</v>
      </c>
    </row>
    <row r="330" spans="1:8" x14ac:dyDescent="0.35">
      <c r="A330">
        <v>9</v>
      </c>
      <c r="B330">
        <v>2014</v>
      </c>
      <c r="C330">
        <v>1</v>
      </c>
      <c r="D330" t="s">
        <v>8</v>
      </c>
      <c r="E330" t="s">
        <v>9</v>
      </c>
      <c r="F330" t="s">
        <v>65</v>
      </c>
      <c r="G330" t="s">
        <v>64</v>
      </c>
      <c r="H330" s="4">
        <v>100</v>
      </c>
    </row>
    <row r="331" spans="1:8" x14ac:dyDescent="0.35">
      <c r="A331">
        <v>10</v>
      </c>
      <c r="B331">
        <v>2014</v>
      </c>
      <c r="C331">
        <v>2</v>
      </c>
      <c r="D331" t="s">
        <v>8</v>
      </c>
      <c r="E331" t="s">
        <v>9</v>
      </c>
      <c r="F331" t="s">
        <v>65</v>
      </c>
      <c r="G331" t="s">
        <v>64</v>
      </c>
      <c r="H331" s="4">
        <v>66.666666666666657</v>
      </c>
    </row>
    <row r="332" spans="1:8" x14ac:dyDescent="0.35">
      <c r="A332">
        <v>11</v>
      </c>
      <c r="B332">
        <v>2014</v>
      </c>
      <c r="C332">
        <v>3</v>
      </c>
      <c r="D332" t="s">
        <v>8</v>
      </c>
      <c r="E332" t="s">
        <v>9</v>
      </c>
      <c r="F332" t="s">
        <v>65</v>
      </c>
      <c r="G332" t="s">
        <v>64</v>
      </c>
      <c r="H332" s="4">
        <v>100</v>
      </c>
    </row>
    <row r="333" spans="1:8" x14ac:dyDescent="0.35">
      <c r="A333">
        <v>12</v>
      </c>
      <c r="B333">
        <v>2014</v>
      </c>
      <c r="C333">
        <v>4</v>
      </c>
      <c r="D333" t="s">
        <v>8</v>
      </c>
      <c r="E333" t="s">
        <v>9</v>
      </c>
      <c r="F333" t="s">
        <v>65</v>
      </c>
      <c r="G333" t="s">
        <v>64</v>
      </c>
      <c r="H333" s="4">
        <v>100</v>
      </c>
    </row>
    <row r="334" spans="1:8" x14ac:dyDescent="0.35">
      <c r="A334">
        <v>13</v>
      </c>
      <c r="B334">
        <v>2015</v>
      </c>
      <c r="C334">
        <v>1</v>
      </c>
      <c r="D334" t="s">
        <v>8</v>
      </c>
      <c r="E334" t="s">
        <v>9</v>
      </c>
      <c r="F334" t="s">
        <v>65</v>
      </c>
      <c r="G334" t="s">
        <v>64</v>
      </c>
      <c r="H334" s="4">
        <v>100</v>
      </c>
    </row>
    <row r="335" spans="1:8" x14ac:dyDescent="0.35">
      <c r="A335">
        <v>14</v>
      </c>
      <c r="B335">
        <v>2015</v>
      </c>
      <c r="C335">
        <v>2</v>
      </c>
      <c r="D335" t="s">
        <v>8</v>
      </c>
      <c r="E335" t="s">
        <v>9</v>
      </c>
      <c r="F335" t="s">
        <v>65</v>
      </c>
      <c r="G335" t="s">
        <v>64</v>
      </c>
      <c r="H335" s="4">
        <v>92.307692307692307</v>
      </c>
    </row>
    <row r="336" spans="1:8" x14ac:dyDescent="0.35">
      <c r="A336">
        <v>15</v>
      </c>
      <c r="B336">
        <v>2015</v>
      </c>
      <c r="C336">
        <v>3</v>
      </c>
      <c r="D336" t="s">
        <v>8</v>
      </c>
      <c r="E336" t="s">
        <v>9</v>
      </c>
      <c r="F336" t="s">
        <v>65</v>
      </c>
      <c r="G336" t="s">
        <v>64</v>
      </c>
      <c r="H336" s="4">
        <v>80</v>
      </c>
    </row>
    <row r="337" spans="1:8" x14ac:dyDescent="0.35">
      <c r="A337">
        <v>16</v>
      </c>
      <c r="B337">
        <v>2015</v>
      </c>
      <c r="C337">
        <v>4</v>
      </c>
      <c r="D337" t="s">
        <v>8</v>
      </c>
      <c r="E337" t="s">
        <v>9</v>
      </c>
      <c r="F337" t="s">
        <v>65</v>
      </c>
      <c r="G337" t="s">
        <v>64</v>
      </c>
      <c r="H337" s="4">
        <v>100</v>
      </c>
    </row>
    <row r="338" spans="1:8" x14ac:dyDescent="0.35">
      <c r="A338">
        <v>17</v>
      </c>
      <c r="B338">
        <v>2016</v>
      </c>
      <c r="C338">
        <v>1</v>
      </c>
      <c r="D338" t="s">
        <v>8</v>
      </c>
      <c r="E338" t="s">
        <v>9</v>
      </c>
      <c r="F338" t="s">
        <v>65</v>
      </c>
      <c r="G338" t="s">
        <v>64</v>
      </c>
      <c r="H338" s="4">
        <v>80</v>
      </c>
    </row>
    <row r="339" spans="1:8" x14ac:dyDescent="0.35">
      <c r="A339">
        <v>18</v>
      </c>
      <c r="B339">
        <v>2016</v>
      </c>
      <c r="C339">
        <v>2</v>
      </c>
      <c r="D339" t="s">
        <v>8</v>
      </c>
      <c r="E339" t="s">
        <v>9</v>
      </c>
      <c r="F339" t="s">
        <v>65</v>
      </c>
      <c r="G339" t="s">
        <v>64</v>
      </c>
      <c r="H339" s="4">
        <v>100</v>
      </c>
    </row>
    <row r="340" spans="1:8" x14ac:dyDescent="0.35">
      <c r="A340">
        <v>19</v>
      </c>
      <c r="B340">
        <v>2016</v>
      </c>
      <c r="C340">
        <v>3</v>
      </c>
      <c r="D340" t="s">
        <v>8</v>
      </c>
      <c r="E340" t="s">
        <v>9</v>
      </c>
      <c r="F340" t="s">
        <v>65</v>
      </c>
      <c r="G340" t="s">
        <v>64</v>
      </c>
      <c r="H340" s="4">
        <v>100</v>
      </c>
    </row>
    <row r="341" spans="1:8" x14ac:dyDescent="0.35">
      <c r="A341">
        <v>20</v>
      </c>
      <c r="B341">
        <v>2016</v>
      </c>
      <c r="C341">
        <v>4</v>
      </c>
      <c r="D341" t="s">
        <v>8</v>
      </c>
      <c r="E341" t="s">
        <v>9</v>
      </c>
      <c r="F341" t="s">
        <v>65</v>
      </c>
      <c r="G341" t="s">
        <v>64</v>
      </c>
      <c r="H341" s="4">
        <v>100</v>
      </c>
    </row>
    <row r="342" spans="1:8" x14ac:dyDescent="0.35">
      <c r="A342">
        <v>21</v>
      </c>
      <c r="B342">
        <v>2017</v>
      </c>
      <c r="C342">
        <v>1</v>
      </c>
      <c r="D342" t="s">
        <v>8</v>
      </c>
      <c r="E342" t="s">
        <v>9</v>
      </c>
      <c r="F342" t="s">
        <v>65</v>
      </c>
      <c r="G342" t="s">
        <v>64</v>
      </c>
      <c r="H342" s="4">
        <v>90.909090909090907</v>
      </c>
    </row>
    <row r="343" spans="1:8" x14ac:dyDescent="0.35">
      <c r="A343">
        <v>22</v>
      </c>
      <c r="B343">
        <v>2017</v>
      </c>
      <c r="C343">
        <v>2</v>
      </c>
      <c r="D343" t="s">
        <v>8</v>
      </c>
      <c r="E343" t="s">
        <v>9</v>
      </c>
      <c r="F343" t="s">
        <v>65</v>
      </c>
      <c r="G343" t="s">
        <v>64</v>
      </c>
      <c r="H343" s="4">
        <v>80</v>
      </c>
    </row>
    <row r="344" spans="1:8" x14ac:dyDescent="0.35">
      <c r="A344">
        <v>23</v>
      </c>
      <c r="B344">
        <v>2017</v>
      </c>
      <c r="C344">
        <v>3</v>
      </c>
      <c r="D344" t="s">
        <v>8</v>
      </c>
      <c r="E344" t="s">
        <v>9</v>
      </c>
      <c r="F344" t="s">
        <v>65</v>
      </c>
      <c r="G344" t="s">
        <v>64</v>
      </c>
      <c r="H344" s="4">
        <v>88.888888888888886</v>
      </c>
    </row>
    <row r="345" spans="1:8" x14ac:dyDescent="0.35">
      <c r="A345">
        <v>24</v>
      </c>
      <c r="B345">
        <v>2017</v>
      </c>
      <c r="C345">
        <v>4</v>
      </c>
      <c r="D345" t="s">
        <v>8</v>
      </c>
      <c r="E345" t="s">
        <v>9</v>
      </c>
      <c r="F345" t="s">
        <v>65</v>
      </c>
      <c r="G345" t="s">
        <v>64</v>
      </c>
      <c r="H345" s="4">
        <v>85.714285714285708</v>
      </c>
    </row>
    <row r="346" spans="1:8" x14ac:dyDescent="0.35">
      <c r="A346">
        <v>25</v>
      </c>
      <c r="B346">
        <v>2018</v>
      </c>
      <c r="C346">
        <v>1</v>
      </c>
      <c r="D346" t="s">
        <v>8</v>
      </c>
      <c r="E346" t="s">
        <v>9</v>
      </c>
      <c r="F346" t="s">
        <v>65</v>
      </c>
      <c r="G346" t="s">
        <v>64</v>
      </c>
      <c r="H346" s="4">
        <v>90.909090909090907</v>
      </c>
    </row>
    <row r="347" spans="1:8" x14ac:dyDescent="0.35">
      <c r="A347">
        <v>26</v>
      </c>
      <c r="B347">
        <v>2018</v>
      </c>
      <c r="C347">
        <v>2</v>
      </c>
      <c r="D347" t="s">
        <v>8</v>
      </c>
      <c r="E347" t="s">
        <v>9</v>
      </c>
      <c r="F347" t="s">
        <v>65</v>
      </c>
      <c r="G347" t="s">
        <v>64</v>
      </c>
      <c r="H347" s="4">
        <v>100</v>
      </c>
    </row>
    <row r="348" spans="1:8" x14ac:dyDescent="0.35">
      <c r="A348">
        <v>27</v>
      </c>
      <c r="B348">
        <v>2018</v>
      </c>
      <c r="C348">
        <v>3</v>
      </c>
      <c r="D348" t="s">
        <v>8</v>
      </c>
      <c r="E348" t="s">
        <v>9</v>
      </c>
      <c r="F348" t="s">
        <v>65</v>
      </c>
      <c r="G348" t="s">
        <v>64</v>
      </c>
      <c r="H348" s="4">
        <v>90</v>
      </c>
    </row>
    <row r="349" spans="1:8" x14ac:dyDescent="0.35">
      <c r="A349">
        <v>28</v>
      </c>
      <c r="B349">
        <v>2018</v>
      </c>
      <c r="C349">
        <v>4</v>
      </c>
      <c r="D349" t="s">
        <v>8</v>
      </c>
      <c r="E349" t="s">
        <v>9</v>
      </c>
      <c r="F349" t="s">
        <v>65</v>
      </c>
      <c r="G349" t="s">
        <v>64</v>
      </c>
      <c r="H349" s="4">
        <v>66.666666666666657</v>
      </c>
    </row>
    <row r="350" spans="1:8" x14ac:dyDescent="0.35">
      <c r="A350">
        <v>29</v>
      </c>
      <c r="B350">
        <v>2019</v>
      </c>
      <c r="C350">
        <v>1</v>
      </c>
      <c r="D350" t="s">
        <v>8</v>
      </c>
      <c r="E350" t="s">
        <v>9</v>
      </c>
      <c r="F350" t="s">
        <v>65</v>
      </c>
      <c r="G350" t="s">
        <v>64</v>
      </c>
      <c r="H350" s="4">
        <v>81.818181818181827</v>
      </c>
    </row>
    <row r="351" spans="1:8" x14ac:dyDescent="0.35">
      <c r="A351">
        <v>30</v>
      </c>
      <c r="B351">
        <v>2019</v>
      </c>
      <c r="C351">
        <v>2</v>
      </c>
      <c r="D351" t="s">
        <v>8</v>
      </c>
      <c r="E351" t="s">
        <v>9</v>
      </c>
      <c r="F351" t="s">
        <v>65</v>
      </c>
      <c r="G351" t="s">
        <v>64</v>
      </c>
      <c r="H351" s="4">
        <v>83.333333333333343</v>
      </c>
    </row>
    <row r="352" spans="1:8" x14ac:dyDescent="0.35">
      <c r="A352">
        <v>31</v>
      </c>
      <c r="B352">
        <v>2019</v>
      </c>
      <c r="C352">
        <v>3</v>
      </c>
      <c r="D352" t="s">
        <v>8</v>
      </c>
      <c r="E352" t="s">
        <v>9</v>
      </c>
      <c r="F352" t="s">
        <v>65</v>
      </c>
      <c r="G352" t="s">
        <v>64</v>
      </c>
      <c r="H352" s="4">
        <v>82.35294117647058</v>
      </c>
    </row>
    <row r="353" spans="1:8" x14ac:dyDescent="0.35">
      <c r="A353">
        <v>32</v>
      </c>
      <c r="B353">
        <v>2019</v>
      </c>
      <c r="C353">
        <v>4</v>
      </c>
      <c r="D353" t="s">
        <v>8</v>
      </c>
      <c r="E353" t="s">
        <v>9</v>
      </c>
      <c r="F353" t="s">
        <v>65</v>
      </c>
      <c r="G353" t="s">
        <v>64</v>
      </c>
      <c r="H353" s="4">
        <v>85.714285714285708</v>
      </c>
    </row>
    <row r="354" spans="1:8" x14ac:dyDescent="0.35">
      <c r="A354">
        <v>33</v>
      </c>
      <c r="B354">
        <v>2020</v>
      </c>
      <c r="C354">
        <v>1</v>
      </c>
      <c r="D354" t="s">
        <v>8</v>
      </c>
      <c r="E354" t="s">
        <v>9</v>
      </c>
      <c r="F354" t="s">
        <v>65</v>
      </c>
      <c r="G354" t="s">
        <v>64</v>
      </c>
      <c r="H354" s="4">
        <v>92.857142857142861</v>
      </c>
    </row>
    <row r="355" spans="1:8" x14ac:dyDescent="0.35">
      <c r="A355">
        <v>34</v>
      </c>
      <c r="B355">
        <v>2020</v>
      </c>
      <c r="C355">
        <v>2</v>
      </c>
      <c r="D355" t="s">
        <v>8</v>
      </c>
      <c r="E355" t="s">
        <v>9</v>
      </c>
      <c r="F355" t="s">
        <v>65</v>
      </c>
      <c r="G355" t="s">
        <v>64</v>
      </c>
      <c r="H355" s="4">
        <v>100</v>
      </c>
    </row>
    <row r="356" spans="1:8" x14ac:dyDescent="0.35">
      <c r="A356">
        <v>35</v>
      </c>
      <c r="B356">
        <v>2020</v>
      </c>
      <c r="C356">
        <v>3</v>
      </c>
      <c r="D356" t="s">
        <v>8</v>
      </c>
      <c r="E356" t="s">
        <v>9</v>
      </c>
      <c r="F356" t="s">
        <v>65</v>
      </c>
      <c r="G356" t="s">
        <v>64</v>
      </c>
      <c r="H356" s="4">
        <v>100</v>
      </c>
    </row>
    <row r="357" spans="1:8" x14ac:dyDescent="0.35">
      <c r="A357">
        <v>36</v>
      </c>
      <c r="B357">
        <v>2020</v>
      </c>
      <c r="C357">
        <v>4</v>
      </c>
      <c r="D357" t="s">
        <v>8</v>
      </c>
      <c r="E357" t="s">
        <v>9</v>
      </c>
      <c r="F357" t="s">
        <v>65</v>
      </c>
      <c r="G357" t="s">
        <v>64</v>
      </c>
      <c r="H357" s="4">
        <v>87.5</v>
      </c>
    </row>
    <row r="358" spans="1:8" x14ac:dyDescent="0.35">
      <c r="A358">
        <v>37</v>
      </c>
      <c r="B358">
        <v>2021</v>
      </c>
      <c r="C358">
        <v>1</v>
      </c>
      <c r="D358" t="s">
        <v>8</v>
      </c>
      <c r="E358" t="s">
        <v>9</v>
      </c>
      <c r="F358" t="s">
        <v>65</v>
      </c>
      <c r="G358" t="s">
        <v>64</v>
      </c>
      <c r="H358" s="4">
        <v>80</v>
      </c>
    </row>
    <row r="359" spans="1:8" x14ac:dyDescent="0.35">
      <c r="A359">
        <v>38</v>
      </c>
      <c r="B359">
        <v>2021</v>
      </c>
      <c r="C359">
        <v>2</v>
      </c>
      <c r="D359" t="s">
        <v>8</v>
      </c>
      <c r="E359" t="s">
        <v>9</v>
      </c>
      <c r="F359" t="s">
        <v>65</v>
      </c>
      <c r="G359" t="s">
        <v>64</v>
      </c>
      <c r="H359" s="4">
        <v>80</v>
      </c>
    </row>
    <row r="360" spans="1:8" x14ac:dyDescent="0.35">
      <c r="A360">
        <v>39</v>
      </c>
      <c r="B360">
        <v>2021</v>
      </c>
      <c r="C360">
        <v>3</v>
      </c>
      <c r="D360" t="s">
        <v>8</v>
      </c>
      <c r="E360" t="s">
        <v>9</v>
      </c>
      <c r="F360" t="s">
        <v>65</v>
      </c>
      <c r="G360" t="s">
        <v>64</v>
      </c>
      <c r="H360" s="4">
        <v>77.272727272727266</v>
      </c>
    </row>
    <row r="361" spans="1:8" x14ac:dyDescent="0.35">
      <c r="A361">
        <v>40</v>
      </c>
      <c r="B361">
        <v>2021</v>
      </c>
      <c r="C361">
        <v>4</v>
      </c>
      <c r="D361" t="s">
        <v>8</v>
      </c>
      <c r="E361" t="s">
        <v>9</v>
      </c>
      <c r="F361" t="s">
        <v>65</v>
      </c>
      <c r="G361" t="s">
        <v>64</v>
      </c>
      <c r="H361" s="4">
        <v>78.571428571428569</v>
      </c>
    </row>
    <row r="362" spans="1:8" x14ac:dyDescent="0.35">
      <c r="A362">
        <v>1</v>
      </c>
      <c r="B362">
        <v>2012</v>
      </c>
      <c r="C362">
        <v>1</v>
      </c>
      <c r="D362" t="s">
        <v>8</v>
      </c>
      <c r="E362" t="s">
        <v>9</v>
      </c>
      <c r="F362" t="s">
        <v>63</v>
      </c>
      <c r="G362" t="s">
        <v>62</v>
      </c>
      <c r="H362" s="4">
        <v>93.865030674846622</v>
      </c>
    </row>
    <row r="363" spans="1:8" x14ac:dyDescent="0.35">
      <c r="A363">
        <v>2</v>
      </c>
      <c r="B363">
        <v>2012</v>
      </c>
      <c r="C363">
        <v>2</v>
      </c>
      <c r="D363" t="s">
        <v>8</v>
      </c>
      <c r="E363" t="s">
        <v>9</v>
      </c>
      <c r="F363" t="s">
        <v>63</v>
      </c>
      <c r="G363" t="s">
        <v>62</v>
      </c>
      <c r="H363" s="4">
        <v>93.650793650793645</v>
      </c>
    </row>
    <row r="364" spans="1:8" x14ac:dyDescent="0.35">
      <c r="A364">
        <v>3</v>
      </c>
      <c r="B364">
        <v>2012</v>
      </c>
      <c r="C364">
        <v>3</v>
      </c>
      <c r="D364" t="s">
        <v>8</v>
      </c>
      <c r="E364" t="s">
        <v>9</v>
      </c>
      <c r="F364" t="s">
        <v>63</v>
      </c>
      <c r="G364" t="s">
        <v>62</v>
      </c>
      <c r="H364" s="4">
        <v>97.159090909090907</v>
      </c>
    </row>
    <row r="365" spans="1:8" x14ac:dyDescent="0.35">
      <c r="A365">
        <v>4</v>
      </c>
      <c r="B365">
        <v>2012</v>
      </c>
      <c r="C365">
        <v>4</v>
      </c>
      <c r="D365" t="s">
        <v>8</v>
      </c>
      <c r="E365" t="s">
        <v>9</v>
      </c>
      <c r="F365" t="s">
        <v>63</v>
      </c>
      <c r="G365" t="s">
        <v>62</v>
      </c>
      <c r="H365" s="4">
        <v>98.630136986301366</v>
      </c>
    </row>
    <row r="366" spans="1:8" x14ac:dyDescent="0.35">
      <c r="A366">
        <v>5</v>
      </c>
      <c r="B366">
        <v>2013</v>
      </c>
      <c r="C366">
        <v>1</v>
      </c>
      <c r="D366" t="s">
        <v>8</v>
      </c>
      <c r="E366" t="s">
        <v>9</v>
      </c>
      <c r="F366" t="s">
        <v>63</v>
      </c>
      <c r="G366" t="s">
        <v>62</v>
      </c>
      <c r="H366" s="4">
        <v>99.290780141843967</v>
      </c>
    </row>
    <row r="367" spans="1:8" x14ac:dyDescent="0.35">
      <c r="A367">
        <v>6</v>
      </c>
      <c r="B367">
        <v>2013</v>
      </c>
      <c r="C367">
        <v>2</v>
      </c>
      <c r="D367" t="s">
        <v>8</v>
      </c>
      <c r="E367" t="s">
        <v>9</v>
      </c>
      <c r="F367" t="s">
        <v>63</v>
      </c>
      <c r="G367" t="s">
        <v>62</v>
      </c>
      <c r="H367" s="4">
        <v>96.666666666666671</v>
      </c>
    </row>
    <row r="368" spans="1:8" x14ac:dyDescent="0.35">
      <c r="A368">
        <v>7</v>
      </c>
      <c r="B368">
        <v>2013</v>
      </c>
      <c r="C368">
        <v>3</v>
      </c>
      <c r="D368" t="s">
        <v>8</v>
      </c>
      <c r="E368" t="s">
        <v>9</v>
      </c>
      <c r="F368" t="s">
        <v>63</v>
      </c>
      <c r="G368" t="s">
        <v>62</v>
      </c>
      <c r="H368" s="4">
        <v>94.117647058823522</v>
      </c>
    </row>
    <row r="369" spans="1:8" x14ac:dyDescent="0.35">
      <c r="A369">
        <v>8</v>
      </c>
      <c r="B369">
        <v>2013</v>
      </c>
      <c r="C369">
        <v>4</v>
      </c>
      <c r="D369" t="s">
        <v>8</v>
      </c>
      <c r="E369" t="s">
        <v>9</v>
      </c>
      <c r="F369" t="s">
        <v>63</v>
      </c>
      <c r="G369" t="s">
        <v>62</v>
      </c>
      <c r="H369" s="4">
        <v>96.581196581196579</v>
      </c>
    </row>
    <row r="370" spans="1:8" x14ac:dyDescent="0.35">
      <c r="A370">
        <v>9</v>
      </c>
      <c r="B370">
        <v>2014</v>
      </c>
      <c r="C370">
        <v>1</v>
      </c>
      <c r="D370" t="s">
        <v>8</v>
      </c>
      <c r="E370" t="s">
        <v>9</v>
      </c>
      <c r="F370" t="s">
        <v>63</v>
      </c>
      <c r="G370" t="s">
        <v>62</v>
      </c>
      <c r="H370" s="4">
        <v>95.36423841059603</v>
      </c>
    </row>
    <row r="371" spans="1:8" x14ac:dyDescent="0.35">
      <c r="A371">
        <v>10</v>
      </c>
      <c r="B371">
        <v>2014</v>
      </c>
      <c r="C371">
        <v>2</v>
      </c>
      <c r="D371" t="s">
        <v>8</v>
      </c>
      <c r="E371" t="s">
        <v>9</v>
      </c>
      <c r="F371" t="s">
        <v>63</v>
      </c>
      <c r="G371" t="s">
        <v>62</v>
      </c>
      <c r="H371" s="4">
        <v>95.172413793103445</v>
      </c>
    </row>
    <row r="372" spans="1:8" x14ac:dyDescent="0.35">
      <c r="A372">
        <v>11</v>
      </c>
      <c r="B372">
        <v>2014</v>
      </c>
      <c r="C372">
        <v>3</v>
      </c>
      <c r="D372" t="s">
        <v>8</v>
      </c>
      <c r="E372" t="s">
        <v>9</v>
      </c>
      <c r="F372" t="s">
        <v>63</v>
      </c>
      <c r="G372" t="s">
        <v>62</v>
      </c>
      <c r="H372" s="4">
        <v>93.788819875776397</v>
      </c>
    </row>
    <row r="373" spans="1:8" x14ac:dyDescent="0.35">
      <c r="A373">
        <v>12</v>
      </c>
      <c r="B373">
        <v>2014</v>
      </c>
      <c r="C373">
        <v>4</v>
      </c>
      <c r="D373" t="s">
        <v>8</v>
      </c>
      <c r="E373" t="s">
        <v>9</v>
      </c>
      <c r="F373" t="s">
        <v>63</v>
      </c>
      <c r="G373" t="s">
        <v>62</v>
      </c>
      <c r="H373" s="4">
        <v>94.615384615384613</v>
      </c>
    </row>
    <row r="374" spans="1:8" x14ac:dyDescent="0.35">
      <c r="A374">
        <v>13</v>
      </c>
      <c r="B374">
        <v>2015</v>
      </c>
      <c r="C374">
        <v>1</v>
      </c>
      <c r="D374" t="s">
        <v>8</v>
      </c>
      <c r="E374" t="s">
        <v>9</v>
      </c>
      <c r="F374" t="s">
        <v>63</v>
      </c>
      <c r="G374" t="s">
        <v>62</v>
      </c>
      <c r="H374" s="4">
        <v>92.356687898089177</v>
      </c>
    </row>
    <row r="375" spans="1:8" x14ac:dyDescent="0.35">
      <c r="A375">
        <v>14</v>
      </c>
      <c r="B375">
        <v>2015</v>
      </c>
      <c r="C375">
        <v>2</v>
      </c>
      <c r="D375" t="s">
        <v>8</v>
      </c>
      <c r="E375" t="s">
        <v>9</v>
      </c>
      <c r="F375" t="s">
        <v>63</v>
      </c>
      <c r="G375" t="s">
        <v>62</v>
      </c>
      <c r="H375" s="4">
        <v>96.527777777777786</v>
      </c>
    </row>
    <row r="376" spans="1:8" x14ac:dyDescent="0.35">
      <c r="A376">
        <v>15</v>
      </c>
      <c r="B376">
        <v>2015</v>
      </c>
      <c r="C376">
        <v>3</v>
      </c>
      <c r="D376" t="s">
        <v>8</v>
      </c>
      <c r="E376" t="s">
        <v>9</v>
      </c>
      <c r="F376" t="s">
        <v>63</v>
      </c>
      <c r="G376" t="s">
        <v>62</v>
      </c>
      <c r="H376" s="4">
        <v>94.936708860759495</v>
      </c>
    </row>
    <row r="377" spans="1:8" x14ac:dyDescent="0.35">
      <c r="A377">
        <v>16</v>
      </c>
      <c r="B377">
        <v>2015</v>
      </c>
      <c r="C377">
        <v>4</v>
      </c>
      <c r="D377" t="s">
        <v>8</v>
      </c>
      <c r="E377" t="s">
        <v>9</v>
      </c>
      <c r="F377" t="s">
        <v>63</v>
      </c>
      <c r="G377" t="s">
        <v>62</v>
      </c>
      <c r="H377" s="4">
        <v>94.475138121546962</v>
      </c>
    </row>
    <row r="378" spans="1:8" x14ac:dyDescent="0.35">
      <c r="A378">
        <v>17</v>
      </c>
      <c r="B378">
        <v>2016</v>
      </c>
      <c r="C378">
        <v>1</v>
      </c>
      <c r="D378" t="s">
        <v>8</v>
      </c>
      <c r="E378" t="s">
        <v>9</v>
      </c>
      <c r="F378" t="s">
        <v>63</v>
      </c>
      <c r="G378" t="s">
        <v>62</v>
      </c>
      <c r="H378" s="4">
        <v>93.661971830985919</v>
      </c>
    </row>
    <row r="379" spans="1:8" x14ac:dyDescent="0.35">
      <c r="A379">
        <v>18</v>
      </c>
      <c r="B379">
        <v>2016</v>
      </c>
      <c r="C379">
        <v>2</v>
      </c>
      <c r="D379" t="s">
        <v>8</v>
      </c>
      <c r="E379" t="s">
        <v>9</v>
      </c>
      <c r="F379" t="s">
        <v>63</v>
      </c>
      <c r="G379" t="s">
        <v>62</v>
      </c>
      <c r="H379" s="4">
        <v>91.279069767441854</v>
      </c>
    </row>
    <row r="380" spans="1:8" x14ac:dyDescent="0.35">
      <c r="A380">
        <v>19</v>
      </c>
      <c r="B380">
        <v>2016</v>
      </c>
      <c r="C380">
        <v>3</v>
      </c>
      <c r="D380" t="s">
        <v>8</v>
      </c>
      <c r="E380" t="s">
        <v>9</v>
      </c>
      <c r="F380" t="s">
        <v>63</v>
      </c>
      <c r="G380" t="s">
        <v>62</v>
      </c>
      <c r="H380" s="4">
        <v>89.743589743589752</v>
      </c>
    </row>
    <row r="381" spans="1:8" x14ac:dyDescent="0.35">
      <c r="A381">
        <v>20</v>
      </c>
      <c r="B381">
        <v>2016</v>
      </c>
      <c r="C381">
        <v>4</v>
      </c>
      <c r="D381" t="s">
        <v>8</v>
      </c>
      <c r="E381" t="s">
        <v>9</v>
      </c>
      <c r="F381" t="s">
        <v>63</v>
      </c>
      <c r="G381" t="s">
        <v>62</v>
      </c>
      <c r="H381" s="4">
        <v>91.19496855345912</v>
      </c>
    </row>
    <row r="382" spans="1:8" x14ac:dyDescent="0.35">
      <c r="A382">
        <v>21</v>
      </c>
      <c r="B382">
        <v>2017</v>
      </c>
      <c r="C382">
        <v>1</v>
      </c>
      <c r="D382" t="s">
        <v>8</v>
      </c>
      <c r="E382" t="s">
        <v>9</v>
      </c>
      <c r="F382" t="s">
        <v>63</v>
      </c>
      <c r="G382" t="s">
        <v>62</v>
      </c>
      <c r="H382" s="4">
        <v>84.93150684931507</v>
      </c>
    </row>
    <row r="383" spans="1:8" x14ac:dyDescent="0.35">
      <c r="A383">
        <v>22</v>
      </c>
      <c r="B383">
        <v>2017</v>
      </c>
      <c r="C383">
        <v>2</v>
      </c>
      <c r="D383" t="s">
        <v>8</v>
      </c>
      <c r="E383" t="s">
        <v>9</v>
      </c>
      <c r="F383" t="s">
        <v>63</v>
      </c>
      <c r="G383" t="s">
        <v>62</v>
      </c>
      <c r="H383" s="4">
        <v>96.590909090909093</v>
      </c>
    </row>
    <row r="384" spans="1:8" x14ac:dyDescent="0.35">
      <c r="A384">
        <v>23</v>
      </c>
      <c r="B384">
        <v>2017</v>
      </c>
      <c r="C384">
        <v>3</v>
      </c>
      <c r="D384" t="s">
        <v>8</v>
      </c>
      <c r="E384" t="s">
        <v>9</v>
      </c>
      <c r="F384" t="s">
        <v>63</v>
      </c>
      <c r="G384" t="s">
        <v>62</v>
      </c>
      <c r="H384" s="4">
        <v>96.341463414634148</v>
      </c>
    </row>
    <row r="385" spans="1:8" x14ac:dyDescent="0.35">
      <c r="A385">
        <v>24</v>
      </c>
      <c r="B385">
        <v>2017</v>
      </c>
      <c r="C385">
        <v>4</v>
      </c>
      <c r="D385" t="s">
        <v>8</v>
      </c>
      <c r="E385" t="s">
        <v>9</v>
      </c>
      <c r="F385" t="s">
        <v>63</v>
      </c>
      <c r="G385" t="s">
        <v>62</v>
      </c>
      <c r="H385" s="4">
        <v>93.85474860335195</v>
      </c>
    </row>
    <row r="386" spans="1:8" x14ac:dyDescent="0.35">
      <c r="A386">
        <v>25</v>
      </c>
      <c r="B386">
        <v>2018</v>
      </c>
      <c r="C386">
        <v>1</v>
      </c>
      <c r="D386" t="s">
        <v>8</v>
      </c>
      <c r="E386" t="s">
        <v>9</v>
      </c>
      <c r="F386" t="s">
        <v>63</v>
      </c>
      <c r="G386" t="s">
        <v>62</v>
      </c>
      <c r="H386" s="4">
        <v>91.124260355029591</v>
      </c>
    </row>
    <row r="387" spans="1:8" x14ac:dyDescent="0.35">
      <c r="A387">
        <v>26</v>
      </c>
      <c r="B387">
        <v>2018</v>
      </c>
      <c r="C387">
        <v>2</v>
      </c>
      <c r="D387" t="s">
        <v>8</v>
      </c>
      <c r="E387" t="s">
        <v>9</v>
      </c>
      <c r="F387" t="s">
        <v>63</v>
      </c>
      <c r="G387" t="s">
        <v>62</v>
      </c>
      <c r="H387" s="4">
        <v>94.117647058823522</v>
      </c>
    </row>
    <row r="388" spans="1:8" x14ac:dyDescent="0.35">
      <c r="A388">
        <v>27</v>
      </c>
      <c r="B388">
        <v>2018</v>
      </c>
      <c r="C388">
        <v>3</v>
      </c>
      <c r="D388" t="s">
        <v>8</v>
      </c>
      <c r="E388" t="s">
        <v>9</v>
      </c>
      <c r="F388" t="s">
        <v>63</v>
      </c>
      <c r="G388" t="s">
        <v>62</v>
      </c>
      <c r="H388" s="4">
        <v>86.19047619047619</v>
      </c>
    </row>
    <row r="389" spans="1:8" x14ac:dyDescent="0.35">
      <c r="A389">
        <v>28</v>
      </c>
      <c r="B389">
        <v>2018</v>
      </c>
      <c r="C389">
        <v>4</v>
      </c>
      <c r="D389" t="s">
        <v>8</v>
      </c>
      <c r="E389" t="s">
        <v>9</v>
      </c>
      <c r="F389" t="s">
        <v>63</v>
      </c>
      <c r="G389" t="s">
        <v>62</v>
      </c>
      <c r="H389" s="4">
        <v>90.957446808510639</v>
      </c>
    </row>
    <row r="390" spans="1:8" x14ac:dyDescent="0.35">
      <c r="A390">
        <v>29</v>
      </c>
      <c r="B390">
        <v>2019</v>
      </c>
      <c r="C390">
        <v>1</v>
      </c>
      <c r="D390" t="s">
        <v>8</v>
      </c>
      <c r="E390" t="s">
        <v>9</v>
      </c>
      <c r="F390" t="s">
        <v>63</v>
      </c>
      <c r="G390" t="s">
        <v>62</v>
      </c>
      <c r="H390" s="4">
        <v>88.613861386138609</v>
      </c>
    </row>
    <row r="391" spans="1:8" x14ac:dyDescent="0.35">
      <c r="A391">
        <v>30</v>
      </c>
      <c r="B391">
        <v>2019</v>
      </c>
      <c r="C391">
        <v>2</v>
      </c>
      <c r="D391" t="s">
        <v>8</v>
      </c>
      <c r="E391" t="s">
        <v>9</v>
      </c>
      <c r="F391" t="s">
        <v>63</v>
      </c>
      <c r="G391" t="s">
        <v>62</v>
      </c>
      <c r="H391" s="4">
        <v>89.333333333333329</v>
      </c>
    </row>
    <row r="392" spans="1:8" x14ac:dyDescent="0.35">
      <c r="A392">
        <v>31</v>
      </c>
      <c r="B392">
        <v>2019</v>
      </c>
      <c r="C392">
        <v>3</v>
      </c>
      <c r="D392" t="s">
        <v>8</v>
      </c>
      <c r="E392" t="s">
        <v>9</v>
      </c>
      <c r="F392" t="s">
        <v>63</v>
      </c>
      <c r="G392" t="s">
        <v>62</v>
      </c>
      <c r="H392" s="4">
        <v>86.893203883495147</v>
      </c>
    </row>
    <row r="393" spans="1:8" x14ac:dyDescent="0.35">
      <c r="A393">
        <v>32</v>
      </c>
      <c r="B393">
        <v>2019</v>
      </c>
      <c r="C393">
        <v>4</v>
      </c>
      <c r="D393" t="s">
        <v>8</v>
      </c>
      <c r="E393" t="s">
        <v>9</v>
      </c>
      <c r="F393" t="s">
        <v>63</v>
      </c>
      <c r="G393" t="s">
        <v>62</v>
      </c>
      <c r="H393" s="4">
        <v>92.156862745098039</v>
      </c>
    </row>
    <row r="394" spans="1:8" x14ac:dyDescent="0.35">
      <c r="A394">
        <v>33</v>
      </c>
      <c r="B394">
        <v>2020</v>
      </c>
      <c r="C394">
        <v>1</v>
      </c>
      <c r="D394" t="s">
        <v>8</v>
      </c>
      <c r="E394" t="s">
        <v>9</v>
      </c>
      <c r="F394" t="s">
        <v>63</v>
      </c>
      <c r="G394" t="s">
        <v>62</v>
      </c>
      <c r="H394" s="4">
        <v>88.177339901477836</v>
      </c>
    </row>
    <row r="395" spans="1:8" x14ac:dyDescent="0.35">
      <c r="A395">
        <v>34</v>
      </c>
      <c r="B395">
        <v>2020</v>
      </c>
      <c r="C395">
        <v>2</v>
      </c>
      <c r="D395" t="s">
        <v>8</v>
      </c>
      <c r="E395" t="s">
        <v>9</v>
      </c>
      <c r="F395" t="s">
        <v>63</v>
      </c>
      <c r="G395" t="s">
        <v>62</v>
      </c>
      <c r="H395" s="4">
        <v>85</v>
      </c>
    </row>
    <row r="396" spans="1:8" x14ac:dyDescent="0.35">
      <c r="A396">
        <v>35</v>
      </c>
      <c r="B396">
        <v>2020</v>
      </c>
      <c r="C396">
        <v>3</v>
      </c>
      <c r="D396" t="s">
        <v>8</v>
      </c>
      <c r="E396" t="s">
        <v>9</v>
      </c>
      <c r="F396" t="s">
        <v>63</v>
      </c>
      <c r="G396" t="s">
        <v>62</v>
      </c>
      <c r="H396" s="4">
        <v>89.714285714285708</v>
      </c>
    </row>
    <row r="397" spans="1:8" x14ac:dyDescent="0.35">
      <c r="A397">
        <v>36</v>
      </c>
      <c r="B397">
        <v>2020</v>
      </c>
      <c r="C397">
        <v>4</v>
      </c>
      <c r="D397" t="s">
        <v>8</v>
      </c>
      <c r="E397" t="s">
        <v>9</v>
      </c>
      <c r="F397" t="s">
        <v>63</v>
      </c>
      <c r="G397" t="s">
        <v>62</v>
      </c>
      <c r="H397" s="4">
        <v>86.390532544378701</v>
      </c>
    </row>
    <row r="398" spans="1:8" x14ac:dyDescent="0.35">
      <c r="A398">
        <v>37</v>
      </c>
      <c r="B398">
        <v>2021</v>
      </c>
      <c r="C398">
        <v>1</v>
      </c>
      <c r="D398" t="s">
        <v>8</v>
      </c>
      <c r="E398" t="s">
        <v>9</v>
      </c>
      <c r="F398" t="s">
        <v>63</v>
      </c>
      <c r="G398" t="s">
        <v>62</v>
      </c>
      <c r="H398" s="4">
        <v>87.195121951219505</v>
      </c>
    </row>
    <row r="399" spans="1:8" x14ac:dyDescent="0.35">
      <c r="A399">
        <v>38</v>
      </c>
      <c r="B399">
        <v>2021</v>
      </c>
      <c r="C399">
        <v>2</v>
      </c>
      <c r="D399" t="s">
        <v>8</v>
      </c>
      <c r="E399" t="s">
        <v>9</v>
      </c>
      <c r="F399" t="s">
        <v>63</v>
      </c>
      <c r="G399" t="s">
        <v>62</v>
      </c>
      <c r="H399" s="4">
        <v>85.207100591715985</v>
      </c>
    </row>
    <row r="400" spans="1:8" x14ac:dyDescent="0.35">
      <c r="A400">
        <v>39</v>
      </c>
      <c r="B400">
        <v>2021</v>
      </c>
      <c r="C400">
        <v>3</v>
      </c>
      <c r="D400" t="s">
        <v>8</v>
      </c>
      <c r="E400" t="s">
        <v>9</v>
      </c>
      <c r="F400" t="s">
        <v>63</v>
      </c>
      <c r="G400" t="s">
        <v>62</v>
      </c>
      <c r="H400" s="4">
        <v>91.62561576354679</v>
      </c>
    </row>
    <row r="401" spans="1:8" x14ac:dyDescent="0.35">
      <c r="A401">
        <v>40</v>
      </c>
      <c r="B401">
        <v>2021</v>
      </c>
      <c r="C401">
        <v>4</v>
      </c>
      <c r="D401" t="s">
        <v>8</v>
      </c>
      <c r="E401" t="s">
        <v>9</v>
      </c>
      <c r="F401" t="s">
        <v>63</v>
      </c>
      <c r="G401" t="s">
        <v>62</v>
      </c>
      <c r="H401" s="4">
        <v>88.888888888888886</v>
      </c>
    </row>
    <row r="402" spans="1:8" x14ac:dyDescent="0.35">
      <c r="A402">
        <v>1</v>
      </c>
      <c r="B402">
        <v>2012</v>
      </c>
      <c r="C402">
        <v>1</v>
      </c>
      <c r="D402" t="s">
        <v>8</v>
      </c>
      <c r="E402" t="s">
        <v>9</v>
      </c>
      <c r="F402" t="s">
        <v>52</v>
      </c>
      <c r="G402" t="s">
        <v>53</v>
      </c>
      <c r="H402" s="4">
        <v>95.927601809954751</v>
      </c>
    </row>
    <row r="403" spans="1:8" x14ac:dyDescent="0.35">
      <c r="A403">
        <v>2</v>
      </c>
      <c r="B403">
        <v>2012</v>
      </c>
      <c r="C403">
        <v>2</v>
      </c>
      <c r="D403" t="s">
        <v>8</v>
      </c>
      <c r="E403" t="s">
        <v>9</v>
      </c>
      <c r="F403" t="s">
        <v>52</v>
      </c>
      <c r="G403" t="s">
        <v>53</v>
      </c>
      <c r="H403" s="4">
        <v>96.832579185520359</v>
      </c>
    </row>
    <row r="404" spans="1:8" x14ac:dyDescent="0.35">
      <c r="A404">
        <v>3</v>
      </c>
      <c r="B404">
        <v>2012</v>
      </c>
      <c r="C404">
        <v>3</v>
      </c>
      <c r="D404" t="s">
        <v>8</v>
      </c>
      <c r="E404" t="s">
        <v>9</v>
      </c>
      <c r="F404" t="s">
        <v>52</v>
      </c>
      <c r="G404" t="s">
        <v>53</v>
      </c>
      <c r="H404" s="4">
        <v>95.238095238095227</v>
      </c>
    </row>
    <row r="405" spans="1:8" x14ac:dyDescent="0.35">
      <c r="A405">
        <v>4</v>
      </c>
      <c r="B405">
        <v>2012</v>
      </c>
      <c r="C405">
        <v>4</v>
      </c>
      <c r="D405" t="s">
        <v>8</v>
      </c>
      <c r="E405" t="s">
        <v>9</v>
      </c>
      <c r="F405" t="s">
        <v>52</v>
      </c>
      <c r="G405" t="s">
        <v>53</v>
      </c>
      <c r="H405" s="4">
        <v>95.544554455445535</v>
      </c>
    </row>
    <row r="406" spans="1:8" x14ac:dyDescent="0.35">
      <c r="A406">
        <v>5</v>
      </c>
      <c r="B406">
        <v>2013</v>
      </c>
      <c r="C406">
        <v>1</v>
      </c>
      <c r="D406" t="s">
        <v>8</v>
      </c>
      <c r="E406" t="s">
        <v>9</v>
      </c>
      <c r="F406" t="s">
        <v>52</v>
      </c>
      <c r="G406" t="s">
        <v>53</v>
      </c>
      <c r="H406" s="4">
        <v>93.212669683257914</v>
      </c>
    </row>
    <row r="407" spans="1:8" x14ac:dyDescent="0.35">
      <c r="A407">
        <v>6</v>
      </c>
      <c r="B407">
        <v>2013</v>
      </c>
      <c r="C407">
        <v>2</v>
      </c>
      <c r="D407" t="s">
        <v>8</v>
      </c>
      <c r="E407" t="s">
        <v>9</v>
      </c>
      <c r="F407" t="s">
        <v>52</v>
      </c>
      <c r="G407" t="s">
        <v>53</v>
      </c>
      <c r="H407" s="4">
        <v>94.468085106382986</v>
      </c>
    </row>
    <row r="408" spans="1:8" x14ac:dyDescent="0.35">
      <c r="A408">
        <v>7</v>
      </c>
      <c r="B408">
        <v>2013</v>
      </c>
      <c r="C408">
        <v>3</v>
      </c>
      <c r="D408" t="s">
        <v>8</v>
      </c>
      <c r="E408" t="s">
        <v>9</v>
      </c>
      <c r="F408" t="s">
        <v>52</v>
      </c>
      <c r="G408" t="s">
        <v>53</v>
      </c>
      <c r="H408" s="4">
        <v>96</v>
      </c>
    </row>
    <row r="409" spans="1:8" x14ac:dyDescent="0.35">
      <c r="A409">
        <v>8</v>
      </c>
      <c r="B409">
        <v>2013</v>
      </c>
      <c r="C409">
        <v>4</v>
      </c>
      <c r="D409" t="s">
        <v>8</v>
      </c>
      <c r="E409" t="s">
        <v>9</v>
      </c>
      <c r="F409" t="s">
        <v>52</v>
      </c>
      <c r="G409" t="s">
        <v>53</v>
      </c>
      <c r="H409" s="4">
        <v>90.366972477064223</v>
      </c>
    </row>
    <row r="410" spans="1:8" x14ac:dyDescent="0.35">
      <c r="A410">
        <v>9</v>
      </c>
      <c r="B410">
        <v>2014</v>
      </c>
      <c r="C410">
        <v>1</v>
      </c>
      <c r="D410" t="s">
        <v>8</v>
      </c>
      <c r="E410" t="s">
        <v>9</v>
      </c>
      <c r="F410" t="s">
        <v>52</v>
      </c>
      <c r="G410" t="s">
        <v>53</v>
      </c>
      <c r="H410" s="4">
        <v>91.079812206572768</v>
      </c>
    </row>
    <row r="411" spans="1:8" x14ac:dyDescent="0.35">
      <c r="A411">
        <v>10</v>
      </c>
      <c r="B411">
        <v>2014</v>
      </c>
      <c r="C411">
        <v>2</v>
      </c>
      <c r="D411" t="s">
        <v>8</v>
      </c>
      <c r="E411" t="s">
        <v>9</v>
      </c>
      <c r="F411" t="s">
        <v>52</v>
      </c>
      <c r="G411" t="s">
        <v>53</v>
      </c>
      <c r="H411" s="4">
        <v>94.805194805194802</v>
      </c>
    </row>
    <row r="412" spans="1:8" x14ac:dyDescent="0.35">
      <c r="A412">
        <v>11</v>
      </c>
      <c r="B412">
        <v>2014</v>
      </c>
      <c r="C412">
        <v>3</v>
      </c>
      <c r="D412" t="s">
        <v>8</v>
      </c>
      <c r="E412" t="s">
        <v>9</v>
      </c>
      <c r="F412" t="s">
        <v>52</v>
      </c>
      <c r="G412" t="s">
        <v>53</v>
      </c>
      <c r="H412" s="4">
        <v>97.787610619469021</v>
      </c>
    </row>
    <row r="413" spans="1:8" x14ac:dyDescent="0.35">
      <c r="A413">
        <v>12</v>
      </c>
      <c r="B413">
        <v>2014</v>
      </c>
      <c r="C413">
        <v>4</v>
      </c>
      <c r="D413" t="s">
        <v>8</v>
      </c>
      <c r="E413" t="s">
        <v>9</v>
      </c>
      <c r="F413" t="s">
        <v>52</v>
      </c>
      <c r="G413" t="s">
        <v>53</v>
      </c>
      <c r="H413" s="4">
        <v>96.943231441048042</v>
      </c>
    </row>
    <row r="414" spans="1:8" x14ac:dyDescent="0.35">
      <c r="A414">
        <v>13</v>
      </c>
      <c r="B414">
        <v>2015</v>
      </c>
      <c r="C414">
        <v>1</v>
      </c>
      <c r="D414" t="s">
        <v>8</v>
      </c>
      <c r="E414" t="s">
        <v>9</v>
      </c>
      <c r="F414" t="s">
        <v>52</v>
      </c>
      <c r="G414" t="s">
        <v>53</v>
      </c>
      <c r="H414" s="4">
        <v>91.709844559585491</v>
      </c>
    </row>
    <row r="415" spans="1:8" x14ac:dyDescent="0.35">
      <c r="A415">
        <v>14</v>
      </c>
      <c r="B415">
        <v>2015</v>
      </c>
      <c r="C415">
        <v>2</v>
      </c>
      <c r="D415" t="s">
        <v>8</v>
      </c>
      <c r="E415" t="s">
        <v>9</v>
      </c>
      <c r="F415" t="s">
        <v>52</v>
      </c>
      <c r="G415" t="s">
        <v>53</v>
      </c>
      <c r="H415" s="4">
        <v>92.672413793103445</v>
      </c>
    </row>
    <row r="416" spans="1:8" x14ac:dyDescent="0.35">
      <c r="A416">
        <v>15</v>
      </c>
      <c r="B416">
        <v>2015</v>
      </c>
      <c r="C416">
        <v>3</v>
      </c>
      <c r="D416" t="s">
        <v>8</v>
      </c>
      <c r="E416" t="s">
        <v>9</v>
      </c>
      <c r="F416" t="s">
        <v>52</v>
      </c>
      <c r="G416" t="s">
        <v>53</v>
      </c>
      <c r="H416" s="4">
        <v>86.142322097378283</v>
      </c>
    </row>
    <row r="417" spans="1:8" x14ac:dyDescent="0.35">
      <c r="A417">
        <v>16</v>
      </c>
      <c r="B417">
        <v>2015</v>
      </c>
      <c r="C417">
        <v>4</v>
      </c>
      <c r="D417" t="s">
        <v>8</v>
      </c>
      <c r="E417" t="s">
        <v>9</v>
      </c>
      <c r="F417" t="s">
        <v>52</v>
      </c>
      <c r="G417" t="s">
        <v>53</v>
      </c>
      <c r="H417" s="4">
        <v>88.659793814432987</v>
      </c>
    </row>
    <row r="418" spans="1:8" x14ac:dyDescent="0.35">
      <c r="A418">
        <v>17</v>
      </c>
      <c r="B418">
        <v>2016</v>
      </c>
      <c r="C418">
        <v>1</v>
      </c>
      <c r="D418" t="s">
        <v>8</v>
      </c>
      <c r="E418" t="s">
        <v>9</v>
      </c>
      <c r="F418" t="s">
        <v>52</v>
      </c>
      <c r="G418" t="s">
        <v>53</v>
      </c>
      <c r="H418" s="4">
        <v>92.410714285714292</v>
      </c>
    </row>
    <row r="419" spans="1:8" x14ac:dyDescent="0.35">
      <c r="A419">
        <v>18</v>
      </c>
      <c r="B419">
        <v>2016</v>
      </c>
      <c r="C419">
        <v>2</v>
      </c>
      <c r="D419" t="s">
        <v>8</v>
      </c>
      <c r="E419" t="s">
        <v>9</v>
      </c>
      <c r="F419" t="s">
        <v>52</v>
      </c>
      <c r="G419" t="s">
        <v>53</v>
      </c>
      <c r="H419" s="4">
        <v>89.610389610389603</v>
      </c>
    </row>
    <row r="420" spans="1:8" x14ac:dyDescent="0.35">
      <c r="A420">
        <v>19</v>
      </c>
      <c r="B420">
        <v>2016</v>
      </c>
      <c r="C420">
        <v>3</v>
      </c>
      <c r="D420" t="s">
        <v>8</v>
      </c>
      <c r="E420" t="s">
        <v>9</v>
      </c>
      <c r="F420" t="s">
        <v>52</v>
      </c>
      <c r="G420" t="s">
        <v>53</v>
      </c>
      <c r="H420" s="4">
        <v>82.969432314410483</v>
      </c>
    </row>
    <row r="421" spans="1:8" x14ac:dyDescent="0.35">
      <c r="A421">
        <v>20</v>
      </c>
      <c r="B421">
        <v>2016</v>
      </c>
      <c r="C421">
        <v>4</v>
      </c>
      <c r="D421" t="s">
        <v>8</v>
      </c>
      <c r="E421" t="s">
        <v>9</v>
      </c>
      <c r="F421" t="s">
        <v>52</v>
      </c>
      <c r="G421" t="s">
        <v>53</v>
      </c>
      <c r="H421" s="4">
        <v>87.169811320754718</v>
      </c>
    </row>
    <row r="422" spans="1:8" x14ac:dyDescent="0.35">
      <c r="A422">
        <v>21</v>
      </c>
      <c r="B422">
        <v>2017</v>
      </c>
      <c r="C422">
        <v>1</v>
      </c>
      <c r="D422" t="s">
        <v>8</v>
      </c>
      <c r="E422" t="s">
        <v>9</v>
      </c>
      <c r="F422" t="s">
        <v>52</v>
      </c>
      <c r="G422" t="s">
        <v>53</v>
      </c>
      <c r="H422" s="4">
        <v>89.88326848249028</v>
      </c>
    </row>
    <row r="423" spans="1:8" x14ac:dyDescent="0.35">
      <c r="A423">
        <v>22</v>
      </c>
      <c r="B423">
        <v>2017</v>
      </c>
      <c r="C423">
        <v>2</v>
      </c>
      <c r="D423" t="s">
        <v>8</v>
      </c>
      <c r="E423" t="s">
        <v>9</v>
      </c>
      <c r="F423" t="s">
        <v>52</v>
      </c>
      <c r="G423" t="s">
        <v>53</v>
      </c>
      <c r="H423" s="4">
        <v>90.34749034749035</v>
      </c>
    </row>
    <row r="424" spans="1:8" x14ac:dyDescent="0.35">
      <c r="A424">
        <v>23</v>
      </c>
      <c r="B424">
        <v>2017</v>
      </c>
      <c r="C424">
        <v>3</v>
      </c>
      <c r="D424" t="s">
        <v>8</v>
      </c>
      <c r="E424" t="s">
        <v>9</v>
      </c>
      <c r="F424" t="s">
        <v>52</v>
      </c>
      <c r="G424" t="s">
        <v>53</v>
      </c>
      <c r="H424" s="4">
        <v>89.642857142857153</v>
      </c>
    </row>
    <row r="425" spans="1:8" x14ac:dyDescent="0.35">
      <c r="A425">
        <v>24</v>
      </c>
      <c r="B425">
        <v>2017</v>
      </c>
      <c r="C425">
        <v>4</v>
      </c>
      <c r="D425" t="s">
        <v>8</v>
      </c>
      <c r="E425" t="s">
        <v>9</v>
      </c>
      <c r="F425" t="s">
        <v>52</v>
      </c>
      <c r="G425" t="s">
        <v>53</v>
      </c>
      <c r="H425" s="4">
        <v>89.400921658986178</v>
      </c>
    </row>
    <row r="426" spans="1:8" x14ac:dyDescent="0.35">
      <c r="A426">
        <v>25</v>
      </c>
      <c r="B426">
        <v>2018</v>
      </c>
      <c r="C426">
        <v>1</v>
      </c>
      <c r="D426" t="s">
        <v>8</v>
      </c>
      <c r="E426" t="s">
        <v>9</v>
      </c>
      <c r="F426" t="s">
        <v>52</v>
      </c>
      <c r="G426" t="s">
        <v>53</v>
      </c>
      <c r="H426" s="4">
        <v>86.419753086419746</v>
      </c>
    </row>
    <row r="427" spans="1:8" x14ac:dyDescent="0.35">
      <c r="A427">
        <v>26</v>
      </c>
      <c r="B427">
        <v>2018</v>
      </c>
      <c r="C427">
        <v>2</v>
      </c>
      <c r="D427" t="s">
        <v>8</v>
      </c>
      <c r="E427" t="s">
        <v>9</v>
      </c>
      <c r="F427" t="s">
        <v>52</v>
      </c>
      <c r="G427" t="s">
        <v>53</v>
      </c>
      <c r="H427" s="4">
        <v>87.931034482758619</v>
      </c>
    </row>
    <row r="428" spans="1:8" x14ac:dyDescent="0.35">
      <c r="A428">
        <v>27</v>
      </c>
      <c r="B428">
        <v>2018</v>
      </c>
      <c r="C428">
        <v>3</v>
      </c>
      <c r="D428" t="s">
        <v>8</v>
      </c>
      <c r="E428" t="s">
        <v>9</v>
      </c>
      <c r="F428" t="s">
        <v>52</v>
      </c>
      <c r="G428" t="s">
        <v>53</v>
      </c>
      <c r="H428" s="4">
        <v>83.467741935483872</v>
      </c>
    </row>
    <row r="429" spans="1:8" x14ac:dyDescent="0.35">
      <c r="A429">
        <v>28</v>
      </c>
      <c r="B429">
        <v>2018</v>
      </c>
      <c r="C429">
        <v>4</v>
      </c>
      <c r="D429" t="s">
        <v>8</v>
      </c>
      <c r="E429" t="s">
        <v>9</v>
      </c>
      <c r="F429" t="s">
        <v>52</v>
      </c>
      <c r="G429" t="s">
        <v>53</v>
      </c>
      <c r="H429" s="4">
        <v>82.926829268292678</v>
      </c>
    </row>
    <row r="430" spans="1:8" x14ac:dyDescent="0.35">
      <c r="A430">
        <v>29</v>
      </c>
      <c r="B430">
        <v>2019</v>
      </c>
      <c r="C430">
        <v>1</v>
      </c>
      <c r="D430" t="s">
        <v>8</v>
      </c>
      <c r="E430" t="s">
        <v>9</v>
      </c>
      <c r="F430" t="s">
        <v>52</v>
      </c>
      <c r="G430" t="s">
        <v>53</v>
      </c>
      <c r="H430" s="4">
        <v>88.60759493670885</v>
      </c>
    </row>
    <row r="431" spans="1:8" x14ac:dyDescent="0.35">
      <c r="A431">
        <v>30</v>
      </c>
      <c r="B431">
        <v>2019</v>
      </c>
      <c r="C431">
        <v>2</v>
      </c>
      <c r="D431" t="s">
        <v>8</v>
      </c>
      <c r="E431" t="s">
        <v>9</v>
      </c>
      <c r="F431" t="s">
        <v>52</v>
      </c>
      <c r="G431" t="s">
        <v>53</v>
      </c>
      <c r="H431" s="4">
        <v>89.523809523809533</v>
      </c>
    </row>
    <row r="432" spans="1:8" x14ac:dyDescent="0.35">
      <c r="A432">
        <v>31</v>
      </c>
      <c r="B432">
        <v>2019</v>
      </c>
      <c r="C432">
        <v>3</v>
      </c>
      <c r="D432" t="s">
        <v>8</v>
      </c>
      <c r="E432" t="s">
        <v>9</v>
      </c>
      <c r="F432" t="s">
        <v>52</v>
      </c>
      <c r="G432" t="s">
        <v>53</v>
      </c>
      <c r="H432" s="4">
        <v>95.238095238095227</v>
      </c>
    </row>
    <row r="433" spans="1:8" x14ac:dyDescent="0.35">
      <c r="A433">
        <v>32</v>
      </c>
      <c r="B433">
        <v>2019</v>
      </c>
      <c r="C433">
        <v>4</v>
      </c>
      <c r="D433" t="s">
        <v>8</v>
      </c>
      <c r="E433" t="s">
        <v>9</v>
      </c>
      <c r="F433" t="s">
        <v>52</v>
      </c>
      <c r="G433" t="s">
        <v>53</v>
      </c>
      <c r="H433" s="4">
        <v>94.930875576036868</v>
      </c>
    </row>
    <row r="434" spans="1:8" x14ac:dyDescent="0.35">
      <c r="A434">
        <v>33</v>
      </c>
      <c r="B434">
        <v>2020</v>
      </c>
      <c r="C434">
        <v>1</v>
      </c>
      <c r="D434" t="s">
        <v>8</v>
      </c>
      <c r="E434" t="s">
        <v>9</v>
      </c>
      <c r="F434" t="s">
        <v>52</v>
      </c>
      <c r="G434" t="s">
        <v>53</v>
      </c>
      <c r="H434" s="4">
        <v>91.904761904761898</v>
      </c>
    </row>
    <row r="435" spans="1:8" x14ac:dyDescent="0.35">
      <c r="A435">
        <v>34</v>
      </c>
      <c r="B435">
        <v>2020</v>
      </c>
      <c r="C435">
        <v>2</v>
      </c>
      <c r="D435" t="s">
        <v>8</v>
      </c>
      <c r="E435" t="s">
        <v>9</v>
      </c>
      <c r="F435" t="s">
        <v>52</v>
      </c>
      <c r="G435" t="s">
        <v>53</v>
      </c>
      <c r="H435" s="4">
        <v>89.142857142857139</v>
      </c>
    </row>
    <row r="436" spans="1:8" x14ac:dyDescent="0.35">
      <c r="A436">
        <v>35</v>
      </c>
      <c r="B436">
        <v>2020</v>
      </c>
      <c r="C436">
        <v>3</v>
      </c>
      <c r="D436" t="s">
        <v>8</v>
      </c>
      <c r="E436" t="s">
        <v>9</v>
      </c>
      <c r="F436" t="s">
        <v>52</v>
      </c>
      <c r="G436" t="s">
        <v>53</v>
      </c>
      <c r="H436" s="4">
        <v>97.252747252747255</v>
      </c>
    </row>
    <row r="437" spans="1:8" x14ac:dyDescent="0.35">
      <c r="A437">
        <v>36</v>
      </c>
      <c r="B437">
        <v>2020</v>
      </c>
      <c r="C437">
        <v>4</v>
      </c>
      <c r="D437" t="s">
        <v>8</v>
      </c>
      <c r="E437" t="s">
        <v>9</v>
      </c>
      <c r="F437" t="s">
        <v>52</v>
      </c>
      <c r="G437" t="s">
        <v>53</v>
      </c>
      <c r="H437" s="4">
        <v>97.560975609756099</v>
      </c>
    </row>
    <row r="438" spans="1:8" x14ac:dyDescent="0.35">
      <c r="A438">
        <v>37</v>
      </c>
      <c r="B438">
        <v>2021</v>
      </c>
      <c r="C438">
        <v>1</v>
      </c>
      <c r="D438" t="s">
        <v>8</v>
      </c>
      <c r="E438" t="s">
        <v>9</v>
      </c>
      <c r="F438" t="s">
        <v>52</v>
      </c>
      <c r="G438" t="s">
        <v>53</v>
      </c>
      <c r="H438" s="4">
        <v>93.782383419689126</v>
      </c>
    </row>
    <row r="439" spans="1:8" x14ac:dyDescent="0.35">
      <c r="A439">
        <v>38</v>
      </c>
      <c r="B439">
        <v>2021</v>
      </c>
      <c r="C439">
        <v>2</v>
      </c>
      <c r="D439" t="s">
        <v>8</v>
      </c>
      <c r="E439" t="s">
        <v>9</v>
      </c>
      <c r="F439" t="s">
        <v>52</v>
      </c>
      <c r="G439" t="s">
        <v>53</v>
      </c>
      <c r="H439" s="4">
        <v>90.909090909090907</v>
      </c>
    </row>
    <row r="440" spans="1:8" x14ac:dyDescent="0.35">
      <c r="A440">
        <v>39</v>
      </c>
      <c r="B440">
        <v>2021</v>
      </c>
      <c r="C440">
        <v>3</v>
      </c>
      <c r="D440" t="s">
        <v>8</v>
      </c>
      <c r="E440" t="s">
        <v>9</v>
      </c>
      <c r="F440" t="s">
        <v>52</v>
      </c>
      <c r="G440" t="s">
        <v>53</v>
      </c>
      <c r="H440" s="4">
        <v>92.857142857142861</v>
      </c>
    </row>
    <row r="441" spans="1:8" x14ac:dyDescent="0.35">
      <c r="A441">
        <v>40</v>
      </c>
      <c r="B441">
        <v>2021</v>
      </c>
      <c r="C441">
        <v>4</v>
      </c>
      <c r="D441" t="s">
        <v>8</v>
      </c>
      <c r="E441" t="s">
        <v>9</v>
      </c>
      <c r="F441" t="s">
        <v>52</v>
      </c>
      <c r="G441" t="s">
        <v>53</v>
      </c>
      <c r="H441" s="4">
        <v>88.185654008438817</v>
      </c>
    </row>
    <row r="442" spans="1:8" x14ac:dyDescent="0.35">
      <c r="A442">
        <v>1</v>
      </c>
      <c r="B442">
        <v>2012</v>
      </c>
      <c r="C442">
        <v>1</v>
      </c>
      <c r="D442" t="s">
        <v>8</v>
      </c>
      <c r="E442" t="s">
        <v>9</v>
      </c>
      <c r="F442" t="s">
        <v>61</v>
      </c>
      <c r="G442" t="s">
        <v>60</v>
      </c>
      <c r="H442" s="4">
        <v>94.829760403530898</v>
      </c>
    </row>
    <row r="443" spans="1:8" x14ac:dyDescent="0.35">
      <c r="A443">
        <v>2</v>
      </c>
      <c r="B443">
        <v>2012</v>
      </c>
      <c r="C443">
        <v>2</v>
      </c>
      <c r="D443" t="s">
        <v>8</v>
      </c>
      <c r="E443" t="s">
        <v>9</v>
      </c>
      <c r="F443" t="s">
        <v>61</v>
      </c>
      <c r="G443" t="s">
        <v>60</v>
      </c>
      <c r="H443" s="4">
        <v>95.862884160756494</v>
      </c>
    </row>
    <row r="444" spans="1:8" x14ac:dyDescent="0.35">
      <c r="A444">
        <v>3</v>
      </c>
      <c r="B444">
        <v>2012</v>
      </c>
      <c r="C444">
        <v>3</v>
      </c>
      <c r="D444" t="s">
        <v>8</v>
      </c>
      <c r="E444" t="s">
        <v>9</v>
      </c>
      <c r="F444" t="s">
        <v>61</v>
      </c>
      <c r="G444" t="s">
        <v>60</v>
      </c>
      <c r="H444" s="4">
        <v>94.306930693069305</v>
      </c>
    </row>
    <row r="445" spans="1:8" x14ac:dyDescent="0.35">
      <c r="A445">
        <v>4</v>
      </c>
      <c r="B445">
        <v>2012</v>
      </c>
      <c r="C445">
        <v>4</v>
      </c>
      <c r="D445" t="s">
        <v>8</v>
      </c>
      <c r="E445" t="s">
        <v>9</v>
      </c>
      <c r="F445" t="s">
        <v>61</v>
      </c>
      <c r="G445" t="s">
        <v>60</v>
      </c>
      <c r="H445" s="4">
        <v>94.903737259343146</v>
      </c>
    </row>
    <row r="446" spans="1:8" x14ac:dyDescent="0.35">
      <c r="A446">
        <v>5</v>
      </c>
      <c r="B446">
        <v>2013</v>
      </c>
      <c r="C446">
        <v>1</v>
      </c>
      <c r="D446" t="s">
        <v>8</v>
      </c>
      <c r="E446" t="s">
        <v>9</v>
      </c>
      <c r="F446" t="s">
        <v>61</v>
      </c>
      <c r="G446" t="s">
        <v>60</v>
      </c>
      <c r="H446" s="4">
        <v>93.412384716732547</v>
      </c>
    </row>
    <row r="447" spans="1:8" x14ac:dyDescent="0.35">
      <c r="A447">
        <v>6</v>
      </c>
      <c r="B447">
        <v>2013</v>
      </c>
      <c r="C447">
        <v>2</v>
      </c>
      <c r="D447" t="s">
        <v>8</v>
      </c>
      <c r="E447" t="s">
        <v>9</v>
      </c>
      <c r="F447" t="s">
        <v>61</v>
      </c>
      <c r="G447" t="s">
        <v>60</v>
      </c>
      <c r="H447" s="4">
        <v>94.329896907216494</v>
      </c>
    </row>
    <row r="448" spans="1:8" x14ac:dyDescent="0.35">
      <c r="A448">
        <v>7</v>
      </c>
      <c r="B448">
        <v>2013</v>
      </c>
      <c r="C448">
        <v>3</v>
      </c>
      <c r="D448" t="s">
        <v>8</v>
      </c>
      <c r="E448" t="s">
        <v>9</v>
      </c>
      <c r="F448" t="s">
        <v>61</v>
      </c>
      <c r="G448" t="s">
        <v>60</v>
      </c>
      <c r="H448" s="4">
        <v>93.19899244332494</v>
      </c>
    </row>
    <row r="449" spans="1:8" x14ac:dyDescent="0.35">
      <c r="A449">
        <v>8</v>
      </c>
      <c r="B449">
        <v>2013</v>
      </c>
      <c r="C449">
        <v>4</v>
      </c>
      <c r="D449" t="s">
        <v>8</v>
      </c>
      <c r="E449" t="s">
        <v>9</v>
      </c>
      <c r="F449" t="s">
        <v>61</v>
      </c>
      <c r="G449" t="s">
        <v>60</v>
      </c>
      <c r="H449" s="4">
        <v>94.223826714801433</v>
      </c>
    </row>
    <row r="450" spans="1:8" x14ac:dyDescent="0.35">
      <c r="A450">
        <v>9</v>
      </c>
      <c r="B450">
        <v>2014</v>
      </c>
      <c r="C450">
        <v>1</v>
      </c>
      <c r="D450" t="s">
        <v>8</v>
      </c>
      <c r="E450" t="s">
        <v>9</v>
      </c>
      <c r="F450" t="s">
        <v>61</v>
      </c>
      <c r="G450" t="s">
        <v>60</v>
      </c>
      <c r="H450" s="4">
        <v>90.400972053462937</v>
      </c>
    </row>
    <row r="451" spans="1:8" x14ac:dyDescent="0.35">
      <c r="A451">
        <v>10</v>
      </c>
      <c r="B451">
        <v>2014</v>
      </c>
      <c r="C451">
        <v>2</v>
      </c>
      <c r="D451" t="s">
        <v>8</v>
      </c>
      <c r="E451" t="s">
        <v>9</v>
      </c>
      <c r="F451" t="s">
        <v>61</v>
      </c>
      <c r="G451" t="s">
        <v>60</v>
      </c>
      <c r="H451" s="4">
        <v>89.850057670126873</v>
      </c>
    </row>
    <row r="452" spans="1:8" x14ac:dyDescent="0.35">
      <c r="A452">
        <v>11</v>
      </c>
      <c r="B452">
        <v>2014</v>
      </c>
      <c r="C452">
        <v>3</v>
      </c>
      <c r="D452" t="s">
        <v>8</v>
      </c>
      <c r="E452" t="s">
        <v>9</v>
      </c>
      <c r="F452" t="s">
        <v>61</v>
      </c>
      <c r="G452" t="s">
        <v>60</v>
      </c>
      <c r="H452" s="4">
        <v>90.740740740740748</v>
      </c>
    </row>
    <row r="453" spans="1:8" x14ac:dyDescent="0.35">
      <c r="A453">
        <v>12</v>
      </c>
      <c r="B453">
        <v>2014</v>
      </c>
      <c r="C453">
        <v>4</v>
      </c>
      <c r="D453" t="s">
        <v>8</v>
      </c>
      <c r="E453" t="s">
        <v>9</v>
      </c>
      <c r="F453" t="s">
        <v>61</v>
      </c>
      <c r="G453" t="s">
        <v>60</v>
      </c>
      <c r="H453" s="4">
        <v>92.65255292652553</v>
      </c>
    </row>
    <row r="454" spans="1:8" x14ac:dyDescent="0.35">
      <c r="A454">
        <v>13</v>
      </c>
      <c r="B454">
        <v>2015</v>
      </c>
      <c r="C454">
        <v>1</v>
      </c>
      <c r="D454" t="s">
        <v>8</v>
      </c>
      <c r="E454" t="s">
        <v>9</v>
      </c>
      <c r="F454" t="s">
        <v>61</v>
      </c>
      <c r="G454" t="s">
        <v>60</v>
      </c>
      <c r="H454" s="4">
        <v>90.665110851808635</v>
      </c>
    </row>
    <row r="455" spans="1:8" x14ac:dyDescent="0.35">
      <c r="A455">
        <v>14</v>
      </c>
      <c r="B455">
        <v>2015</v>
      </c>
      <c r="C455">
        <v>2</v>
      </c>
      <c r="D455" t="s">
        <v>8</v>
      </c>
      <c r="E455" t="s">
        <v>9</v>
      </c>
      <c r="F455" t="s">
        <v>61</v>
      </c>
      <c r="G455" t="s">
        <v>60</v>
      </c>
      <c r="H455" s="4">
        <v>89.626055488540416</v>
      </c>
    </row>
    <row r="456" spans="1:8" x14ac:dyDescent="0.35">
      <c r="A456">
        <v>15</v>
      </c>
      <c r="B456">
        <v>2015</v>
      </c>
      <c r="C456">
        <v>3</v>
      </c>
      <c r="D456" t="s">
        <v>8</v>
      </c>
      <c r="E456" t="s">
        <v>9</v>
      </c>
      <c r="F456" t="s">
        <v>61</v>
      </c>
      <c r="G456" t="s">
        <v>60</v>
      </c>
      <c r="H456" s="4">
        <v>86.238532110091754</v>
      </c>
    </row>
    <row r="457" spans="1:8" x14ac:dyDescent="0.35">
      <c r="A457">
        <v>16</v>
      </c>
      <c r="B457">
        <v>2015</v>
      </c>
      <c r="C457">
        <v>4</v>
      </c>
      <c r="D457" t="s">
        <v>8</v>
      </c>
      <c r="E457" t="s">
        <v>9</v>
      </c>
      <c r="F457" t="s">
        <v>61</v>
      </c>
      <c r="G457" t="s">
        <v>60</v>
      </c>
      <c r="H457" s="4">
        <v>87.149028077753769</v>
      </c>
    </row>
    <row r="458" spans="1:8" x14ac:dyDescent="0.35">
      <c r="A458">
        <v>17</v>
      </c>
      <c r="B458">
        <v>2016</v>
      </c>
      <c r="C458">
        <v>1</v>
      </c>
      <c r="D458" t="s">
        <v>8</v>
      </c>
      <c r="E458" t="s">
        <v>9</v>
      </c>
      <c r="F458" t="s">
        <v>61</v>
      </c>
      <c r="G458" t="s">
        <v>60</v>
      </c>
      <c r="H458" s="4">
        <v>85.968819599109139</v>
      </c>
    </row>
    <row r="459" spans="1:8" x14ac:dyDescent="0.35">
      <c r="A459">
        <v>18</v>
      </c>
      <c r="B459">
        <v>2016</v>
      </c>
      <c r="C459">
        <v>2</v>
      </c>
      <c r="D459" t="s">
        <v>8</v>
      </c>
      <c r="E459" t="s">
        <v>9</v>
      </c>
      <c r="F459" t="s">
        <v>61</v>
      </c>
      <c r="G459" t="s">
        <v>60</v>
      </c>
      <c r="H459" s="4">
        <v>87.950450450450447</v>
      </c>
    </row>
    <row r="460" spans="1:8" x14ac:dyDescent="0.35">
      <c r="A460">
        <v>19</v>
      </c>
      <c r="B460">
        <v>2016</v>
      </c>
      <c r="C460">
        <v>3</v>
      </c>
      <c r="D460" t="s">
        <v>8</v>
      </c>
      <c r="E460" t="s">
        <v>9</v>
      </c>
      <c r="F460" t="s">
        <v>61</v>
      </c>
      <c r="G460" t="s">
        <v>60</v>
      </c>
      <c r="H460" s="4">
        <v>81.950672645739914</v>
      </c>
    </row>
    <row r="461" spans="1:8" x14ac:dyDescent="0.35">
      <c r="A461">
        <v>20</v>
      </c>
      <c r="B461">
        <v>2016</v>
      </c>
      <c r="C461">
        <v>4</v>
      </c>
      <c r="D461" t="s">
        <v>8</v>
      </c>
      <c r="E461" t="s">
        <v>9</v>
      </c>
      <c r="F461" t="s">
        <v>61</v>
      </c>
      <c r="G461" t="s">
        <v>60</v>
      </c>
      <c r="H461" s="4">
        <v>84.573894282632139</v>
      </c>
    </row>
    <row r="462" spans="1:8" x14ac:dyDescent="0.35">
      <c r="A462">
        <v>21</v>
      </c>
      <c r="B462">
        <v>2017</v>
      </c>
      <c r="C462">
        <v>1</v>
      </c>
      <c r="D462" t="s">
        <v>8</v>
      </c>
      <c r="E462" t="s">
        <v>9</v>
      </c>
      <c r="F462" t="s">
        <v>61</v>
      </c>
      <c r="G462" t="s">
        <v>60</v>
      </c>
      <c r="H462" s="4">
        <v>83.095499451152577</v>
      </c>
    </row>
    <row r="463" spans="1:8" x14ac:dyDescent="0.35">
      <c r="A463">
        <v>22</v>
      </c>
      <c r="B463">
        <v>2017</v>
      </c>
      <c r="C463">
        <v>2</v>
      </c>
      <c r="D463" t="s">
        <v>8</v>
      </c>
      <c r="E463" t="s">
        <v>9</v>
      </c>
      <c r="F463" t="s">
        <v>61</v>
      </c>
      <c r="G463" t="s">
        <v>60</v>
      </c>
      <c r="H463" s="4">
        <v>82.563025210084035</v>
      </c>
    </row>
    <row r="464" spans="1:8" x14ac:dyDescent="0.35">
      <c r="A464">
        <v>23</v>
      </c>
      <c r="B464">
        <v>2017</v>
      </c>
      <c r="C464">
        <v>3</v>
      </c>
      <c r="D464" t="s">
        <v>8</v>
      </c>
      <c r="E464" t="s">
        <v>9</v>
      </c>
      <c r="F464" t="s">
        <v>61</v>
      </c>
      <c r="G464" t="s">
        <v>60</v>
      </c>
      <c r="H464" s="4">
        <v>81.208791208791212</v>
      </c>
    </row>
    <row r="465" spans="1:8" x14ac:dyDescent="0.35">
      <c r="A465">
        <v>24</v>
      </c>
      <c r="B465">
        <v>2017</v>
      </c>
      <c r="C465">
        <v>4</v>
      </c>
      <c r="D465" t="s">
        <v>8</v>
      </c>
      <c r="E465" t="s">
        <v>9</v>
      </c>
      <c r="F465" t="s">
        <v>61</v>
      </c>
      <c r="G465" t="s">
        <v>60</v>
      </c>
      <c r="H465" s="4">
        <v>81.438998957247136</v>
      </c>
    </row>
    <row r="466" spans="1:8" x14ac:dyDescent="0.35">
      <c r="A466">
        <v>25</v>
      </c>
      <c r="B466">
        <v>2018</v>
      </c>
      <c r="C466">
        <v>1</v>
      </c>
      <c r="D466" t="s">
        <v>8</v>
      </c>
      <c r="E466" t="s">
        <v>9</v>
      </c>
      <c r="F466" t="s">
        <v>61</v>
      </c>
      <c r="G466" t="s">
        <v>60</v>
      </c>
      <c r="H466" s="4">
        <v>80.148619957537164</v>
      </c>
    </row>
    <row r="467" spans="1:8" x14ac:dyDescent="0.35">
      <c r="A467">
        <v>26</v>
      </c>
      <c r="B467">
        <v>2018</v>
      </c>
      <c r="C467">
        <v>2</v>
      </c>
      <c r="D467" t="s">
        <v>8</v>
      </c>
      <c r="E467" t="s">
        <v>9</v>
      </c>
      <c r="F467" t="s">
        <v>61</v>
      </c>
      <c r="G467" t="s">
        <v>60</v>
      </c>
      <c r="H467" s="4">
        <v>78.8</v>
      </c>
    </row>
    <row r="468" spans="1:8" x14ac:dyDescent="0.35">
      <c r="A468">
        <v>27</v>
      </c>
      <c r="B468">
        <v>2018</v>
      </c>
      <c r="C468">
        <v>3</v>
      </c>
      <c r="D468" t="s">
        <v>8</v>
      </c>
      <c r="E468" t="s">
        <v>9</v>
      </c>
      <c r="F468" t="s">
        <v>61</v>
      </c>
      <c r="G468" t="s">
        <v>60</v>
      </c>
      <c r="H468" s="4">
        <v>75.508317929759698</v>
      </c>
    </row>
    <row r="469" spans="1:8" x14ac:dyDescent="0.35">
      <c r="A469">
        <v>28</v>
      </c>
      <c r="B469">
        <v>2018</v>
      </c>
      <c r="C469">
        <v>4</v>
      </c>
      <c r="D469" t="s">
        <v>8</v>
      </c>
      <c r="E469" t="s">
        <v>9</v>
      </c>
      <c r="F469" t="s">
        <v>61</v>
      </c>
      <c r="G469" t="s">
        <v>60</v>
      </c>
      <c r="H469" s="4">
        <v>76</v>
      </c>
    </row>
    <row r="470" spans="1:8" x14ac:dyDescent="0.35">
      <c r="A470">
        <v>29</v>
      </c>
      <c r="B470">
        <v>2019</v>
      </c>
      <c r="C470">
        <v>1</v>
      </c>
      <c r="D470" t="s">
        <v>8</v>
      </c>
      <c r="E470" t="s">
        <v>9</v>
      </c>
      <c r="F470" t="s">
        <v>61</v>
      </c>
      <c r="G470" t="s">
        <v>60</v>
      </c>
      <c r="H470" s="4">
        <v>75.157515751575161</v>
      </c>
    </row>
    <row r="471" spans="1:8" x14ac:dyDescent="0.35">
      <c r="A471">
        <v>30</v>
      </c>
      <c r="B471">
        <v>2019</v>
      </c>
      <c r="C471">
        <v>2</v>
      </c>
      <c r="D471" t="s">
        <v>8</v>
      </c>
      <c r="E471" t="s">
        <v>9</v>
      </c>
      <c r="F471" t="s">
        <v>61</v>
      </c>
      <c r="G471" t="s">
        <v>60</v>
      </c>
      <c r="H471" s="4">
        <v>76.360392506690459</v>
      </c>
    </row>
    <row r="472" spans="1:8" x14ac:dyDescent="0.35">
      <c r="A472">
        <v>31</v>
      </c>
      <c r="B472">
        <v>2019</v>
      </c>
      <c r="C472">
        <v>3</v>
      </c>
      <c r="D472" t="s">
        <v>8</v>
      </c>
      <c r="E472" t="s">
        <v>9</v>
      </c>
      <c r="F472" t="s">
        <v>61</v>
      </c>
      <c r="G472" t="s">
        <v>60</v>
      </c>
      <c r="H472" s="4">
        <v>78.715596330275233</v>
      </c>
    </row>
    <row r="473" spans="1:8" x14ac:dyDescent="0.35">
      <c r="A473">
        <v>32</v>
      </c>
      <c r="B473">
        <v>2019</v>
      </c>
      <c r="C473">
        <v>4</v>
      </c>
      <c r="D473" t="s">
        <v>8</v>
      </c>
      <c r="E473" t="s">
        <v>9</v>
      </c>
      <c r="F473" t="s">
        <v>61</v>
      </c>
      <c r="G473" t="s">
        <v>60</v>
      </c>
      <c r="H473" s="4">
        <v>78.494623655913969</v>
      </c>
    </row>
    <row r="474" spans="1:8" x14ac:dyDescent="0.35">
      <c r="A474">
        <v>33</v>
      </c>
      <c r="B474">
        <v>2020</v>
      </c>
      <c r="C474">
        <v>1</v>
      </c>
      <c r="D474" t="s">
        <v>8</v>
      </c>
      <c r="E474" t="s">
        <v>9</v>
      </c>
      <c r="F474" t="s">
        <v>61</v>
      </c>
      <c r="G474" t="s">
        <v>60</v>
      </c>
      <c r="H474" s="4">
        <v>80.603842634949686</v>
      </c>
    </row>
    <row r="475" spans="1:8" x14ac:dyDescent="0.35">
      <c r="A475">
        <v>34</v>
      </c>
      <c r="B475">
        <v>2020</v>
      </c>
      <c r="C475">
        <v>2</v>
      </c>
      <c r="D475" t="s">
        <v>8</v>
      </c>
      <c r="E475" t="s">
        <v>9</v>
      </c>
      <c r="F475" t="s">
        <v>61</v>
      </c>
      <c r="G475" t="s">
        <v>60</v>
      </c>
      <c r="H475" s="4">
        <v>80.606060606060609</v>
      </c>
    </row>
    <row r="476" spans="1:8" x14ac:dyDescent="0.35">
      <c r="A476">
        <v>35</v>
      </c>
      <c r="B476">
        <v>2020</v>
      </c>
      <c r="C476">
        <v>3</v>
      </c>
      <c r="D476" t="s">
        <v>8</v>
      </c>
      <c r="E476" t="s">
        <v>9</v>
      </c>
      <c r="F476" t="s">
        <v>61</v>
      </c>
      <c r="G476" t="s">
        <v>60</v>
      </c>
      <c r="H476" s="4">
        <v>85.933806146572095</v>
      </c>
    </row>
    <row r="477" spans="1:8" x14ac:dyDescent="0.35">
      <c r="A477">
        <v>36</v>
      </c>
      <c r="B477">
        <v>2020</v>
      </c>
      <c r="C477">
        <v>4</v>
      </c>
      <c r="D477" t="s">
        <v>8</v>
      </c>
      <c r="E477" t="s">
        <v>9</v>
      </c>
      <c r="F477" t="s">
        <v>61</v>
      </c>
      <c r="G477" t="s">
        <v>60</v>
      </c>
      <c r="H477" s="4">
        <v>81.92893401015229</v>
      </c>
    </row>
    <row r="478" spans="1:8" x14ac:dyDescent="0.35">
      <c r="A478">
        <v>37</v>
      </c>
      <c r="B478">
        <v>2021</v>
      </c>
      <c r="C478">
        <v>1</v>
      </c>
      <c r="D478" t="s">
        <v>8</v>
      </c>
      <c r="E478" t="s">
        <v>9</v>
      </c>
      <c r="F478" t="s">
        <v>61</v>
      </c>
      <c r="G478" t="s">
        <v>60</v>
      </c>
      <c r="H478" s="4">
        <v>80.708294501397944</v>
      </c>
    </row>
    <row r="479" spans="1:8" x14ac:dyDescent="0.35">
      <c r="A479">
        <v>38</v>
      </c>
      <c r="B479">
        <v>2021</v>
      </c>
      <c r="C479">
        <v>2</v>
      </c>
      <c r="D479" t="s">
        <v>8</v>
      </c>
      <c r="E479" t="s">
        <v>9</v>
      </c>
      <c r="F479" t="s">
        <v>61</v>
      </c>
      <c r="G479" t="s">
        <v>60</v>
      </c>
      <c r="H479" s="4">
        <v>79.945799457994582</v>
      </c>
    </row>
    <row r="480" spans="1:8" x14ac:dyDescent="0.35">
      <c r="A480">
        <v>39</v>
      </c>
      <c r="B480">
        <v>2021</v>
      </c>
      <c r="C480">
        <v>3</v>
      </c>
      <c r="D480" t="s">
        <v>8</v>
      </c>
      <c r="E480" t="s">
        <v>9</v>
      </c>
      <c r="F480" t="s">
        <v>61</v>
      </c>
      <c r="G480" t="s">
        <v>60</v>
      </c>
      <c r="H480" s="4">
        <v>78.135888501742158</v>
      </c>
    </row>
    <row r="481" spans="1:8" x14ac:dyDescent="0.35">
      <c r="A481">
        <v>40</v>
      </c>
      <c r="B481">
        <v>2021</v>
      </c>
      <c r="C481">
        <v>4</v>
      </c>
      <c r="D481" t="s">
        <v>8</v>
      </c>
      <c r="E481" t="s">
        <v>9</v>
      </c>
      <c r="F481" t="s">
        <v>61</v>
      </c>
      <c r="G481" t="s">
        <v>60</v>
      </c>
      <c r="H481" s="4">
        <v>71.722365038560412</v>
      </c>
    </row>
    <row r="482" spans="1:8" x14ac:dyDescent="0.35">
      <c r="A482">
        <v>1</v>
      </c>
      <c r="B482">
        <v>2012</v>
      </c>
      <c r="C482">
        <v>1</v>
      </c>
      <c r="D482" t="s">
        <v>8</v>
      </c>
      <c r="E482" t="s">
        <v>9</v>
      </c>
      <c r="F482" t="s">
        <v>59</v>
      </c>
      <c r="G482" t="s">
        <v>58</v>
      </c>
      <c r="H482" s="4">
        <v>97.297297297297305</v>
      </c>
    </row>
    <row r="483" spans="1:8" x14ac:dyDescent="0.35">
      <c r="A483">
        <v>2</v>
      </c>
      <c r="B483">
        <v>2012</v>
      </c>
      <c r="C483">
        <v>2</v>
      </c>
      <c r="D483" t="s">
        <v>8</v>
      </c>
      <c r="E483" t="s">
        <v>9</v>
      </c>
      <c r="F483" t="s">
        <v>59</v>
      </c>
      <c r="G483" t="s">
        <v>58</v>
      </c>
      <c r="H483" s="4">
        <v>97.590361445783131</v>
      </c>
    </row>
    <row r="484" spans="1:8" x14ac:dyDescent="0.35">
      <c r="A484">
        <v>3</v>
      </c>
      <c r="B484">
        <v>2012</v>
      </c>
      <c r="C484">
        <v>3</v>
      </c>
      <c r="D484" t="s">
        <v>8</v>
      </c>
      <c r="E484" t="s">
        <v>9</v>
      </c>
      <c r="F484" t="s">
        <v>59</v>
      </c>
      <c r="G484" t="s">
        <v>58</v>
      </c>
      <c r="H484" s="4">
        <v>99.033816425120762</v>
      </c>
    </row>
    <row r="485" spans="1:8" x14ac:dyDescent="0.35">
      <c r="A485">
        <v>4</v>
      </c>
      <c r="B485">
        <v>2012</v>
      </c>
      <c r="C485">
        <v>4</v>
      </c>
      <c r="D485" t="s">
        <v>8</v>
      </c>
      <c r="E485" t="s">
        <v>9</v>
      </c>
      <c r="F485" t="s">
        <v>59</v>
      </c>
      <c r="G485" t="s">
        <v>58</v>
      </c>
      <c r="H485" s="4">
        <v>97.881355932203391</v>
      </c>
    </row>
    <row r="486" spans="1:8" x14ac:dyDescent="0.35">
      <c r="A486">
        <v>5</v>
      </c>
      <c r="B486">
        <v>2013</v>
      </c>
      <c r="C486">
        <v>1</v>
      </c>
      <c r="D486" t="s">
        <v>8</v>
      </c>
      <c r="E486" t="s">
        <v>9</v>
      </c>
      <c r="F486" t="s">
        <v>59</v>
      </c>
      <c r="G486" t="s">
        <v>58</v>
      </c>
      <c r="H486" s="4">
        <v>98.067632850241552</v>
      </c>
    </row>
    <row r="487" spans="1:8" x14ac:dyDescent="0.35">
      <c r="A487">
        <v>6</v>
      </c>
      <c r="B487">
        <v>2013</v>
      </c>
      <c r="C487">
        <v>2</v>
      </c>
      <c r="D487" t="s">
        <v>8</v>
      </c>
      <c r="E487" t="s">
        <v>9</v>
      </c>
      <c r="F487" t="s">
        <v>59</v>
      </c>
      <c r="G487" t="s">
        <v>58</v>
      </c>
      <c r="H487" s="4">
        <v>97.47899159663865</v>
      </c>
    </row>
    <row r="488" spans="1:8" x14ac:dyDescent="0.35">
      <c r="A488">
        <v>7</v>
      </c>
      <c r="B488">
        <v>2013</v>
      </c>
      <c r="C488">
        <v>3</v>
      </c>
      <c r="D488" t="s">
        <v>8</v>
      </c>
      <c r="E488" t="s">
        <v>9</v>
      </c>
      <c r="F488" t="s">
        <v>59</v>
      </c>
      <c r="G488" t="s">
        <v>58</v>
      </c>
      <c r="H488" s="4">
        <v>96.5</v>
      </c>
    </row>
    <row r="489" spans="1:8" x14ac:dyDescent="0.35">
      <c r="A489">
        <v>8</v>
      </c>
      <c r="B489">
        <v>2013</v>
      </c>
      <c r="C489">
        <v>4</v>
      </c>
      <c r="D489" t="s">
        <v>8</v>
      </c>
      <c r="E489" t="s">
        <v>9</v>
      </c>
      <c r="F489" t="s">
        <v>59</v>
      </c>
      <c r="G489" t="s">
        <v>58</v>
      </c>
      <c r="H489" s="4">
        <v>97.727272727272734</v>
      </c>
    </row>
    <row r="490" spans="1:8" x14ac:dyDescent="0.35">
      <c r="A490">
        <v>9</v>
      </c>
      <c r="B490">
        <v>2014</v>
      </c>
      <c r="C490">
        <v>1</v>
      </c>
      <c r="D490" t="s">
        <v>8</v>
      </c>
      <c r="E490" t="s">
        <v>9</v>
      </c>
      <c r="F490" t="s">
        <v>59</v>
      </c>
      <c r="G490" t="s">
        <v>58</v>
      </c>
      <c r="H490" s="4">
        <v>96.460176991150433</v>
      </c>
    </row>
    <row r="491" spans="1:8" x14ac:dyDescent="0.35">
      <c r="A491">
        <v>10</v>
      </c>
      <c r="B491">
        <v>2014</v>
      </c>
      <c r="C491">
        <v>2</v>
      </c>
      <c r="D491" t="s">
        <v>8</v>
      </c>
      <c r="E491" t="s">
        <v>9</v>
      </c>
      <c r="F491" t="s">
        <v>59</v>
      </c>
      <c r="G491" t="s">
        <v>58</v>
      </c>
      <c r="H491" s="4">
        <v>97.21254355400697</v>
      </c>
    </row>
    <row r="492" spans="1:8" x14ac:dyDescent="0.35">
      <c r="A492">
        <v>11</v>
      </c>
      <c r="B492">
        <v>2014</v>
      </c>
      <c r="C492">
        <v>3</v>
      </c>
      <c r="D492" t="s">
        <v>8</v>
      </c>
      <c r="E492" t="s">
        <v>9</v>
      </c>
      <c r="F492" t="s">
        <v>59</v>
      </c>
      <c r="G492" t="s">
        <v>58</v>
      </c>
      <c r="H492" s="4">
        <v>97.959183673469383</v>
      </c>
    </row>
    <row r="493" spans="1:8" x14ac:dyDescent="0.35">
      <c r="A493">
        <v>12</v>
      </c>
      <c r="B493">
        <v>2014</v>
      </c>
      <c r="C493">
        <v>4</v>
      </c>
      <c r="D493" t="s">
        <v>8</v>
      </c>
      <c r="E493" t="s">
        <v>9</v>
      </c>
      <c r="F493" t="s">
        <v>59</v>
      </c>
      <c r="G493" t="s">
        <v>58</v>
      </c>
      <c r="H493" s="4">
        <v>96.761133603238875</v>
      </c>
    </row>
    <row r="494" spans="1:8" x14ac:dyDescent="0.35">
      <c r="A494">
        <v>13</v>
      </c>
      <c r="B494">
        <v>2015</v>
      </c>
      <c r="C494">
        <v>1</v>
      </c>
      <c r="D494" t="s">
        <v>8</v>
      </c>
      <c r="E494" t="s">
        <v>9</v>
      </c>
      <c r="F494" t="s">
        <v>59</v>
      </c>
      <c r="G494" t="s">
        <v>58</v>
      </c>
      <c r="H494" s="4">
        <v>98.122065727699521</v>
      </c>
    </row>
    <row r="495" spans="1:8" x14ac:dyDescent="0.35">
      <c r="A495">
        <v>14</v>
      </c>
      <c r="B495">
        <v>2015</v>
      </c>
      <c r="C495">
        <v>2</v>
      </c>
      <c r="D495" t="s">
        <v>8</v>
      </c>
      <c r="E495" t="s">
        <v>9</v>
      </c>
      <c r="F495" t="s">
        <v>59</v>
      </c>
      <c r="G495" t="s">
        <v>58</v>
      </c>
      <c r="H495" s="4">
        <v>98.23788546255507</v>
      </c>
    </row>
    <row r="496" spans="1:8" x14ac:dyDescent="0.35">
      <c r="A496">
        <v>15</v>
      </c>
      <c r="B496">
        <v>2015</v>
      </c>
      <c r="C496">
        <v>3</v>
      </c>
      <c r="D496" t="s">
        <v>8</v>
      </c>
      <c r="E496" t="s">
        <v>9</v>
      </c>
      <c r="F496" t="s">
        <v>59</v>
      </c>
      <c r="G496" t="s">
        <v>58</v>
      </c>
      <c r="H496" s="4">
        <v>96.638655462184872</v>
      </c>
    </row>
    <row r="497" spans="1:8" x14ac:dyDescent="0.35">
      <c r="A497">
        <v>16</v>
      </c>
      <c r="B497">
        <v>2015</v>
      </c>
      <c r="C497">
        <v>4</v>
      </c>
      <c r="D497" t="s">
        <v>8</v>
      </c>
      <c r="E497" t="s">
        <v>9</v>
      </c>
      <c r="F497" t="s">
        <v>59</v>
      </c>
      <c r="G497" t="s">
        <v>58</v>
      </c>
      <c r="H497" s="4">
        <v>95.33898305084746</v>
      </c>
    </row>
    <row r="498" spans="1:8" x14ac:dyDescent="0.35">
      <c r="A498">
        <v>17</v>
      </c>
      <c r="B498">
        <v>2016</v>
      </c>
      <c r="C498">
        <v>1</v>
      </c>
      <c r="D498" t="s">
        <v>8</v>
      </c>
      <c r="E498" t="s">
        <v>9</v>
      </c>
      <c r="F498" t="s">
        <v>59</v>
      </c>
      <c r="G498" t="s">
        <v>58</v>
      </c>
      <c r="H498" s="4">
        <v>97.391304347826093</v>
      </c>
    </row>
    <row r="499" spans="1:8" x14ac:dyDescent="0.35">
      <c r="A499">
        <v>18</v>
      </c>
      <c r="B499">
        <v>2016</v>
      </c>
      <c r="C499">
        <v>2</v>
      </c>
      <c r="D499" t="s">
        <v>8</v>
      </c>
      <c r="E499" t="s">
        <v>9</v>
      </c>
      <c r="F499" t="s">
        <v>59</v>
      </c>
      <c r="G499" t="s">
        <v>58</v>
      </c>
      <c r="H499" s="4">
        <v>95.620437956204384</v>
      </c>
    </row>
    <row r="500" spans="1:8" x14ac:dyDescent="0.35">
      <c r="A500">
        <v>19</v>
      </c>
      <c r="B500">
        <v>2016</v>
      </c>
      <c r="C500">
        <v>3</v>
      </c>
      <c r="D500" t="s">
        <v>8</v>
      </c>
      <c r="E500" t="s">
        <v>9</v>
      </c>
      <c r="F500" t="s">
        <v>59</v>
      </c>
      <c r="G500" t="s">
        <v>58</v>
      </c>
      <c r="H500" s="4">
        <v>97.718631178707227</v>
      </c>
    </row>
    <row r="501" spans="1:8" x14ac:dyDescent="0.35">
      <c r="A501">
        <v>20</v>
      </c>
      <c r="B501">
        <v>2016</v>
      </c>
      <c r="C501">
        <v>4</v>
      </c>
      <c r="D501" t="s">
        <v>8</v>
      </c>
      <c r="E501" t="s">
        <v>9</v>
      </c>
      <c r="F501" t="s">
        <v>59</v>
      </c>
      <c r="G501" t="s">
        <v>58</v>
      </c>
      <c r="H501" s="4">
        <v>97.747747747747752</v>
      </c>
    </row>
    <row r="502" spans="1:8" x14ac:dyDescent="0.35">
      <c r="A502">
        <v>21</v>
      </c>
      <c r="B502">
        <v>2017</v>
      </c>
      <c r="C502">
        <v>1</v>
      </c>
      <c r="D502" t="s">
        <v>8</v>
      </c>
      <c r="E502" t="s">
        <v>9</v>
      </c>
      <c r="F502" t="s">
        <v>59</v>
      </c>
      <c r="G502" t="s">
        <v>58</v>
      </c>
      <c r="H502" s="4">
        <v>97.435897435897431</v>
      </c>
    </row>
    <row r="503" spans="1:8" x14ac:dyDescent="0.35">
      <c r="A503">
        <v>22</v>
      </c>
      <c r="B503">
        <v>2017</v>
      </c>
      <c r="C503">
        <v>2</v>
      </c>
      <c r="D503" t="s">
        <v>8</v>
      </c>
      <c r="E503" t="s">
        <v>9</v>
      </c>
      <c r="F503" t="s">
        <v>59</v>
      </c>
      <c r="G503" t="s">
        <v>58</v>
      </c>
      <c r="H503" s="4">
        <v>96.15384615384616</v>
      </c>
    </row>
    <row r="504" spans="1:8" x14ac:dyDescent="0.35">
      <c r="A504">
        <v>23</v>
      </c>
      <c r="B504">
        <v>2017</v>
      </c>
      <c r="C504">
        <v>3</v>
      </c>
      <c r="D504" t="s">
        <v>8</v>
      </c>
      <c r="E504" t="s">
        <v>9</v>
      </c>
      <c r="F504" t="s">
        <v>59</v>
      </c>
      <c r="G504" t="s">
        <v>58</v>
      </c>
      <c r="H504" s="4">
        <v>95.723684210526315</v>
      </c>
    </row>
    <row r="505" spans="1:8" x14ac:dyDescent="0.35">
      <c r="A505">
        <v>24</v>
      </c>
      <c r="B505">
        <v>2017</v>
      </c>
      <c r="C505">
        <v>4</v>
      </c>
      <c r="D505" t="s">
        <v>8</v>
      </c>
      <c r="E505" t="s">
        <v>9</v>
      </c>
      <c r="F505" t="s">
        <v>59</v>
      </c>
      <c r="G505" t="s">
        <v>58</v>
      </c>
      <c r="H505" s="4">
        <v>96.638655462184872</v>
      </c>
    </row>
    <row r="506" spans="1:8" x14ac:dyDescent="0.35">
      <c r="A506">
        <v>25</v>
      </c>
      <c r="B506">
        <v>2018</v>
      </c>
      <c r="C506">
        <v>1</v>
      </c>
      <c r="D506" t="s">
        <v>8</v>
      </c>
      <c r="E506" t="s">
        <v>9</v>
      </c>
      <c r="F506" t="s">
        <v>59</v>
      </c>
      <c r="G506" t="s">
        <v>58</v>
      </c>
      <c r="H506" s="4">
        <v>97.416974169741692</v>
      </c>
    </row>
    <row r="507" spans="1:8" x14ac:dyDescent="0.35">
      <c r="A507">
        <v>26</v>
      </c>
      <c r="B507">
        <v>2018</v>
      </c>
      <c r="C507">
        <v>2</v>
      </c>
      <c r="D507" t="s">
        <v>8</v>
      </c>
      <c r="E507" t="s">
        <v>9</v>
      </c>
      <c r="F507" t="s">
        <v>59</v>
      </c>
      <c r="G507" t="s">
        <v>58</v>
      </c>
      <c r="H507" s="4">
        <v>96.407185628742525</v>
      </c>
    </row>
    <row r="508" spans="1:8" x14ac:dyDescent="0.35">
      <c r="A508">
        <v>27</v>
      </c>
      <c r="B508">
        <v>2018</v>
      </c>
      <c r="C508">
        <v>3</v>
      </c>
      <c r="D508" t="s">
        <v>8</v>
      </c>
      <c r="E508" t="s">
        <v>9</v>
      </c>
      <c r="F508" t="s">
        <v>59</v>
      </c>
      <c r="G508" t="s">
        <v>58</v>
      </c>
      <c r="H508" s="4">
        <v>97.115384615384613</v>
      </c>
    </row>
    <row r="509" spans="1:8" x14ac:dyDescent="0.35">
      <c r="A509">
        <v>28</v>
      </c>
      <c r="B509">
        <v>2018</v>
      </c>
      <c r="C509">
        <v>4</v>
      </c>
      <c r="D509" t="s">
        <v>8</v>
      </c>
      <c r="E509" t="s">
        <v>9</v>
      </c>
      <c r="F509" t="s">
        <v>59</v>
      </c>
      <c r="G509" t="s">
        <v>58</v>
      </c>
      <c r="H509" s="4">
        <v>97.394136807817588</v>
      </c>
    </row>
    <row r="510" spans="1:8" x14ac:dyDescent="0.35">
      <c r="A510">
        <v>29</v>
      </c>
      <c r="B510">
        <v>2019</v>
      </c>
      <c r="C510">
        <v>1</v>
      </c>
      <c r="D510" t="s">
        <v>8</v>
      </c>
      <c r="E510" t="s">
        <v>9</v>
      </c>
      <c r="F510" t="s">
        <v>59</v>
      </c>
      <c r="G510" t="s">
        <v>58</v>
      </c>
      <c r="H510" s="4">
        <v>98.71794871794873</v>
      </c>
    </row>
    <row r="511" spans="1:8" x14ac:dyDescent="0.35">
      <c r="A511">
        <v>30</v>
      </c>
      <c r="B511">
        <v>2019</v>
      </c>
      <c r="C511">
        <v>2</v>
      </c>
      <c r="D511" t="s">
        <v>8</v>
      </c>
      <c r="E511" t="s">
        <v>9</v>
      </c>
      <c r="F511" t="s">
        <v>59</v>
      </c>
      <c r="G511" t="s">
        <v>58</v>
      </c>
      <c r="H511" s="4">
        <v>97.720797720797719</v>
      </c>
    </row>
    <row r="512" spans="1:8" x14ac:dyDescent="0.35">
      <c r="A512">
        <v>31</v>
      </c>
      <c r="B512">
        <v>2019</v>
      </c>
      <c r="C512">
        <v>3</v>
      </c>
      <c r="D512" t="s">
        <v>8</v>
      </c>
      <c r="E512" t="s">
        <v>9</v>
      </c>
      <c r="F512" t="s">
        <v>59</v>
      </c>
      <c r="G512" t="s">
        <v>58</v>
      </c>
      <c r="H512" s="4">
        <v>97.878787878787875</v>
      </c>
    </row>
    <row r="513" spans="1:8" x14ac:dyDescent="0.35">
      <c r="A513">
        <v>32</v>
      </c>
      <c r="B513">
        <v>2019</v>
      </c>
      <c r="C513">
        <v>4</v>
      </c>
      <c r="D513" t="s">
        <v>8</v>
      </c>
      <c r="E513" t="s">
        <v>9</v>
      </c>
      <c r="F513" t="s">
        <v>59</v>
      </c>
      <c r="G513" t="s">
        <v>58</v>
      </c>
      <c r="H513" s="4">
        <v>98.281786941580748</v>
      </c>
    </row>
    <row r="514" spans="1:8" x14ac:dyDescent="0.35">
      <c r="A514">
        <v>33</v>
      </c>
      <c r="B514">
        <v>2020</v>
      </c>
      <c r="C514">
        <v>1</v>
      </c>
      <c r="D514" t="s">
        <v>8</v>
      </c>
      <c r="E514" t="s">
        <v>9</v>
      </c>
      <c r="F514" t="s">
        <v>59</v>
      </c>
      <c r="G514" t="s">
        <v>58</v>
      </c>
      <c r="H514" s="4">
        <v>97.994269340974213</v>
      </c>
    </row>
    <row r="515" spans="1:8" x14ac:dyDescent="0.35">
      <c r="A515">
        <v>34</v>
      </c>
      <c r="B515">
        <v>2020</v>
      </c>
      <c r="C515">
        <v>2</v>
      </c>
      <c r="D515" t="s">
        <v>8</v>
      </c>
      <c r="E515" t="s">
        <v>9</v>
      </c>
      <c r="F515" t="s">
        <v>59</v>
      </c>
      <c r="G515" t="s">
        <v>58</v>
      </c>
      <c r="H515" s="4">
        <v>92.592592592592595</v>
      </c>
    </row>
    <row r="516" spans="1:8" x14ac:dyDescent="0.35">
      <c r="A516">
        <v>35</v>
      </c>
      <c r="B516">
        <v>2020</v>
      </c>
      <c r="C516">
        <v>3</v>
      </c>
      <c r="D516" t="s">
        <v>8</v>
      </c>
      <c r="E516" t="s">
        <v>9</v>
      </c>
      <c r="F516" t="s">
        <v>59</v>
      </c>
      <c r="G516" t="s">
        <v>58</v>
      </c>
      <c r="H516" s="4">
        <v>90.566037735849065</v>
      </c>
    </row>
    <row r="517" spans="1:8" x14ac:dyDescent="0.35">
      <c r="A517">
        <v>36</v>
      </c>
      <c r="B517">
        <v>2020</v>
      </c>
      <c r="C517">
        <v>4</v>
      </c>
      <c r="D517" t="s">
        <v>8</v>
      </c>
      <c r="E517" t="s">
        <v>9</v>
      </c>
      <c r="F517" t="s">
        <v>59</v>
      </c>
      <c r="G517" t="s">
        <v>58</v>
      </c>
      <c r="H517" s="4">
        <v>91.558441558441558</v>
      </c>
    </row>
    <row r="518" spans="1:8" x14ac:dyDescent="0.35">
      <c r="A518">
        <v>37</v>
      </c>
      <c r="B518">
        <v>2021</v>
      </c>
      <c r="C518">
        <v>1</v>
      </c>
      <c r="D518" t="s">
        <v>8</v>
      </c>
      <c r="E518" t="s">
        <v>9</v>
      </c>
      <c r="F518" t="s">
        <v>59</v>
      </c>
      <c r="G518" t="s">
        <v>58</v>
      </c>
      <c r="H518" s="4">
        <v>92.72727272727272</v>
      </c>
    </row>
    <row r="519" spans="1:8" x14ac:dyDescent="0.35">
      <c r="A519">
        <v>38</v>
      </c>
      <c r="B519">
        <v>2021</v>
      </c>
      <c r="C519">
        <v>2</v>
      </c>
      <c r="D519" t="s">
        <v>8</v>
      </c>
      <c r="E519" t="s">
        <v>9</v>
      </c>
      <c r="F519" t="s">
        <v>59</v>
      </c>
      <c r="G519" t="s">
        <v>58</v>
      </c>
      <c r="H519" s="4">
        <v>92.857142857142861</v>
      </c>
    </row>
    <row r="520" spans="1:8" x14ac:dyDescent="0.35">
      <c r="A520">
        <v>39</v>
      </c>
      <c r="B520">
        <v>2021</v>
      </c>
      <c r="C520">
        <v>3</v>
      </c>
      <c r="D520" t="s">
        <v>8</v>
      </c>
      <c r="E520" t="s">
        <v>9</v>
      </c>
      <c r="F520" t="s">
        <v>59</v>
      </c>
      <c r="G520" t="s">
        <v>58</v>
      </c>
      <c r="H520" s="4">
        <v>89.117647058823536</v>
      </c>
    </row>
    <row r="521" spans="1:8" x14ac:dyDescent="0.35">
      <c r="A521">
        <v>40</v>
      </c>
      <c r="B521">
        <v>2021</v>
      </c>
      <c r="C521">
        <v>4</v>
      </c>
      <c r="D521" t="s">
        <v>8</v>
      </c>
      <c r="E521" t="s">
        <v>9</v>
      </c>
      <c r="F521" t="s">
        <v>59</v>
      </c>
      <c r="G521" t="s">
        <v>58</v>
      </c>
      <c r="H521" s="4">
        <v>81.502890173410407</v>
      </c>
    </row>
    <row r="522" spans="1:8" x14ac:dyDescent="0.35">
      <c r="A522">
        <v>1</v>
      </c>
      <c r="B522">
        <v>2012</v>
      </c>
      <c r="C522">
        <v>1</v>
      </c>
      <c r="D522" t="s">
        <v>8</v>
      </c>
      <c r="E522" t="s">
        <v>9</v>
      </c>
      <c r="F522" t="s">
        <v>57</v>
      </c>
      <c r="G522" t="s">
        <v>56</v>
      </c>
      <c r="H522" s="4">
        <v>92.307692307692307</v>
      </c>
    </row>
    <row r="523" spans="1:8" x14ac:dyDescent="0.35">
      <c r="A523">
        <v>2</v>
      </c>
      <c r="B523">
        <v>2012</v>
      </c>
      <c r="C523">
        <v>2</v>
      </c>
      <c r="D523" t="s">
        <v>8</v>
      </c>
      <c r="E523" t="s">
        <v>9</v>
      </c>
      <c r="F523" t="s">
        <v>57</v>
      </c>
      <c r="G523" t="s">
        <v>56</v>
      </c>
      <c r="H523" s="4">
        <v>86.842105263157904</v>
      </c>
    </row>
    <row r="524" spans="1:8" x14ac:dyDescent="0.35">
      <c r="A524">
        <v>3</v>
      </c>
      <c r="B524">
        <v>2012</v>
      </c>
      <c r="C524">
        <v>3</v>
      </c>
      <c r="D524" t="s">
        <v>8</v>
      </c>
      <c r="E524" t="s">
        <v>9</v>
      </c>
      <c r="F524" t="s">
        <v>57</v>
      </c>
      <c r="G524" t="s">
        <v>56</v>
      </c>
      <c r="H524" s="4">
        <v>82.35294117647058</v>
      </c>
    </row>
    <row r="525" spans="1:8" x14ac:dyDescent="0.35">
      <c r="A525">
        <v>4</v>
      </c>
      <c r="B525">
        <v>2012</v>
      </c>
      <c r="C525">
        <v>4</v>
      </c>
      <c r="D525" t="s">
        <v>8</v>
      </c>
      <c r="E525" t="s">
        <v>9</v>
      </c>
      <c r="F525" t="s">
        <v>57</v>
      </c>
      <c r="G525" t="s">
        <v>56</v>
      </c>
      <c r="H525" s="4">
        <v>86.486486486486484</v>
      </c>
    </row>
    <row r="526" spans="1:8" x14ac:dyDescent="0.35">
      <c r="A526">
        <v>5</v>
      </c>
      <c r="B526">
        <v>2013</v>
      </c>
      <c r="C526">
        <v>1</v>
      </c>
      <c r="D526" t="s">
        <v>8</v>
      </c>
      <c r="E526" t="s">
        <v>9</v>
      </c>
      <c r="F526" t="s">
        <v>57</v>
      </c>
      <c r="G526" t="s">
        <v>56</v>
      </c>
      <c r="H526" s="4">
        <v>85</v>
      </c>
    </row>
    <row r="527" spans="1:8" x14ac:dyDescent="0.35">
      <c r="A527">
        <v>6</v>
      </c>
      <c r="B527">
        <v>2013</v>
      </c>
      <c r="C527">
        <v>2</v>
      </c>
      <c r="D527" t="s">
        <v>8</v>
      </c>
      <c r="E527" t="s">
        <v>9</v>
      </c>
      <c r="F527" t="s">
        <v>57</v>
      </c>
      <c r="G527" t="s">
        <v>56</v>
      </c>
      <c r="H527" s="4">
        <v>91.17647058823529</v>
      </c>
    </row>
    <row r="528" spans="1:8" x14ac:dyDescent="0.35">
      <c r="A528">
        <v>7</v>
      </c>
      <c r="B528">
        <v>2013</v>
      </c>
      <c r="C528">
        <v>3</v>
      </c>
      <c r="D528" t="s">
        <v>8</v>
      </c>
      <c r="E528" t="s">
        <v>9</v>
      </c>
      <c r="F528" t="s">
        <v>57</v>
      </c>
      <c r="G528" t="s">
        <v>56</v>
      </c>
      <c r="H528" s="4">
        <v>89.189189189189193</v>
      </c>
    </row>
    <row r="529" spans="1:8" x14ac:dyDescent="0.35">
      <c r="A529">
        <v>8</v>
      </c>
      <c r="B529">
        <v>2013</v>
      </c>
      <c r="C529">
        <v>4</v>
      </c>
      <c r="D529" t="s">
        <v>8</v>
      </c>
      <c r="E529" t="s">
        <v>9</v>
      </c>
      <c r="F529" t="s">
        <v>57</v>
      </c>
      <c r="G529" t="s">
        <v>56</v>
      </c>
      <c r="H529" s="4">
        <v>81.578947368421055</v>
      </c>
    </row>
    <row r="530" spans="1:8" x14ac:dyDescent="0.35">
      <c r="A530">
        <v>9</v>
      </c>
      <c r="B530">
        <v>2014</v>
      </c>
      <c r="C530">
        <v>1</v>
      </c>
      <c r="D530" t="s">
        <v>8</v>
      </c>
      <c r="E530" t="s">
        <v>9</v>
      </c>
      <c r="F530" t="s">
        <v>57</v>
      </c>
      <c r="G530" t="s">
        <v>56</v>
      </c>
      <c r="H530" s="4">
        <v>84.375</v>
      </c>
    </row>
    <row r="531" spans="1:8" x14ac:dyDescent="0.35">
      <c r="A531">
        <v>10</v>
      </c>
      <c r="B531">
        <v>2014</v>
      </c>
      <c r="C531">
        <v>2</v>
      </c>
      <c r="D531" t="s">
        <v>8</v>
      </c>
      <c r="E531" t="s">
        <v>9</v>
      </c>
      <c r="F531" t="s">
        <v>57</v>
      </c>
      <c r="G531" t="s">
        <v>56</v>
      </c>
      <c r="H531" s="4">
        <v>87.5</v>
      </c>
    </row>
    <row r="532" spans="1:8" x14ac:dyDescent="0.35">
      <c r="A532">
        <v>11</v>
      </c>
      <c r="B532">
        <v>2014</v>
      </c>
      <c r="C532">
        <v>3</v>
      </c>
      <c r="D532" t="s">
        <v>8</v>
      </c>
      <c r="E532" t="s">
        <v>9</v>
      </c>
      <c r="F532" t="s">
        <v>57</v>
      </c>
      <c r="G532" t="s">
        <v>56</v>
      </c>
      <c r="H532" s="4">
        <v>88.095238095238088</v>
      </c>
    </row>
    <row r="533" spans="1:8" x14ac:dyDescent="0.35">
      <c r="A533">
        <v>12</v>
      </c>
      <c r="B533">
        <v>2014</v>
      </c>
      <c r="C533">
        <v>4</v>
      </c>
      <c r="D533" t="s">
        <v>8</v>
      </c>
      <c r="E533" t="s">
        <v>9</v>
      </c>
      <c r="F533" t="s">
        <v>57</v>
      </c>
      <c r="G533" t="s">
        <v>56</v>
      </c>
      <c r="H533" s="4">
        <v>89.285714285714292</v>
      </c>
    </row>
    <row r="534" spans="1:8" x14ac:dyDescent="0.35">
      <c r="A534">
        <v>13</v>
      </c>
      <c r="B534">
        <v>2015</v>
      </c>
      <c r="C534">
        <v>1</v>
      </c>
      <c r="D534" t="s">
        <v>8</v>
      </c>
      <c r="E534" t="s">
        <v>9</v>
      </c>
      <c r="F534" t="s">
        <v>57</v>
      </c>
      <c r="G534" t="s">
        <v>56</v>
      </c>
      <c r="H534" s="4">
        <v>76</v>
      </c>
    </row>
    <row r="535" spans="1:8" x14ac:dyDescent="0.35">
      <c r="A535">
        <v>14</v>
      </c>
      <c r="B535">
        <v>2015</v>
      </c>
      <c r="C535">
        <v>2</v>
      </c>
      <c r="D535" t="s">
        <v>8</v>
      </c>
      <c r="E535" t="s">
        <v>9</v>
      </c>
      <c r="F535" t="s">
        <v>57</v>
      </c>
      <c r="G535" t="s">
        <v>56</v>
      </c>
      <c r="H535" s="4">
        <v>95.454545454545453</v>
      </c>
    </row>
    <row r="536" spans="1:8" x14ac:dyDescent="0.35">
      <c r="A536">
        <v>15</v>
      </c>
      <c r="B536">
        <v>2015</v>
      </c>
      <c r="C536">
        <v>3</v>
      </c>
      <c r="D536" t="s">
        <v>8</v>
      </c>
      <c r="E536" t="s">
        <v>9</v>
      </c>
      <c r="F536" t="s">
        <v>57</v>
      </c>
      <c r="G536" t="s">
        <v>56</v>
      </c>
      <c r="H536" s="4">
        <v>85.714285714285708</v>
      </c>
    </row>
    <row r="537" spans="1:8" x14ac:dyDescent="0.35">
      <c r="A537">
        <v>16</v>
      </c>
      <c r="B537">
        <v>2015</v>
      </c>
      <c r="C537">
        <v>4</v>
      </c>
      <c r="D537" t="s">
        <v>8</v>
      </c>
      <c r="E537" t="s">
        <v>9</v>
      </c>
      <c r="F537" t="s">
        <v>57</v>
      </c>
      <c r="G537" t="s">
        <v>56</v>
      </c>
      <c r="H537" s="4">
        <v>92.307692307692307</v>
      </c>
    </row>
    <row r="538" spans="1:8" x14ac:dyDescent="0.35">
      <c r="A538">
        <v>17</v>
      </c>
      <c r="B538">
        <v>2016</v>
      </c>
      <c r="C538">
        <v>1</v>
      </c>
      <c r="D538" t="s">
        <v>8</v>
      </c>
      <c r="E538" t="s">
        <v>9</v>
      </c>
      <c r="F538" t="s">
        <v>57</v>
      </c>
      <c r="G538" t="s">
        <v>56</v>
      </c>
      <c r="H538" s="4">
        <v>70.588235294117652</v>
      </c>
    </row>
    <row r="539" spans="1:8" x14ac:dyDescent="0.35">
      <c r="A539">
        <v>18</v>
      </c>
      <c r="B539">
        <v>2016</v>
      </c>
      <c r="C539">
        <v>2</v>
      </c>
      <c r="D539" t="s">
        <v>8</v>
      </c>
      <c r="E539" t="s">
        <v>9</v>
      </c>
      <c r="F539" t="s">
        <v>57</v>
      </c>
      <c r="G539" t="s">
        <v>56</v>
      </c>
      <c r="H539" s="4">
        <v>77.142857142857153</v>
      </c>
    </row>
    <row r="540" spans="1:8" x14ac:dyDescent="0.35">
      <c r="A540">
        <v>19</v>
      </c>
      <c r="B540">
        <v>2016</v>
      </c>
      <c r="C540">
        <v>3</v>
      </c>
      <c r="D540" t="s">
        <v>8</v>
      </c>
      <c r="E540" t="s">
        <v>9</v>
      </c>
      <c r="F540" t="s">
        <v>57</v>
      </c>
      <c r="G540" t="s">
        <v>56</v>
      </c>
      <c r="H540" s="4">
        <v>75.555555555555557</v>
      </c>
    </row>
    <row r="541" spans="1:8" x14ac:dyDescent="0.35">
      <c r="A541">
        <v>20</v>
      </c>
      <c r="B541">
        <v>2016</v>
      </c>
      <c r="C541">
        <v>4</v>
      </c>
      <c r="D541" t="s">
        <v>8</v>
      </c>
      <c r="E541" t="s">
        <v>9</v>
      </c>
      <c r="F541" t="s">
        <v>57</v>
      </c>
      <c r="G541" t="s">
        <v>56</v>
      </c>
      <c r="H541" s="4">
        <v>75.609756097560975</v>
      </c>
    </row>
    <row r="542" spans="1:8" x14ac:dyDescent="0.35">
      <c r="A542">
        <v>21</v>
      </c>
      <c r="B542">
        <v>2017</v>
      </c>
      <c r="C542">
        <v>1</v>
      </c>
      <c r="D542" t="s">
        <v>8</v>
      </c>
      <c r="E542" t="s">
        <v>9</v>
      </c>
      <c r="F542" t="s">
        <v>57</v>
      </c>
      <c r="G542" t="s">
        <v>56</v>
      </c>
      <c r="H542" s="4">
        <v>67.441860465116278</v>
      </c>
    </row>
    <row r="543" spans="1:8" x14ac:dyDescent="0.35">
      <c r="A543">
        <v>22</v>
      </c>
      <c r="B543">
        <v>2017</v>
      </c>
      <c r="C543">
        <v>2</v>
      </c>
      <c r="D543" t="s">
        <v>8</v>
      </c>
      <c r="E543" t="s">
        <v>9</v>
      </c>
      <c r="F543" t="s">
        <v>57</v>
      </c>
      <c r="G543" t="s">
        <v>56</v>
      </c>
      <c r="H543" s="4">
        <v>60.869565217391312</v>
      </c>
    </row>
    <row r="544" spans="1:8" x14ac:dyDescent="0.35">
      <c r="A544">
        <v>23</v>
      </c>
      <c r="B544">
        <v>2017</v>
      </c>
      <c r="C544">
        <v>3</v>
      </c>
      <c r="D544" t="s">
        <v>8</v>
      </c>
      <c r="E544" t="s">
        <v>9</v>
      </c>
      <c r="F544" t="s">
        <v>57</v>
      </c>
      <c r="G544" t="s">
        <v>56</v>
      </c>
      <c r="H544" s="4">
        <v>71.05263157894737</v>
      </c>
    </row>
    <row r="545" spans="1:8" x14ac:dyDescent="0.35">
      <c r="A545">
        <v>24</v>
      </c>
      <c r="B545">
        <v>2017</v>
      </c>
      <c r="C545">
        <v>4</v>
      </c>
      <c r="D545" t="s">
        <v>8</v>
      </c>
      <c r="E545" t="s">
        <v>9</v>
      </c>
      <c r="F545" t="s">
        <v>57</v>
      </c>
      <c r="G545" t="s">
        <v>56</v>
      </c>
      <c r="H545" s="4">
        <v>72.727272727272734</v>
      </c>
    </row>
    <row r="546" spans="1:8" x14ac:dyDescent="0.35">
      <c r="A546">
        <v>25</v>
      </c>
      <c r="B546">
        <v>2018</v>
      </c>
      <c r="C546">
        <v>1</v>
      </c>
      <c r="D546" t="s">
        <v>8</v>
      </c>
      <c r="E546" t="s">
        <v>9</v>
      </c>
      <c r="F546" t="s">
        <v>57</v>
      </c>
      <c r="G546" t="s">
        <v>56</v>
      </c>
      <c r="H546" s="4">
        <v>67.567567567567565</v>
      </c>
    </row>
    <row r="547" spans="1:8" x14ac:dyDescent="0.35">
      <c r="A547">
        <v>26</v>
      </c>
      <c r="B547">
        <v>2018</v>
      </c>
      <c r="C547">
        <v>2</v>
      </c>
      <c r="D547" t="s">
        <v>8</v>
      </c>
      <c r="E547" t="s">
        <v>9</v>
      </c>
      <c r="F547" t="s">
        <v>57</v>
      </c>
      <c r="G547" t="s">
        <v>56</v>
      </c>
      <c r="H547" s="4">
        <v>72.727272727272734</v>
      </c>
    </row>
    <row r="548" spans="1:8" x14ac:dyDescent="0.35">
      <c r="A548">
        <v>27</v>
      </c>
      <c r="B548">
        <v>2018</v>
      </c>
      <c r="C548">
        <v>3</v>
      </c>
      <c r="D548" t="s">
        <v>8</v>
      </c>
      <c r="E548" t="s">
        <v>9</v>
      </c>
      <c r="F548" t="s">
        <v>57</v>
      </c>
      <c r="G548" t="s">
        <v>56</v>
      </c>
      <c r="H548" s="4">
        <v>71.428571428571431</v>
      </c>
    </row>
    <row r="549" spans="1:8" x14ac:dyDescent="0.35">
      <c r="A549">
        <v>28</v>
      </c>
      <c r="B549">
        <v>2018</v>
      </c>
      <c r="C549">
        <v>4</v>
      </c>
      <c r="D549" t="s">
        <v>8</v>
      </c>
      <c r="E549" t="s">
        <v>9</v>
      </c>
      <c r="F549" t="s">
        <v>57</v>
      </c>
      <c r="G549" t="s">
        <v>56</v>
      </c>
      <c r="H549" s="4">
        <v>79.411764705882348</v>
      </c>
    </row>
    <row r="550" spans="1:8" x14ac:dyDescent="0.35">
      <c r="A550">
        <v>29</v>
      </c>
      <c r="B550">
        <v>2019</v>
      </c>
      <c r="C550">
        <v>1</v>
      </c>
      <c r="D550" t="s">
        <v>8</v>
      </c>
      <c r="E550" t="s">
        <v>9</v>
      </c>
      <c r="F550" t="s">
        <v>57</v>
      </c>
      <c r="G550" t="s">
        <v>56</v>
      </c>
      <c r="H550" s="4">
        <v>71.428571428571431</v>
      </c>
    </row>
    <row r="551" spans="1:8" x14ac:dyDescent="0.35">
      <c r="A551">
        <v>30</v>
      </c>
      <c r="B551">
        <v>2019</v>
      </c>
      <c r="C551">
        <v>2</v>
      </c>
      <c r="D551" t="s">
        <v>8</v>
      </c>
      <c r="E551" t="s">
        <v>9</v>
      </c>
      <c r="F551" t="s">
        <v>57</v>
      </c>
      <c r="G551" t="s">
        <v>56</v>
      </c>
      <c r="H551" s="4">
        <v>60</v>
      </c>
    </row>
    <row r="552" spans="1:8" x14ac:dyDescent="0.35">
      <c r="A552">
        <v>31</v>
      </c>
      <c r="B552">
        <v>2019</v>
      </c>
      <c r="C552">
        <v>3</v>
      </c>
      <c r="D552" t="s">
        <v>8</v>
      </c>
      <c r="E552" t="s">
        <v>9</v>
      </c>
      <c r="F552" t="s">
        <v>57</v>
      </c>
      <c r="G552" t="s">
        <v>56</v>
      </c>
      <c r="H552" s="4">
        <v>71.428571428571431</v>
      </c>
    </row>
    <row r="553" spans="1:8" x14ac:dyDescent="0.35">
      <c r="A553">
        <v>32</v>
      </c>
      <c r="B553">
        <v>2019</v>
      </c>
      <c r="C553">
        <v>4</v>
      </c>
      <c r="D553" t="s">
        <v>8</v>
      </c>
      <c r="E553" t="s">
        <v>9</v>
      </c>
      <c r="F553" t="s">
        <v>57</v>
      </c>
      <c r="G553" t="s">
        <v>56</v>
      </c>
      <c r="H553" s="4">
        <v>55.555555555555557</v>
      </c>
    </row>
    <row r="554" spans="1:8" x14ac:dyDescent="0.35">
      <c r="A554">
        <v>33</v>
      </c>
      <c r="B554">
        <v>2020</v>
      </c>
      <c r="C554">
        <v>1</v>
      </c>
      <c r="D554" t="s">
        <v>8</v>
      </c>
      <c r="E554" t="s">
        <v>9</v>
      </c>
      <c r="F554" t="s">
        <v>57</v>
      </c>
      <c r="G554" t="s">
        <v>56</v>
      </c>
      <c r="H554" s="4">
        <v>66.666666666666657</v>
      </c>
    </row>
    <row r="555" spans="1:8" x14ac:dyDescent="0.35">
      <c r="A555">
        <v>34</v>
      </c>
      <c r="B555">
        <v>2020</v>
      </c>
      <c r="C555">
        <v>2</v>
      </c>
      <c r="D555" t="s">
        <v>8</v>
      </c>
      <c r="E555" t="s">
        <v>9</v>
      </c>
      <c r="F555" t="s">
        <v>57</v>
      </c>
      <c r="G555" t="s">
        <v>56</v>
      </c>
      <c r="H555" s="4">
        <v>77.5</v>
      </c>
    </row>
    <row r="556" spans="1:8" x14ac:dyDescent="0.35">
      <c r="A556">
        <v>35</v>
      </c>
      <c r="B556">
        <v>2020</v>
      </c>
      <c r="C556">
        <v>3</v>
      </c>
      <c r="D556" t="s">
        <v>8</v>
      </c>
      <c r="E556" t="s">
        <v>9</v>
      </c>
      <c r="F556" t="s">
        <v>57</v>
      </c>
      <c r="G556" t="s">
        <v>56</v>
      </c>
      <c r="H556" s="4">
        <v>92</v>
      </c>
    </row>
    <row r="557" spans="1:8" x14ac:dyDescent="0.35">
      <c r="A557">
        <v>36</v>
      </c>
      <c r="B557">
        <v>2020</v>
      </c>
      <c r="C557">
        <v>4</v>
      </c>
      <c r="D557" t="s">
        <v>8</v>
      </c>
      <c r="E557" t="s">
        <v>9</v>
      </c>
      <c r="F557" t="s">
        <v>57</v>
      </c>
      <c r="G557" t="s">
        <v>56</v>
      </c>
      <c r="H557" s="4">
        <v>84.210526315789465</v>
      </c>
    </row>
    <row r="558" spans="1:8" x14ac:dyDescent="0.35">
      <c r="A558">
        <v>37</v>
      </c>
      <c r="B558">
        <v>2021</v>
      </c>
      <c r="C558">
        <v>1</v>
      </c>
      <c r="D558" t="s">
        <v>8</v>
      </c>
      <c r="E558" t="s">
        <v>9</v>
      </c>
      <c r="F558" t="s">
        <v>57</v>
      </c>
      <c r="G558" t="s">
        <v>56</v>
      </c>
      <c r="H558" s="4">
        <v>69.767441860465112</v>
      </c>
    </row>
    <row r="559" spans="1:8" x14ac:dyDescent="0.35">
      <c r="A559">
        <v>38</v>
      </c>
      <c r="B559">
        <v>2021</v>
      </c>
      <c r="C559">
        <v>2</v>
      </c>
      <c r="D559" t="s">
        <v>8</v>
      </c>
      <c r="E559" t="s">
        <v>9</v>
      </c>
      <c r="F559" t="s">
        <v>57</v>
      </c>
      <c r="G559" t="s">
        <v>56</v>
      </c>
      <c r="H559" s="4">
        <v>83.333333333333343</v>
      </c>
    </row>
    <row r="560" spans="1:8" x14ac:dyDescent="0.35">
      <c r="A560">
        <v>39</v>
      </c>
      <c r="B560">
        <v>2021</v>
      </c>
      <c r="C560">
        <v>3</v>
      </c>
      <c r="D560" t="s">
        <v>8</v>
      </c>
      <c r="E560" t="s">
        <v>9</v>
      </c>
      <c r="F560" t="s">
        <v>57</v>
      </c>
      <c r="G560" t="s">
        <v>56</v>
      </c>
      <c r="H560" s="4">
        <v>68.75</v>
      </c>
    </row>
    <row r="561" spans="1:8" x14ac:dyDescent="0.35">
      <c r="A561">
        <v>40</v>
      </c>
      <c r="B561">
        <v>2021</v>
      </c>
      <c r="C561">
        <v>4</v>
      </c>
      <c r="D561" t="s">
        <v>8</v>
      </c>
      <c r="E561" t="s">
        <v>9</v>
      </c>
      <c r="F561" t="s">
        <v>57</v>
      </c>
      <c r="G561" t="s">
        <v>56</v>
      </c>
      <c r="H561" s="4">
        <v>58.139534883720934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17A0-2305-4FE0-BFDF-D60C5E39D6EF}">
  <dimension ref="A1:E12"/>
  <sheetViews>
    <sheetView tabSelected="1" zoomScale="74" workbookViewId="0">
      <selection activeCell="K26" sqref="K26"/>
    </sheetView>
  </sheetViews>
  <sheetFormatPr defaultRowHeight="14.5" x14ac:dyDescent="0.35"/>
  <cols>
    <col min="1" max="1" width="14.54296875" bestFit="1" customWidth="1"/>
    <col min="2" max="2" width="13.08984375" bestFit="1" customWidth="1"/>
    <col min="3" max="3" width="25.54296875" bestFit="1" customWidth="1"/>
    <col min="4" max="4" width="11.7265625" bestFit="1" customWidth="1"/>
  </cols>
  <sheetData>
    <row r="1" spans="1:5" x14ac:dyDescent="0.35">
      <c r="C1" t="s">
        <v>86</v>
      </c>
    </row>
    <row r="2" spans="1:5" x14ac:dyDescent="0.35">
      <c r="A2" t="s">
        <v>87</v>
      </c>
      <c r="B2" t="s">
        <v>88</v>
      </c>
    </row>
    <row r="3" spans="1:5" x14ac:dyDescent="0.35">
      <c r="C3" s="9" t="s">
        <v>78</v>
      </c>
      <c r="D3" s="10" t="s">
        <v>16</v>
      </c>
    </row>
    <row r="4" spans="1:5" x14ac:dyDescent="0.35">
      <c r="A4" t="s">
        <v>89</v>
      </c>
      <c r="B4" s="8" t="s">
        <v>11</v>
      </c>
      <c r="C4" t="s">
        <v>79</v>
      </c>
      <c r="D4">
        <v>6.69</v>
      </c>
    </row>
    <row r="5" spans="1:5" x14ac:dyDescent="0.35">
      <c r="A5" t="s">
        <v>89</v>
      </c>
      <c r="B5" s="8" t="s">
        <v>11</v>
      </c>
      <c r="C5" s="1" t="s">
        <v>80</v>
      </c>
      <c r="D5" s="1">
        <v>5.23</v>
      </c>
      <c r="E5" t="s">
        <v>85</v>
      </c>
    </row>
    <row r="6" spans="1:5" x14ac:dyDescent="0.35">
      <c r="A6" t="s">
        <v>89</v>
      </c>
      <c r="B6" s="8" t="s">
        <v>11</v>
      </c>
      <c r="C6" t="s">
        <v>81</v>
      </c>
      <c r="D6">
        <v>10.79</v>
      </c>
    </row>
    <row r="7" spans="1:5" x14ac:dyDescent="0.35">
      <c r="A7" t="s">
        <v>89</v>
      </c>
      <c r="B7" s="8" t="s">
        <v>50</v>
      </c>
      <c r="C7" t="s">
        <v>79</v>
      </c>
      <c r="D7">
        <v>10.35</v>
      </c>
    </row>
    <row r="8" spans="1:5" x14ac:dyDescent="0.35">
      <c r="A8" t="s">
        <v>89</v>
      </c>
      <c r="B8" s="8" t="s">
        <v>50</v>
      </c>
      <c r="C8" t="s">
        <v>80</v>
      </c>
      <c r="D8">
        <v>10.16</v>
      </c>
    </row>
    <row r="9" spans="1:5" x14ac:dyDescent="0.35">
      <c r="A9" t="s">
        <v>89</v>
      </c>
      <c r="B9" s="8" t="s">
        <v>50</v>
      </c>
      <c r="C9" s="1" t="s">
        <v>81</v>
      </c>
      <c r="D9" s="1">
        <v>7.32</v>
      </c>
      <c r="E9" t="s">
        <v>85</v>
      </c>
    </row>
    <row r="10" spans="1:5" x14ac:dyDescent="0.35">
      <c r="A10" t="s">
        <v>89</v>
      </c>
      <c r="B10" s="8" t="s">
        <v>53</v>
      </c>
      <c r="C10" t="s">
        <v>79</v>
      </c>
      <c r="D10">
        <v>12.37</v>
      </c>
    </row>
    <row r="11" spans="1:5" x14ac:dyDescent="0.35">
      <c r="A11" t="s">
        <v>89</v>
      </c>
      <c r="B11" s="8" t="s">
        <v>53</v>
      </c>
      <c r="C11" t="s">
        <v>80</v>
      </c>
      <c r="D11">
        <v>12.67</v>
      </c>
    </row>
    <row r="12" spans="1:5" x14ac:dyDescent="0.35">
      <c r="A12" t="s">
        <v>89</v>
      </c>
      <c r="B12" s="8" t="s">
        <v>53</v>
      </c>
      <c r="C12" s="1" t="s">
        <v>81</v>
      </c>
      <c r="D12" s="1">
        <v>10.37</v>
      </c>
      <c r="E12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EE4D-5CE4-4172-8B6E-F8E85A78ECB8}">
  <dimension ref="A1:R173"/>
  <sheetViews>
    <sheetView workbookViewId="0">
      <selection activeCell="H6" sqref="H6"/>
    </sheetView>
  </sheetViews>
  <sheetFormatPr defaultRowHeight="14.5" x14ac:dyDescent="0.35"/>
  <cols>
    <col min="1" max="1" width="6.1796875" bestFit="1" customWidth="1"/>
    <col min="2" max="2" width="4.81640625" bestFit="1" customWidth="1"/>
    <col min="4" max="5" width="0" hidden="1" customWidth="1"/>
    <col min="6" max="6" width="9.7265625" bestFit="1" customWidth="1"/>
    <col min="7" max="7" width="31.7265625" bestFit="1" customWidth="1"/>
    <col min="8" max="8" width="27.36328125" style="4" bestFit="1" customWidth="1"/>
  </cols>
  <sheetData>
    <row r="1" spans="1:9" ht="23.5" x14ac:dyDescent="0.55000000000000004">
      <c r="A1" s="11" t="s">
        <v>84</v>
      </c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3"/>
    </row>
    <row r="3" spans="1:9" x14ac:dyDescent="0.35">
      <c r="A3">
        <v>1</v>
      </c>
      <c r="B3">
        <v>2012</v>
      </c>
      <c r="C3">
        <v>1</v>
      </c>
      <c r="D3" t="s">
        <v>8</v>
      </c>
      <c r="E3" t="s">
        <v>9</v>
      </c>
      <c r="F3" t="s">
        <v>10</v>
      </c>
      <c r="G3" t="s">
        <v>11</v>
      </c>
      <c r="H3" s="4">
        <v>90.102389078498291</v>
      </c>
    </row>
    <row r="4" spans="1:9" x14ac:dyDescent="0.35">
      <c r="A4">
        <v>2</v>
      </c>
      <c r="B4">
        <v>2012</v>
      </c>
      <c r="C4">
        <v>2</v>
      </c>
      <c r="D4" t="s">
        <v>8</v>
      </c>
      <c r="E4" t="s">
        <v>9</v>
      </c>
      <c r="F4" t="s">
        <v>10</v>
      </c>
      <c r="G4" t="s">
        <v>11</v>
      </c>
      <c r="H4" s="4">
        <v>95.136778115501514</v>
      </c>
    </row>
    <row r="5" spans="1:9" x14ac:dyDescent="0.35">
      <c r="A5">
        <v>3</v>
      </c>
      <c r="B5">
        <v>2012</v>
      </c>
      <c r="C5">
        <v>3</v>
      </c>
      <c r="D5" t="s">
        <v>8</v>
      </c>
      <c r="E5" t="s">
        <v>9</v>
      </c>
      <c r="F5" t="s">
        <v>10</v>
      </c>
      <c r="G5" t="s">
        <v>11</v>
      </c>
      <c r="H5" s="4">
        <v>88.679245283018872</v>
      </c>
    </row>
    <row r="6" spans="1:9" x14ac:dyDescent="0.35">
      <c r="A6">
        <v>4</v>
      </c>
      <c r="B6">
        <v>2012</v>
      </c>
      <c r="C6">
        <v>4</v>
      </c>
      <c r="D6" t="s">
        <v>8</v>
      </c>
      <c r="E6" t="s">
        <v>9</v>
      </c>
      <c r="F6" t="s">
        <v>10</v>
      </c>
      <c r="G6" t="s">
        <v>11</v>
      </c>
      <c r="H6" s="4">
        <v>95.59748427672956</v>
      </c>
    </row>
    <row r="7" spans="1:9" x14ac:dyDescent="0.35">
      <c r="A7">
        <v>5</v>
      </c>
      <c r="B7">
        <v>2013</v>
      </c>
      <c r="C7">
        <v>1</v>
      </c>
      <c r="D7" t="s">
        <v>8</v>
      </c>
      <c r="E7" t="s">
        <v>9</v>
      </c>
      <c r="F7" t="s">
        <v>10</v>
      </c>
      <c r="G7" t="s">
        <v>11</v>
      </c>
      <c r="H7" s="4">
        <v>90.202702702702695</v>
      </c>
    </row>
    <row r="8" spans="1:9" x14ac:dyDescent="0.35">
      <c r="A8">
        <v>6</v>
      </c>
      <c r="B8">
        <v>2013</v>
      </c>
      <c r="C8">
        <v>2</v>
      </c>
      <c r="D8" t="s">
        <v>8</v>
      </c>
      <c r="E8" t="s">
        <v>9</v>
      </c>
      <c r="F8" t="s">
        <v>10</v>
      </c>
      <c r="G8" t="s">
        <v>11</v>
      </c>
      <c r="H8" s="4">
        <v>88.698630136986296</v>
      </c>
    </row>
    <row r="9" spans="1:9" x14ac:dyDescent="0.35">
      <c r="A9">
        <v>7</v>
      </c>
      <c r="B9">
        <v>2013</v>
      </c>
      <c r="C9">
        <v>3</v>
      </c>
      <c r="D9" t="s">
        <v>8</v>
      </c>
      <c r="E9" t="s">
        <v>9</v>
      </c>
      <c r="F9" t="s">
        <v>10</v>
      </c>
      <c r="G9" t="s">
        <v>11</v>
      </c>
      <c r="H9" s="4">
        <v>89.368770764119603</v>
      </c>
    </row>
    <row r="10" spans="1:9" x14ac:dyDescent="0.35">
      <c r="A10">
        <v>8</v>
      </c>
      <c r="B10">
        <v>2013</v>
      </c>
      <c r="C10">
        <v>4</v>
      </c>
      <c r="D10" t="s">
        <v>8</v>
      </c>
      <c r="E10" t="s">
        <v>9</v>
      </c>
      <c r="F10" t="s">
        <v>10</v>
      </c>
      <c r="G10" t="s">
        <v>11</v>
      </c>
      <c r="H10" s="4">
        <v>92.145015105740185</v>
      </c>
    </row>
    <row r="11" spans="1:9" x14ac:dyDescent="0.35">
      <c r="A11">
        <v>9</v>
      </c>
      <c r="B11">
        <v>2014</v>
      </c>
      <c r="C11">
        <v>1</v>
      </c>
      <c r="D11" t="s">
        <v>8</v>
      </c>
      <c r="E11" t="s">
        <v>9</v>
      </c>
      <c r="F11" t="s">
        <v>10</v>
      </c>
      <c r="G11" t="s">
        <v>11</v>
      </c>
      <c r="H11" s="4">
        <v>85.483870967741936</v>
      </c>
    </row>
    <row r="12" spans="1:9" x14ac:dyDescent="0.35">
      <c r="A12">
        <v>10</v>
      </c>
      <c r="B12">
        <v>2014</v>
      </c>
      <c r="C12">
        <v>2</v>
      </c>
      <c r="D12" t="s">
        <v>8</v>
      </c>
      <c r="E12" t="s">
        <v>9</v>
      </c>
      <c r="F12" t="s">
        <v>10</v>
      </c>
      <c r="G12" t="s">
        <v>11</v>
      </c>
      <c r="H12" s="4">
        <v>90.282131661442008</v>
      </c>
    </row>
    <row r="13" spans="1:9" x14ac:dyDescent="0.35">
      <c r="A13">
        <v>11</v>
      </c>
      <c r="B13">
        <v>2014</v>
      </c>
      <c r="C13">
        <v>3</v>
      </c>
      <c r="D13" t="s">
        <v>8</v>
      </c>
      <c r="E13" t="s">
        <v>9</v>
      </c>
      <c r="F13" t="s">
        <v>10</v>
      </c>
      <c r="G13" t="s">
        <v>11</v>
      </c>
      <c r="H13" s="4">
        <v>86.82634730538922</v>
      </c>
    </row>
    <row r="14" spans="1:9" x14ac:dyDescent="0.35">
      <c r="A14">
        <v>12</v>
      </c>
      <c r="B14">
        <v>2014</v>
      </c>
      <c r="C14">
        <v>4</v>
      </c>
      <c r="D14" t="s">
        <v>8</v>
      </c>
      <c r="E14" t="s">
        <v>9</v>
      </c>
      <c r="F14" t="s">
        <v>10</v>
      </c>
      <c r="G14" t="s">
        <v>11</v>
      </c>
      <c r="H14" s="4">
        <v>89.130434782608688</v>
      </c>
    </row>
    <row r="15" spans="1:9" x14ac:dyDescent="0.35">
      <c r="A15">
        <v>13</v>
      </c>
      <c r="B15">
        <v>2015</v>
      </c>
      <c r="C15">
        <v>1</v>
      </c>
      <c r="D15" t="s">
        <v>8</v>
      </c>
      <c r="E15" t="s">
        <v>9</v>
      </c>
      <c r="F15" t="s">
        <v>10</v>
      </c>
      <c r="G15" t="s">
        <v>11</v>
      </c>
      <c r="H15" s="4">
        <v>85.534591194968556</v>
      </c>
    </row>
    <row r="16" spans="1:9" x14ac:dyDescent="0.35">
      <c r="A16">
        <v>14</v>
      </c>
      <c r="B16">
        <v>2015</v>
      </c>
      <c r="C16">
        <v>2</v>
      </c>
      <c r="D16" t="s">
        <v>8</v>
      </c>
      <c r="E16" t="s">
        <v>9</v>
      </c>
      <c r="F16" t="s">
        <v>10</v>
      </c>
      <c r="G16" t="s">
        <v>11</v>
      </c>
      <c r="H16" s="4">
        <v>84.482758620689651</v>
      </c>
    </row>
    <row r="17" spans="1:8" x14ac:dyDescent="0.35">
      <c r="A17">
        <v>15</v>
      </c>
      <c r="B17">
        <v>2015</v>
      </c>
      <c r="C17">
        <v>3</v>
      </c>
      <c r="D17" t="s">
        <v>8</v>
      </c>
      <c r="E17" t="s">
        <v>9</v>
      </c>
      <c r="F17" t="s">
        <v>10</v>
      </c>
      <c r="G17" t="s">
        <v>11</v>
      </c>
      <c r="H17" s="4">
        <v>85</v>
      </c>
    </row>
    <row r="18" spans="1:8" x14ac:dyDescent="0.35">
      <c r="A18">
        <v>16</v>
      </c>
      <c r="B18">
        <v>2015</v>
      </c>
      <c r="C18">
        <v>4</v>
      </c>
      <c r="D18" t="s">
        <v>8</v>
      </c>
      <c r="E18" t="s">
        <v>9</v>
      </c>
      <c r="F18" t="s">
        <v>10</v>
      </c>
      <c r="G18" t="s">
        <v>11</v>
      </c>
      <c r="H18" s="4">
        <v>86.549707602339183</v>
      </c>
    </row>
    <row r="19" spans="1:8" x14ac:dyDescent="0.35">
      <c r="A19">
        <v>17</v>
      </c>
      <c r="B19">
        <v>2016</v>
      </c>
      <c r="C19">
        <v>1</v>
      </c>
      <c r="D19" t="s">
        <v>8</v>
      </c>
      <c r="E19" t="s">
        <v>9</v>
      </c>
      <c r="F19" t="s">
        <v>10</v>
      </c>
      <c r="G19" t="s">
        <v>11</v>
      </c>
      <c r="H19" s="4">
        <v>86.834733893557427</v>
      </c>
    </row>
    <row r="20" spans="1:8" x14ac:dyDescent="0.35">
      <c r="A20">
        <v>18</v>
      </c>
      <c r="B20">
        <v>2016</v>
      </c>
      <c r="C20">
        <v>2</v>
      </c>
      <c r="D20" t="s">
        <v>8</v>
      </c>
      <c r="E20" t="s">
        <v>9</v>
      </c>
      <c r="F20" t="s">
        <v>10</v>
      </c>
      <c r="G20" t="s">
        <v>11</v>
      </c>
      <c r="H20" s="4">
        <v>85.13513513513513</v>
      </c>
    </row>
    <row r="21" spans="1:8" x14ac:dyDescent="0.35">
      <c r="A21">
        <v>19</v>
      </c>
      <c r="B21">
        <v>2016</v>
      </c>
      <c r="C21">
        <v>3</v>
      </c>
      <c r="D21" t="s">
        <v>8</v>
      </c>
      <c r="E21" t="s">
        <v>9</v>
      </c>
      <c r="F21" t="s">
        <v>10</v>
      </c>
      <c r="G21" t="s">
        <v>11</v>
      </c>
      <c r="H21" s="4">
        <v>81.723237597911222</v>
      </c>
    </row>
    <row r="22" spans="1:8" x14ac:dyDescent="0.35">
      <c r="A22">
        <v>20</v>
      </c>
      <c r="B22">
        <v>2016</v>
      </c>
      <c r="C22">
        <v>4</v>
      </c>
      <c r="D22" t="s">
        <v>8</v>
      </c>
      <c r="E22" t="s">
        <v>9</v>
      </c>
      <c r="F22" t="s">
        <v>10</v>
      </c>
      <c r="G22" t="s">
        <v>11</v>
      </c>
      <c r="H22" s="4">
        <v>84.382871536523936</v>
      </c>
    </row>
    <row r="23" spans="1:8" x14ac:dyDescent="0.35">
      <c r="A23">
        <v>21</v>
      </c>
      <c r="B23">
        <v>2017</v>
      </c>
      <c r="C23">
        <v>1</v>
      </c>
      <c r="D23" t="s">
        <v>8</v>
      </c>
      <c r="E23" t="s">
        <v>9</v>
      </c>
      <c r="F23" t="s">
        <v>10</v>
      </c>
      <c r="G23" t="s">
        <v>11</v>
      </c>
      <c r="H23" s="4">
        <v>85.359801488833739</v>
      </c>
    </row>
    <row r="24" spans="1:8" x14ac:dyDescent="0.35">
      <c r="A24">
        <v>22</v>
      </c>
      <c r="B24">
        <v>2017</v>
      </c>
      <c r="C24">
        <v>2</v>
      </c>
      <c r="D24" t="s">
        <v>8</v>
      </c>
      <c r="E24" t="s">
        <v>9</v>
      </c>
      <c r="F24" t="s">
        <v>10</v>
      </c>
      <c r="G24" t="s">
        <v>11</v>
      </c>
      <c r="H24" s="4">
        <v>81.84143222506394</v>
      </c>
    </row>
    <row r="25" spans="1:8" x14ac:dyDescent="0.35">
      <c r="A25">
        <v>23</v>
      </c>
      <c r="B25">
        <v>2017</v>
      </c>
      <c r="C25">
        <v>3</v>
      </c>
      <c r="D25" t="s">
        <v>8</v>
      </c>
      <c r="E25" t="s">
        <v>9</v>
      </c>
      <c r="F25" t="s">
        <v>10</v>
      </c>
      <c r="G25" t="s">
        <v>11</v>
      </c>
      <c r="H25" s="4">
        <v>82.608695652173907</v>
      </c>
    </row>
    <row r="26" spans="1:8" x14ac:dyDescent="0.35">
      <c r="A26">
        <v>24</v>
      </c>
      <c r="B26">
        <v>2017</v>
      </c>
      <c r="C26">
        <v>4</v>
      </c>
      <c r="D26" t="s">
        <v>8</v>
      </c>
      <c r="E26" t="s">
        <v>9</v>
      </c>
      <c r="F26" t="s">
        <v>10</v>
      </c>
      <c r="G26" t="s">
        <v>11</v>
      </c>
      <c r="H26" s="4">
        <v>79.606879606879616</v>
      </c>
    </row>
    <row r="27" spans="1:8" x14ac:dyDescent="0.35">
      <c r="A27">
        <v>25</v>
      </c>
      <c r="B27">
        <v>2018</v>
      </c>
      <c r="C27">
        <v>1</v>
      </c>
      <c r="D27" t="s">
        <v>8</v>
      </c>
      <c r="E27" t="s">
        <v>9</v>
      </c>
      <c r="F27" t="s">
        <v>10</v>
      </c>
      <c r="G27" t="s">
        <v>11</v>
      </c>
      <c r="H27" s="4">
        <v>75.797872340425528</v>
      </c>
    </row>
    <row r="28" spans="1:8" x14ac:dyDescent="0.35">
      <c r="A28">
        <v>26</v>
      </c>
      <c r="B28">
        <v>2018</v>
      </c>
      <c r="C28">
        <v>2</v>
      </c>
      <c r="D28" t="s">
        <v>8</v>
      </c>
      <c r="E28" t="s">
        <v>9</v>
      </c>
      <c r="F28" t="s">
        <v>10</v>
      </c>
      <c r="G28" t="s">
        <v>11</v>
      </c>
      <c r="H28" s="4">
        <v>79.820627802690581</v>
      </c>
    </row>
    <row r="29" spans="1:8" x14ac:dyDescent="0.35">
      <c r="A29">
        <v>27</v>
      </c>
      <c r="B29">
        <v>2018</v>
      </c>
      <c r="C29">
        <v>3</v>
      </c>
      <c r="D29" t="s">
        <v>8</v>
      </c>
      <c r="E29" t="s">
        <v>9</v>
      </c>
      <c r="F29" t="s">
        <v>10</v>
      </c>
      <c r="G29" t="s">
        <v>11</v>
      </c>
      <c r="H29" s="4">
        <v>76.712328767123282</v>
      </c>
    </row>
    <row r="30" spans="1:8" x14ac:dyDescent="0.35">
      <c r="A30">
        <v>28</v>
      </c>
      <c r="B30">
        <v>2018</v>
      </c>
      <c r="C30">
        <v>4</v>
      </c>
      <c r="D30" t="s">
        <v>8</v>
      </c>
      <c r="E30" t="s">
        <v>9</v>
      </c>
      <c r="F30" t="s">
        <v>10</v>
      </c>
      <c r="G30" t="s">
        <v>11</v>
      </c>
      <c r="H30" s="4">
        <v>79.136690647482013</v>
      </c>
    </row>
    <row r="31" spans="1:8" x14ac:dyDescent="0.35">
      <c r="A31">
        <v>29</v>
      </c>
      <c r="B31">
        <v>2019</v>
      </c>
      <c r="C31">
        <v>1</v>
      </c>
      <c r="D31" t="s">
        <v>8</v>
      </c>
      <c r="E31" t="s">
        <v>9</v>
      </c>
      <c r="F31" t="s">
        <v>10</v>
      </c>
      <c r="G31" t="s">
        <v>11</v>
      </c>
      <c r="H31" s="4">
        <v>76.737967914438499</v>
      </c>
    </row>
    <row r="32" spans="1:8" x14ac:dyDescent="0.35">
      <c r="A32">
        <v>30</v>
      </c>
      <c r="B32">
        <v>2019</v>
      </c>
      <c r="C32">
        <v>2</v>
      </c>
      <c r="D32" t="s">
        <v>8</v>
      </c>
      <c r="E32" t="s">
        <v>9</v>
      </c>
      <c r="F32" t="s">
        <v>10</v>
      </c>
      <c r="G32" t="s">
        <v>11</v>
      </c>
      <c r="H32" s="4">
        <v>86.634844868735087</v>
      </c>
    </row>
    <row r="33" spans="1:14" x14ac:dyDescent="0.35">
      <c r="A33">
        <v>31</v>
      </c>
      <c r="B33">
        <v>2019</v>
      </c>
      <c r="C33">
        <v>3</v>
      </c>
      <c r="D33" t="s">
        <v>8</v>
      </c>
      <c r="E33" t="s">
        <v>9</v>
      </c>
      <c r="F33" t="s">
        <v>10</v>
      </c>
      <c r="G33" t="s">
        <v>11</v>
      </c>
      <c r="H33" s="4">
        <v>79.126213592233015</v>
      </c>
    </row>
    <row r="34" spans="1:14" x14ac:dyDescent="0.35">
      <c r="A34">
        <v>32</v>
      </c>
      <c r="B34">
        <v>2019</v>
      </c>
      <c r="C34">
        <v>4</v>
      </c>
      <c r="D34" t="s">
        <v>8</v>
      </c>
      <c r="E34" t="s">
        <v>9</v>
      </c>
      <c r="F34" t="s">
        <v>10</v>
      </c>
      <c r="G34" t="s">
        <v>11</v>
      </c>
      <c r="H34" s="4">
        <v>79.255319148936167</v>
      </c>
    </row>
    <row r="35" spans="1:14" x14ac:dyDescent="0.35">
      <c r="A35">
        <v>33</v>
      </c>
      <c r="B35">
        <v>2021</v>
      </c>
      <c r="C35">
        <v>1</v>
      </c>
      <c r="D35" t="s">
        <v>8</v>
      </c>
      <c r="E35" t="s">
        <v>9</v>
      </c>
      <c r="F35" t="s">
        <v>10</v>
      </c>
      <c r="G35" t="s">
        <v>11</v>
      </c>
      <c r="H35" s="4">
        <v>75.454545454545453</v>
      </c>
    </row>
    <row r="36" spans="1:14" x14ac:dyDescent="0.35">
      <c r="A36">
        <v>34</v>
      </c>
      <c r="B36">
        <v>2021</v>
      </c>
      <c r="C36">
        <v>2</v>
      </c>
      <c r="D36" t="s">
        <v>8</v>
      </c>
      <c r="E36" t="s">
        <v>9</v>
      </c>
      <c r="F36" t="s">
        <v>10</v>
      </c>
      <c r="G36" t="s">
        <v>11</v>
      </c>
      <c r="H36" s="4">
        <v>80.361757105943155</v>
      </c>
    </row>
    <row r="37" spans="1:14" x14ac:dyDescent="0.35">
      <c r="A37">
        <v>35</v>
      </c>
      <c r="B37">
        <v>2021</v>
      </c>
      <c r="C37">
        <v>3</v>
      </c>
      <c r="D37" t="s">
        <v>8</v>
      </c>
      <c r="E37" t="s">
        <v>9</v>
      </c>
      <c r="F37" t="s">
        <v>10</v>
      </c>
      <c r="G37" t="s">
        <v>11</v>
      </c>
      <c r="H37" s="4">
        <v>75.335120643431637</v>
      </c>
    </row>
    <row r="38" spans="1:14" x14ac:dyDescent="0.35">
      <c r="A38">
        <v>36</v>
      </c>
      <c r="B38">
        <v>2021</v>
      </c>
      <c r="C38">
        <v>4</v>
      </c>
      <c r="D38" t="s">
        <v>8</v>
      </c>
      <c r="E38" t="s">
        <v>9</v>
      </c>
      <c r="F38" t="s">
        <v>10</v>
      </c>
      <c r="G38" t="s">
        <v>11</v>
      </c>
      <c r="H38" s="4">
        <v>72.616136919315394</v>
      </c>
    </row>
    <row r="41" spans="1:14" x14ac:dyDescent="0.35">
      <c r="A41" t="s">
        <v>12</v>
      </c>
    </row>
    <row r="42" spans="1:14" x14ac:dyDescent="0.3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2" t="s">
        <v>7</v>
      </c>
      <c r="I42" s="1" t="s">
        <v>13</v>
      </c>
      <c r="J42" s="1" t="s">
        <v>14</v>
      </c>
      <c r="K42" s="1" t="s">
        <v>15</v>
      </c>
      <c r="M42" s="1" t="s">
        <v>16</v>
      </c>
      <c r="N42" s="4">
        <f>AVERAGE(K43:K78)</f>
        <v>6.6859209945813296</v>
      </c>
    </row>
    <row r="43" spans="1:14" x14ac:dyDescent="0.35">
      <c r="A43">
        <v>1</v>
      </c>
      <c r="B43">
        <v>2012</v>
      </c>
      <c r="C43">
        <v>1</v>
      </c>
      <c r="D43" t="s">
        <v>8</v>
      </c>
      <c r="E43" t="s">
        <v>9</v>
      </c>
      <c r="F43" t="s">
        <v>10</v>
      </c>
      <c r="G43" t="s">
        <v>11</v>
      </c>
      <c r="H43" s="4">
        <v>90.102389078498291</v>
      </c>
      <c r="I43" s="4">
        <f t="shared" ref="I43:I78" si="0">$I$81+$I$82*A43</f>
        <v>92.61495652466715</v>
      </c>
      <c r="J43" s="4">
        <f>H43-I43</f>
        <v>-2.512567446168859</v>
      </c>
      <c r="K43" s="4">
        <f>J43*J43</f>
        <v>6.3129951715475023</v>
      </c>
    </row>
    <row r="44" spans="1:14" x14ac:dyDescent="0.35">
      <c r="A44">
        <v>2</v>
      </c>
      <c r="B44">
        <v>2012</v>
      </c>
      <c r="C44">
        <v>2</v>
      </c>
      <c r="D44" t="s">
        <v>8</v>
      </c>
      <c r="E44" t="s">
        <v>9</v>
      </c>
      <c r="F44" t="s">
        <v>10</v>
      </c>
      <c r="G44" t="s">
        <v>11</v>
      </c>
      <c r="H44" s="4">
        <v>95.136778115501514</v>
      </c>
      <c r="I44" s="4">
        <f t="shared" si="0"/>
        <v>92.128551183479587</v>
      </c>
      <c r="J44" s="4">
        <f t="shared" ref="J44:J78" si="1">H44-I44</f>
        <v>3.0082269320219268</v>
      </c>
      <c r="K44" s="4">
        <f t="shared" ref="K44:K78" si="2">J44*J44</f>
        <v>9.0494292745420548</v>
      </c>
    </row>
    <row r="45" spans="1:14" x14ac:dyDescent="0.35">
      <c r="A45">
        <v>3</v>
      </c>
      <c r="B45">
        <v>2012</v>
      </c>
      <c r="C45">
        <v>3</v>
      </c>
      <c r="D45" t="s">
        <v>8</v>
      </c>
      <c r="E45" t="s">
        <v>9</v>
      </c>
      <c r="F45" t="s">
        <v>10</v>
      </c>
      <c r="G45" t="s">
        <v>11</v>
      </c>
      <c r="H45" s="4">
        <v>88.679245283018872</v>
      </c>
      <c r="I45" s="4">
        <f t="shared" si="0"/>
        <v>91.642145842292038</v>
      </c>
      <c r="J45" s="4">
        <f t="shared" si="1"/>
        <v>-2.9629005592731659</v>
      </c>
      <c r="K45" s="4">
        <f t="shared" si="2"/>
        <v>8.7787797241412395</v>
      </c>
    </row>
    <row r="46" spans="1:14" x14ac:dyDescent="0.35">
      <c r="A46">
        <v>4</v>
      </c>
      <c r="B46">
        <v>2012</v>
      </c>
      <c r="C46">
        <v>4</v>
      </c>
      <c r="D46" t="s">
        <v>8</v>
      </c>
      <c r="E46" t="s">
        <v>9</v>
      </c>
      <c r="F46" t="s">
        <v>10</v>
      </c>
      <c r="G46" t="s">
        <v>11</v>
      </c>
      <c r="H46" s="4">
        <v>95.59748427672956</v>
      </c>
      <c r="I46" s="4">
        <f t="shared" si="0"/>
        <v>91.155740501104475</v>
      </c>
      <c r="J46" s="4">
        <f t="shared" si="1"/>
        <v>4.4417437756250848</v>
      </c>
      <c r="K46" s="4">
        <f t="shared" si="2"/>
        <v>19.729087768304183</v>
      </c>
    </row>
    <row r="47" spans="1:14" x14ac:dyDescent="0.35">
      <c r="A47">
        <v>5</v>
      </c>
      <c r="B47">
        <v>2013</v>
      </c>
      <c r="C47">
        <v>1</v>
      </c>
      <c r="D47" t="s">
        <v>8</v>
      </c>
      <c r="E47" t="s">
        <v>9</v>
      </c>
      <c r="F47" t="s">
        <v>10</v>
      </c>
      <c r="G47" t="s">
        <v>11</v>
      </c>
      <c r="H47" s="4">
        <v>90.202702702702695</v>
      </c>
      <c r="I47" s="4">
        <f t="shared" si="0"/>
        <v>90.669335159916912</v>
      </c>
      <c r="J47" s="4">
        <f t="shared" si="1"/>
        <v>-0.46663245721421731</v>
      </c>
      <c r="K47" s="4">
        <f t="shared" si="2"/>
        <v>0.21774585012577835</v>
      </c>
    </row>
    <row r="48" spans="1:14" x14ac:dyDescent="0.35">
      <c r="A48">
        <v>6</v>
      </c>
      <c r="B48">
        <v>2013</v>
      </c>
      <c r="C48">
        <v>2</v>
      </c>
      <c r="D48" t="s">
        <v>8</v>
      </c>
      <c r="E48" t="s">
        <v>9</v>
      </c>
      <c r="F48" t="s">
        <v>10</v>
      </c>
      <c r="G48" t="s">
        <v>11</v>
      </c>
      <c r="H48" s="4">
        <v>88.698630136986296</v>
      </c>
      <c r="I48" s="4">
        <f t="shared" si="0"/>
        <v>90.182929818729349</v>
      </c>
      <c r="J48" s="4">
        <f t="shared" si="1"/>
        <v>-1.4842996817430532</v>
      </c>
      <c r="K48" s="4">
        <f t="shared" si="2"/>
        <v>2.203145545222529</v>
      </c>
    </row>
    <row r="49" spans="1:11" x14ac:dyDescent="0.35">
      <c r="A49">
        <v>7</v>
      </c>
      <c r="B49">
        <v>2013</v>
      </c>
      <c r="C49">
        <v>3</v>
      </c>
      <c r="D49" t="s">
        <v>8</v>
      </c>
      <c r="E49" t="s">
        <v>9</v>
      </c>
      <c r="F49" t="s">
        <v>10</v>
      </c>
      <c r="G49" t="s">
        <v>11</v>
      </c>
      <c r="H49" s="4">
        <v>89.368770764119603</v>
      </c>
      <c r="I49" s="4">
        <f t="shared" si="0"/>
        <v>89.696524477541786</v>
      </c>
      <c r="J49" s="4">
        <f t="shared" si="1"/>
        <v>-0.32775371342218307</v>
      </c>
      <c r="K49" s="4">
        <f t="shared" si="2"/>
        <v>0.10742249666203051</v>
      </c>
    </row>
    <row r="50" spans="1:11" x14ac:dyDescent="0.35">
      <c r="A50">
        <v>8</v>
      </c>
      <c r="B50">
        <v>2013</v>
      </c>
      <c r="C50">
        <v>4</v>
      </c>
      <c r="D50" t="s">
        <v>8</v>
      </c>
      <c r="E50" t="s">
        <v>9</v>
      </c>
      <c r="F50" t="s">
        <v>10</v>
      </c>
      <c r="G50" t="s">
        <v>11</v>
      </c>
      <c r="H50" s="4">
        <v>92.145015105740185</v>
      </c>
      <c r="I50" s="4">
        <f t="shared" si="0"/>
        <v>89.210119136354237</v>
      </c>
      <c r="J50" s="4">
        <f t="shared" si="1"/>
        <v>2.9348959693859484</v>
      </c>
      <c r="K50" s="4">
        <f t="shared" si="2"/>
        <v>8.6136143511178851</v>
      </c>
    </row>
    <row r="51" spans="1:11" x14ac:dyDescent="0.35">
      <c r="A51">
        <v>9</v>
      </c>
      <c r="B51">
        <v>2014</v>
      </c>
      <c r="C51">
        <v>1</v>
      </c>
      <c r="D51" t="s">
        <v>8</v>
      </c>
      <c r="E51" t="s">
        <v>9</v>
      </c>
      <c r="F51" t="s">
        <v>10</v>
      </c>
      <c r="G51" t="s">
        <v>11</v>
      </c>
      <c r="H51" s="4">
        <v>85.483870967741936</v>
      </c>
      <c r="I51" s="4">
        <f t="shared" si="0"/>
        <v>88.723713795166674</v>
      </c>
      <c r="J51" s="4">
        <f t="shared" si="1"/>
        <v>-3.2398428274247379</v>
      </c>
      <c r="K51" s="4">
        <f t="shared" si="2"/>
        <v>10.49658154641552</v>
      </c>
    </row>
    <row r="52" spans="1:11" x14ac:dyDescent="0.35">
      <c r="A52">
        <v>10</v>
      </c>
      <c r="B52">
        <v>2014</v>
      </c>
      <c r="C52">
        <v>2</v>
      </c>
      <c r="D52" t="s">
        <v>8</v>
      </c>
      <c r="E52" t="s">
        <v>9</v>
      </c>
      <c r="F52" t="s">
        <v>10</v>
      </c>
      <c r="G52" t="s">
        <v>11</v>
      </c>
      <c r="H52" s="4">
        <v>90.282131661442008</v>
      </c>
      <c r="I52" s="4">
        <f t="shared" si="0"/>
        <v>88.237308453979111</v>
      </c>
      <c r="J52" s="4">
        <f t="shared" si="1"/>
        <v>2.0448232074628976</v>
      </c>
      <c r="K52" s="4">
        <f t="shared" si="2"/>
        <v>4.1813019497788524</v>
      </c>
    </row>
    <row r="53" spans="1:11" x14ac:dyDescent="0.35">
      <c r="A53">
        <v>11</v>
      </c>
      <c r="B53">
        <v>2014</v>
      </c>
      <c r="C53">
        <v>3</v>
      </c>
      <c r="D53" t="s">
        <v>8</v>
      </c>
      <c r="E53" t="s">
        <v>9</v>
      </c>
      <c r="F53" t="s">
        <v>10</v>
      </c>
      <c r="G53" t="s">
        <v>11</v>
      </c>
      <c r="H53" s="4">
        <v>86.82634730538922</v>
      </c>
      <c r="I53" s="4">
        <f t="shared" si="0"/>
        <v>87.750903112791548</v>
      </c>
      <c r="J53" s="4">
        <f t="shared" si="1"/>
        <v>-0.9245558074023279</v>
      </c>
      <c r="K53" s="4">
        <f t="shared" si="2"/>
        <v>0.8548034410013704</v>
      </c>
    </row>
    <row r="54" spans="1:11" x14ac:dyDescent="0.35">
      <c r="A54">
        <v>12</v>
      </c>
      <c r="B54">
        <v>2014</v>
      </c>
      <c r="C54">
        <v>4</v>
      </c>
      <c r="D54" t="s">
        <v>8</v>
      </c>
      <c r="E54" t="s">
        <v>9</v>
      </c>
      <c r="F54" t="s">
        <v>10</v>
      </c>
      <c r="G54" t="s">
        <v>11</v>
      </c>
      <c r="H54" s="4">
        <v>89.130434782608688</v>
      </c>
      <c r="I54" s="4">
        <f t="shared" si="0"/>
        <v>87.264497771603985</v>
      </c>
      <c r="J54" s="4">
        <f t="shared" si="1"/>
        <v>1.8659370110047035</v>
      </c>
      <c r="K54" s="4">
        <f t="shared" si="2"/>
        <v>3.4817209290371673</v>
      </c>
    </row>
    <row r="55" spans="1:11" x14ac:dyDescent="0.35">
      <c r="A55">
        <v>13</v>
      </c>
      <c r="B55">
        <v>2015</v>
      </c>
      <c r="C55">
        <v>1</v>
      </c>
      <c r="D55" t="s">
        <v>8</v>
      </c>
      <c r="E55" t="s">
        <v>9</v>
      </c>
      <c r="F55" t="s">
        <v>10</v>
      </c>
      <c r="G55" t="s">
        <v>11</v>
      </c>
      <c r="H55" s="4">
        <v>85.534591194968556</v>
      </c>
      <c r="I55" s="4">
        <f t="shared" si="0"/>
        <v>86.778092430416436</v>
      </c>
      <c r="J55" s="4">
        <f t="shared" si="1"/>
        <v>-1.24350123544788</v>
      </c>
      <c r="K55" s="4">
        <f t="shared" si="2"/>
        <v>1.5462953225604039</v>
      </c>
    </row>
    <row r="56" spans="1:11" x14ac:dyDescent="0.35">
      <c r="A56">
        <v>14</v>
      </c>
      <c r="B56">
        <v>2015</v>
      </c>
      <c r="C56">
        <v>2</v>
      </c>
      <c r="D56" t="s">
        <v>8</v>
      </c>
      <c r="E56" t="s">
        <v>9</v>
      </c>
      <c r="F56" t="s">
        <v>10</v>
      </c>
      <c r="G56" t="s">
        <v>11</v>
      </c>
      <c r="H56" s="4">
        <v>84.482758620689651</v>
      </c>
      <c r="I56" s="4">
        <f t="shared" si="0"/>
        <v>86.291687089228873</v>
      </c>
      <c r="J56" s="4">
        <f t="shared" si="1"/>
        <v>-1.8089284685392215</v>
      </c>
      <c r="K56" s="4">
        <f t="shared" si="2"/>
        <v>3.2722222042916531</v>
      </c>
    </row>
    <row r="57" spans="1:11" x14ac:dyDescent="0.35">
      <c r="A57">
        <v>15</v>
      </c>
      <c r="B57">
        <v>2015</v>
      </c>
      <c r="C57">
        <v>3</v>
      </c>
      <c r="D57" t="s">
        <v>8</v>
      </c>
      <c r="E57" t="s">
        <v>9</v>
      </c>
      <c r="F57" t="s">
        <v>10</v>
      </c>
      <c r="G57" t="s">
        <v>11</v>
      </c>
      <c r="H57" s="4">
        <v>85</v>
      </c>
      <c r="I57" s="4">
        <f t="shared" si="0"/>
        <v>85.80528174804131</v>
      </c>
      <c r="J57" s="4">
        <f t="shared" si="1"/>
        <v>-0.8052817480413097</v>
      </c>
      <c r="K57" s="4">
        <f t="shared" si="2"/>
        <v>0.64847869372846745</v>
      </c>
    </row>
    <row r="58" spans="1:11" x14ac:dyDescent="0.35">
      <c r="A58">
        <v>16</v>
      </c>
      <c r="B58">
        <v>2015</v>
      </c>
      <c r="C58">
        <v>4</v>
      </c>
      <c r="D58" t="s">
        <v>8</v>
      </c>
      <c r="E58" t="s">
        <v>9</v>
      </c>
      <c r="F58" t="s">
        <v>10</v>
      </c>
      <c r="G58" t="s">
        <v>11</v>
      </c>
      <c r="H58" s="4">
        <v>86.549707602339183</v>
      </c>
      <c r="I58" s="4">
        <f t="shared" si="0"/>
        <v>85.318876406853747</v>
      </c>
      <c r="J58" s="4">
        <f t="shared" si="1"/>
        <v>1.2308311954854361</v>
      </c>
      <c r="K58" s="4">
        <f t="shared" si="2"/>
        <v>1.5149454317801077</v>
      </c>
    </row>
    <row r="59" spans="1:11" x14ac:dyDescent="0.35">
      <c r="A59">
        <v>17</v>
      </c>
      <c r="B59">
        <v>2016</v>
      </c>
      <c r="C59">
        <v>1</v>
      </c>
      <c r="D59" t="s">
        <v>8</v>
      </c>
      <c r="E59" t="s">
        <v>9</v>
      </c>
      <c r="F59" t="s">
        <v>10</v>
      </c>
      <c r="G59" t="s">
        <v>11</v>
      </c>
      <c r="H59" s="4">
        <v>86.834733893557427</v>
      </c>
      <c r="I59" s="4">
        <f t="shared" si="0"/>
        <v>84.832471065666184</v>
      </c>
      <c r="J59" s="4">
        <f t="shared" si="1"/>
        <v>2.0022628278912435</v>
      </c>
      <c r="K59" s="4">
        <f t="shared" si="2"/>
        <v>4.0090564319550399</v>
      </c>
    </row>
    <row r="60" spans="1:11" x14ac:dyDescent="0.35">
      <c r="A60">
        <v>18</v>
      </c>
      <c r="B60">
        <v>2016</v>
      </c>
      <c r="C60">
        <v>2</v>
      </c>
      <c r="D60" t="s">
        <v>8</v>
      </c>
      <c r="E60" t="s">
        <v>9</v>
      </c>
      <c r="F60" t="s">
        <v>10</v>
      </c>
      <c r="G60" t="s">
        <v>11</v>
      </c>
      <c r="H60" s="4">
        <v>85.13513513513513</v>
      </c>
      <c r="I60" s="4">
        <f t="shared" si="0"/>
        <v>84.346065724478635</v>
      </c>
      <c r="J60" s="4">
        <f t="shared" si="1"/>
        <v>0.78906941065649505</v>
      </c>
      <c r="K60" s="4">
        <f t="shared" si="2"/>
        <v>0.62263053483378838</v>
      </c>
    </row>
    <row r="61" spans="1:11" x14ac:dyDescent="0.35">
      <c r="A61">
        <v>19</v>
      </c>
      <c r="B61">
        <v>2016</v>
      </c>
      <c r="C61">
        <v>3</v>
      </c>
      <c r="D61" t="s">
        <v>8</v>
      </c>
      <c r="E61" t="s">
        <v>9</v>
      </c>
      <c r="F61" t="s">
        <v>10</v>
      </c>
      <c r="G61" t="s">
        <v>11</v>
      </c>
      <c r="H61" s="4">
        <v>81.723237597911222</v>
      </c>
      <c r="I61" s="4">
        <f t="shared" si="0"/>
        <v>83.859660383291072</v>
      </c>
      <c r="J61" s="4">
        <f t="shared" si="1"/>
        <v>-2.1364227853798496</v>
      </c>
      <c r="K61" s="4">
        <f t="shared" si="2"/>
        <v>4.5643023178901947</v>
      </c>
    </row>
    <row r="62" spans="1:11" x14ac:dyDescent="0.35">
      <c r="A62">
        <v>20</v>
      </c>
      <c r="B62">
        <v>2016</v>
      </c>
      <c r="C62">
        <v>4</v>
      </c>
      <c r="D62" t="s">
        <v>8</v>
      </c>
      <c r="E62" t="s">
        <v>9</v>
      </c>
      <c r="F62" t="s">
        <v>10</v>
      </c>
      <c r="G62" t="s">
        <v>11</v>
      </c>
      <c r="H62" s="4">
        <v>84.382871536523936</v>
      </c>
      <c r="I62" s="4">
        <f t="shared" si="0"/>
        <v>83.373255042103509</v>
      </c>
      <c r="J62" s="4">
        <f t="shared" si="1"/>
        <v>1.0096164944204276</v>
      </c>
      <c r="K62" s="4">
        <f t="shared" si="2"/>
        <v>1.0193254658057933</v>
      </c>
    </row>
    <row r="63" spans="1:11" x14ac:dyDescent="0.35">
      <c r="A63">
        <v>21</v>
      </c>
      <c r="B63">
        <v>2017</v>
      </c>
      <c r="C63">
        <v>1</v>
      </c>
      <c r="D63" t="s">
        <v>8</v>
      </c>
      <c r="E63" t="s">
        <v>9</v>
      </c>
      <c r="F63" t="s">
        <v>10</v>
      </c>
      <c r="G63" t="s">
        <v>11</v>
      </c>
      <c r="H63" s="4">
        <v>85.359801488833739</v>
      </c>
      <c r="I63" s="4">
        <f t="shared" si="0"/>
        <v>82.886849700915946</v>
      </c>
      <c r="J63" s="4">
        <f t="shared" si="1"/>
        <v>2.4729517879177934</v>
      </c>
      <c r="K63" s="4">
        <f t="shared" si="2"/>
        <v>6.1154905453658106</v>
      </c>
    </row>
    <row r="64" spans="1:11" x14ac:dyDescent="0.35">
      <c r="A64">
        <v>22</v>
      </c>
      <c r="B64">
        <v>2017</v>
      </c>
      <c r="C64">
        <v>2</v>
      </c>
      <c r="D64" t="s">
        <v>8</v>
      </c>
      <c r="E64" t="s">
        <v>9</v>
      </c>
      <c r="F64" t="s">
        <v>10</v>
      </c>
      <c r="G64" t="s">
        <v>11</v>
      </c>
      <c r="H64" s="4">
        <v>81.84143222506394</v>
      </c>
      <c r="I64" s="4">
        <f t="shared" si="0"/>
        <v>82.400444359728382</v>
      </c>
      <c r="J64" s="4">
        <f t="shared" si="1"/>
        <v>-0.55901213466444233</v>
      </c>
      <c r="K64" s="4">
        <f t="shared" si="2"/>
        <v>0.31249456670209658</v>
      </c>
    </row>
    <row r="65" spans="1:11" x14ac:dyDescent="0.35">
      <c r="A65">
        <v>23</v>
      </c>
      <c r="B65">
        <v>2017</v>
      </c>
      <c r="C65">
        <v>3</v>
      </c>
      <c r="D65" t="s">
        <v>8</v>
      </c>
      <c r="E65" t="s">
        <v>9</v>
      </c>
      <c r="F65" t="s">
        <v>10</v>
      </c>
      <c r="G65" t="s">
        <v>11</v>
      </c>
      <c r="H65" s="4">
        <v>82.608695652173907</v>
      </c>
      <c r="I65" s="4">
        <f t="shared" si="0"/>
        <v>81.914039018540834</v>
      </c>
      <c r="J65" s="4">
        <f t="shared" si="1"/>
        <v>0.69465663363307328</v>
      </c>
      <c r="K65" s="4">
        <f t="shared" si="2"/>
        <v>0.48254783865043382</v>
      </c>
    </row>
    <row r="66" spans="1:11" x14ac:dyDescent="0.35">
      <c r="A66">
        <v>24</v>
      </c>
      <c r="B66">
        <v>2017</v>
      </c>
      <c r="C66">
        <v>4</v>
      </c>
      <c r="D66" t="s">
        <v>8</v>
      </c>
      <c r="E66" t="s">
        <v>9</v>
      </c>
      <c r="F66" t="s">
        <v>10</v>
      </c>
      <c r="G66" t="s">
        <v>11</v>
      </c>
      <c r="H66" s="4">
        <v>79.606879606879616</v>
      </c>
      <c r="I66" s="4">
        <f t="shared" si="0"/>
        <v>81.427633677353271</v>
      </c>
      <c r="J66" s="4">
        <f t="shared" si="1"/>
        <v>-1.8207540704736545</v>
      </c>
      <c r="K66" s="4">
        <f t="shared" si="2"/>
        <v>3.3151453851463812</v>
      </c>
    </row>
    <row r="67" spans="1:11" x14ac:dyDescent="0.35">
      <c r="A67">
        <v>25</v>
      </c>
      <c r="B67">
        <v>2018</v>
      </c>
      <c r="C67">
        <v>1</v>
      </c>
      <c r="D67" t="s">
        <v>8</v>
      </c>
      <c r="E67" t="s">
        <v>9</v>
      </c>
      <c r="F67" t="s">
        <v>10</v>
      </c>
      <c r="G67" t="s">
        <v>11</v>
      </c>
      <c r="H67" s="4">
        <v>75.797872340425528</v>
      </c>
      <c r="I67" s="4">
        <f t="shared" si="0"/>
        <v>80.941228336165707</v>
      </c>
      <c r="J67" s="4">
        <f t="shared" si="1"/>
        <v>-5.1433559957401798</v>
      </c>
      <c r="K67" s="4">
        <f t="shared" si="2"/>
        <v>26.454110898916458</v>
      </c>
    </row>
    <row r="68" spans="1:11" x14ac:dyDescent="0.35">
      <c r="A68">
        <v>26</v>
      </c>
      <c r="B68">
        <v>2018</v>
      </c>
      <c r="C68">
        <v>2</v>
      </c>
      <c r="D68" t="s">
        <v>8</v>
      </c>
      <c r="E68" t="s">
        <v>9</v>
      </c>
      <c r="F68" t="s">
        <v>10</v>
      </c>
      <c r="G68" t="s">
        <v>11</v>
      </c>
      <c r="H68" s="4">
        <v>79.820627802690581</v>
      </c>
      <c r="I68" s="4">
        <f t="shared" si="0"/>
        <v>80.454822994978144</v>
      </c>
      <c r="J68" s="4">
        <f t="shared" si="1"/>
        <v>-0.63419519228756371</v>
      </c>
      <c r="K68" s="4">
        <f t="shared" si="2"/>
        <v>0.40220354192065993</v>
      </c>
    </row>
    <row r="69" spans="1:11" x14ac:dyDescent="0.35">
      <c r="A69">
        <v>27</v>
      </c>
      <c r="B69">
        <v>2018</v>
      </c>
      <c r="C69">
        <v>3</v>
      </c>
      <c r="D69" t="s">
        <v>8</v>
      </c>
      <c r="E69" t="s">
        <v>9</v>
      </c>
      <c r="F69" t="s">
        <v>10</v>
      </c>
      <c r="G69" t="s">
        <v>11</v>
      </c>
      <c r="H69" s="4">
        <v>76.712328767123282</v>
      </c>
      <c r="I69" s="4">
        <f t="shared" si="0"/>
        <v>79.968417653790581</v>
      </c>
      <c r="J69" s="4">
        <f t="shared" si="1"/>
        <v>-3.2560888866672997</v>
      </c>
      <c r="K69" s="4">
        <f t="shared" si="2"/>
        <v>10.602114837878295</v>
      </c>
    </row>
    <row r="70" spans="1:11" x14ac:dyDescent="0.35">
      <c r="A70">
        <v>28</v>
      </c>
      <c r="B70">
        <v>2018</v>
      </c>
      <c r="C70">
        <v>4</v>
      </c>
      <c r="D70" t="s">
        <v>8</v>
      </c>
      <c r="E70" t="s">
        <v>9</v>
      </c>
      <c r="F70" t="s">
        <v>10</v>
      </c>
      <c r="G70" t="s">
        <v>11</v>
      </c>
      <c r="H70" s="4">
        <v>79.136690647482013</v>
      </c>
      <c r="I70" s="4">
        <f t="shared" si="0"/>
        <v>79.482012312603032</v>
      </c>
      <c r="J70" s="4">
        <f t="shared" si="1"/>
        <v>-0.34532166512101981</v>
      </c>
      <c r="K70" s="4">
        <f t="shared" si="2"/>
        <v>0.11924705240195374</v>
      </c>
    </row>
    <row r="71" spans="1:11" x14ac:dyDescent="0.35">
      <c r="A71">
        <v>29</v>
      </c>
      <c r="B71">
        <v>2019</v>
      </c>
      <c r="C71">
        <v>1</v>
      </c>
      <c r="D71" t="s">
        <v>8</v>
      </c>
      <c r="E71" t="s">
        <v>9</v>
      </c>
      <c r="F71" t="s">
        <v>10</v>
      </c>
      <c r="G71" t="s">
        <v>11</v>
      </c>
      <c r="H71" s="4">
        <v>76.737967914438499</v>
      </c>
      <c r="I71" s="4">
        <f t="shared" si="0"/>
        <v>78.995606971415469</v>
      </c>
      <c r="J71" s="4">
        <f t="shared" si="1"/>
        <v>-2.25763905697697</v>
      </c>
      <c r="K71" s="4">
        <f t="shared" si="2"/>
        <v>5.0969341115878626</v>
      </c>
    </row>
    <row r="72" spans="1:11" x14ac:dyDescent="0.35">
      <c r="A72">
        <v>30</v>
      </c>
      <c r="B72">
        <v>2019</v>
      </c>
      <c r="C72">
        <v>2</v>
      </c>
      <c r="D72" t="s">
        <v>8</v>
      </c>
      <c r="E72" t="s">
        <v>9</v>
      </c>
      <c r="F72" t="s">
        <v>10</v>
      </c>
      <c r="G72" t="s">
        <v>11</v>
      </c>
      <c r="H72" s="4">
        <v>86.634844868735087</v>
      </c>
      <c r="I72" s="4">
        <f t="shared" si="0"/>
        <v>78.509201630227906</v>
      </c>
      <c r="J72" s="4">
        <f t="shared" si="1"/>
        <v>8.1256432385071804</v>
      </c>
      <c r="K72" s="4">
        <f t="shared" si="2"/>
        <v>66.026078039497463</v>
      </c>
    </row>
    <row r="73" spans="1:11" x14ac:dyDescent="0.35">
      <c r="A73">
        <v>31</v>
      </c>
      <c r="B73">
        <v>2019</v>
      </c>
      <c r="C73">
        <v>3</v>
      </c>
      <c r="D73" t="s">
        <v>8</v>
      </c>
      <c r="E73" t="s">
        <v>9</v>
      </c>
      <c r="F73" t="s">
        <v>10</v>
      </c>
      <c r="G73" t="s">
        <v>11</v>
      </c>
      <c r="H73" s="4">
        <v>79.126213592233015</v>
      </c>
      <c r="I73" s="4">
        <f t="shared" si="0"/>
        <v>78.022796289040343</v>
      </c>
      <c r="J73" s="4">
        <f t="shared" si="1"/>
        <v>1.1034173031926713</v>
      </c>
      <c r="K73" s="4">
        <f t="shared" si="2"/>
        <v>1.2175297449849876</v>
      </c>
    </row>
    <row r="74" spans="1:11" x14ac:dyDescent="0.35">
      <c r="A74">
        <v>32</v>
      </c>
      <c r="B74">
        <v>2019</v>
      </c>
      <c r="C74">
        <v>4</v>
      </c>
      <c r="D74" t="s">
        <v>8</v>
      </c>
      <c r="E74" t="s">
        <v>9</v>
      </c>
      <c r="F74" t="s">
        <v>10</v>
      </c>
      <c r="G74" t="s">
        <v>11</v>
      </c>
      <c r="H74" s="4">
        <v>79.255319148936167</v>
      </c>
      <c r="I74" s="4">
        <f t="shared" si="0"/>
        <v>77.53639094785278</v>
      </c>
      <c r="J74" s="4">
        <f t="shared" si="1"/>
        <v>1.7189282010833864</v>
      </c>
      <c r="K74" s="4">
        <f t="shared" si="2"/>
        <v>2.9547141604797669</v>
      </c>
    </row>
    <row r="75" spans="1:11" x14ac:dyDescent="0.35">
      <c r="A75">
        <v>33</v>
      </c>
      <c r="B75">
        <v>2021</v>
      </c>
      <c r="C75">
        <v>1</v>
      </c>
      <c r="D75" t="s">
        <v>8</v>
      </c>
      <c r="E75" t="s">
        <v>9</v>
      </c>
      <c r="F75" t="s">
        <v>10</v>
      </c>
      <c r="G75" t="s">
        <v>11</v>
      </c>
      <c r="H75" s="4">
        <v>75.454545454545453</v>
      </c>
      <c r="I75" s="4">
        <f t="shared" si="0"/>
        <v>77.049985606665217</v>
      </c>
      <c r="J75" s="4">
        <f t="shared" si="1"/>
        <v>-1.5954401521197639</v>
      </c>
      <c r="K75" s="4">
        <f t="shared" si="2"/>
        <v>2.5454292789959352</v>
      </c>
    </row>
    <row r="76" spans="1:11" x14ac:dyDescent="0.35">
      <c r="A76">
        <v>34</v>
      </c>
      <c r="B76">
        <v>2021</v>
      </c>
      <c r="C76">
        <v>2</v>
      </c>
      <c r="D76" t="s">
        <v>8</v>
      </c>
      <c r="E76" t="s">
        <v>9</v>
      </c>
      <c r="F76" t="s">
        <v>10</v>
      </c>
      <c r="G76" t="s">
        <v>11</v>
      </c>
      <c r="H76" s="4">
        <v>80.361757105943155</v>
      </c>
      <c r="I76" s="4">
        <f t="shared" si="0"/>
        <v>76.563580265477668</v>
      </c>
      <c r="J76" s="4">
        <f t="shared" si="1"/>
        <v>3.7981768404654872</v>
      </c>
      <c r="K76" s="4">
        <f t="shared" si="2"/>
        <v>14.426147311448391</v>
      </c>
    </row>
    <row r="77" spans="1:11" x14ac:dyDescent="0.35">
      <c r="A77">
        <v>35</v>
      </c>
      <c r="B77">
        <v>2021</v>
      </c>
      <c r="C77">
        <v>3</v>
      </c>
      <c r="D77" t="s">
        <v>8</v>
      </c>
      <c r="E77" t="s">
        <v>9</v>
      </c>
      <c r="F77" t="s">
        <v>10</v>
      </c>
      <c r="G77" t="s">
        <v>11</v>
      </c>
      <c r="H77" s="4">
        <v>75.335120643431637</v>
      </c>
      <c r="I77" s="4">
        <f t="shared" si="0"/>
        <v>76.077174924290105</v>
      </c>
      <c r="J77" s="4">
        <f t="shared" si="1"/>
        <v>-0.74205428085846847</v>
      </c>
      <c r="K77" s="4">
        <f t="shared" si="2"/>
        <v>0.55064455574037885</v>
      </c>
    </row>
    <row r="78" spans="1:11" x14ac:dyDescent="0.35">
      <c r="A78">
        <v>36</v>
      </c>
      <c r="B78">
        <v>2021</v>
      </c>
      <c r="C78">
        <v>4</v>
      </c>
      <c r="D78" t="s">
        <v>8</v>
      </c>
      <c r="E78" t="s">
        <v>9</v>
      </c>
      <c r="F78" t="s">
        <v>10</v>
      </c>
      <c r="G78" t="s">
        <v>11</v>
      </c>
      <c r="H78" s="4">
        <v>72.616136919315394</v>
      </c>
      <c r="I78" s="4">
        <f t="shared" si="0"/>
        <v>75.590769583102542</v>
      </c>
      <c r="J78" s="4">
        <f t="shared" si="1"/>
        <v>-2.9746326637871476</v>
      </c>
      <c r="K78" s="4">
        <f t="shared" si="2"/>
        <v>8.8484394844694219</v>
      </c>
    </row>
    <row r="79" spans="1:11" ht="15" thickBot="1" x14ac:dyDescent="0.4">
      <c r="K79" s="4"/>
    </row>
    <row r="80" spans="1:11" x14ac:dyDescent="0.35">
      <c r="H80" s="5"/>
      <c r="I80" s="5" t="s">
        <v>17</v>
      </c>
    </row>
    <row r="81" spans="1:18" x14ac:dyDescent="0.35">
      <c r="H81" t="s">
        <v>18</v>
      </c>
      <c r="I81">
        <v>93.101361865854713</v>
      </c>
    </row>
    <row r="82" spans="1:18" ht="15" thickBot="1" x14ac:dyDescent="0.4">
      <c r="H82" s="6" t="s">
        <v>0</v>
      </c>
      <c r="I82" s="6">
        <v>-0.48640534118756024</v>
      </c>
    </row>
    <row r="84" spans="1:18" x14ac:dyDescent="0.35">
      <c r="A84" t="s">
        <v>19</v>
      </c>
    </row>
    <row r="85" spans="1:18" x14ac:dyDescent="0.3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0</v>
      </c>
      <c r="I85" s="1" t="s">
        <v>20</v>
      </c>
      <c r="J85" s="1" t="s">
        <v>21</v>
      </c>
      <c r="K85" s="1" t="s">
        <v>22</v>
      </c>
      <c r="L85" s="2" t="s">
        <v>7</v>
      </c>
      <c r="M85" s="1" t="s">
        <v>13</v>
      </c>
      <c r="N85" s="1" t="s">
        <v>14</v>
      </c>
      <c r="O85" s="1" t="s">
        <v>15</v>
      </c>
      <c r="Q85" s="1" t="s">
        <v>16</v>
      </c>
      <c r="R85" s="4">
        <f>AVERAGE(O86:O121)</f>
        <v>5.2250674165017523</v>
      </c>
    </row>
    <row r="86" spans="1:18" x14ac:dyDescent="0.35">
      <c r="A86">
        <v>1</v>
      </c>
      <c r="B86">
        <v>2012</v>
      </c>
      <c r="C86">
        <v>1</v>
      </c>
      <c r="D86" t="s">
        <v>8</v>
      </c>
      <c r="E86" t="s">
        <v>9</v>
      </c>
      <c r="F86" t="s">
        <v>10</v>
      </c>
      <c r="G86" t="s">
        <v>11</v>
      </c>
      <c r="H86">
        <v>1</v>
      </c>
      <c r="I86">
        <v>1</v>
      </c>
      <c r="J86">
        <v>0</v>
      </c>
      <c r="K86">
        <v>0</v>
      </c>
      <c r="L86" s="4">
        <v>90.102389078498291</v>
      </c>
      <c r="M86" s="4">
        <f t="shared" ref="M86:M121" si="3">$O$128+$O$129*H86+$O$130*I86+$O$131*J86+$O$132*K86</f>
        <v>91.361549084661917</v>
      </c>
      <c r="N86" s="4">
        <f>L86-M86</f>
        <v>-1.2591600061636257</v>
      </c>
      <c r="O86" s="4">
        <f>N86*N86</f>
        <v>1.5854839211219818</v>
      </c>
    </row>
    <row r="87" spans="1:18" x14ac:dyDescent="0.35">
      <c r="A87">
        <v>2</v>
      </c>
      <c r="B87">
        <v>2012</v>
      </c>
      <c r="C87">
        <v>2</v>
      </c>
      <c r="D87" t="s">
        <v>8</v>
      </c>
      <c r="E87" t="s">
        <v>9</v>
      </c>
      <c r="F87" t="s">
        <v>10</v>
      </c>
      <c r="G87" t="s">
        <v>11</v>
      </c>
      <c r="H87">
        <v>2</v>
      </c>
      <c r="I87">
        <v>0</v>
      </c>
      <c r="J87">
        <v>1</v>
      </c>
      <c r="K87">
        <v>0</v>
      </c>
      <c r="L87" s="4">
        <v>95.136778115501514</v>
      </c>
      <c r="M87" s="4">
        <f t="shared" si="3"/>
        <v>93.68217359982583</v>
      </c>
      <c r="N87" s="4">
        <f t="shared" ref="N87:N121" si="4">L87-M87</f>
        <v>1.4546045156756833</v>
      </c>
      <c r="O87" s="4">
        <f t="shared" ref="O87:O121" si="5">N87*N87</f>
        <v>2.1158742970240891</v>
      </c>
    </row>
    <row r="88" spans="1:18" x14ac:dyDescent="0.35">
      <c r="A88">
        <v>3</v>
      </c>
      <c r="B88">
        <v>2012</v>
      </c>
      <c r="C88">
        <v>3</v>
      </c>
      <c r="D88" t="s">
        <v>8</v>
      </c>
      <c r="E88" t="s">
        <v>9</v>
      </c>
      <c r="F88" t="s">
        <v>10</v>
      </c>
      <c r="G88" t="s">
        <v>11</v>
      </c>
      <c r="H88">
        <v>3</v>
      </c>
      <c r="I88">
        <v>0</v>
      </c>
      <c r="J88">
        <v>0</v>
      </c>
      <c r="K88">
        <v>1</v>
      </c>
      <c r="L88" s="4">
        <v>88.679245283018872</v>
      </c>
      <c r="M88" s="4">
        <f t="shared" si="3"/>
        <v>90.680602925738441</v>
      </c>
      <c r="N88" s="4">
        <f t="shared" si="4"/>
        <v>-2.0013576427195687</v>
      </c>
      <c r="O88" s="4">
        <f t="shared" si="5"/>
        <v>4.005432414072029</v>
      </c>
    </row>
    <row r="89" spans="1:18" x14ac:dyDescent="0.35">
      <c r="A89">
        <v>4</v>
      </c>
      <c r="B89">
        <v>2012</v>
      </c>
      <c r="C89">
        <v>4</v>
      </c>
      <c r="D89" t="s">
        <v>8</v>
      </c>
      <c r="E89" t="s">
        <v>9</v>
      </c>
      <c r="F89" t="s">
        <v>10</v>
      </c>
      <c r="G89" t="s">
        <v>11</v>
      </c>
      <c r="H89">
        <v>4</v>
      </c>
      <c r="I89">
        <v>0</v>
      </c>
      <c r="J89">
        <v>0</v>
      </c>
      <c r="K89">
        <v>0</v>
      </c>
      <c r="L89" s="4">
        <v>95.59748427672956</v>
      </c>
      <c r="M89" s="4">
        <f t="shared" si="3"/>
        <v>92.129556261422209</v>
      </c>
      <c r="N89" s="4">
        <f t="shared" si="4"/>
        <v>3.4679280153073506</v>
      </c>
      <c r="O89" s="4">
        <f t="shared" si="5"/>
        <v>12.02652471935358</v>
      </c>
    </row>
    <row r="90" spans="1:18" x14ac:dyDescent="0.35">
      <c r="A90">
        <v>5</v>
      </c>
      <c r="B90">
        <v>2013</v>
      </c>
      <c r="C90">
        <v>1</v>
      </c>
      <c r="D90" t="s">
        <v>8</v>
      </c>
      <c r="E90" t="s">
        <v>9</v>
      </c>
      <c r="F90" t="s">
        <v>10</v>
      </c>
      <c r="G90" t="s">
        <v>11</v>
      </c>
      <c r="H90">
        <v>5</v>
      </c>
      <c r="I90">
        <v>1</v>
      </c>
      <c r="J90">
        <v>0</v>
      </c>
      <c r="K90">
        <v>0</v>
      </c>
      <c r="L90" s="4">
        <v>90.202702702702695</v>
      </c>
      <c r="M90" s="4">
        <f t="shared" si="3"/>
        <v>89.396397231155106</v>
      </c>
      <c r="N90" s="4">
        <f t="shared" si="4"/>
        <v>0.80630547154758858</v>
      </c>
      <c r="O90" s="4">
        <f t="shared" si="5"/>
        <v>0.65012851344757916</v>
      </c>
    </row>
    <row r="91" spans="1:18" x14ac:dyDescent="0.35">
      <c r="A91">
        <v>6</v>
      </c>
      <c r="B91">
        <v>2013</v>
      </c>
      <c r="C91">
        <v>2</v>
      </c>
      <c r="D91" t="s">
        <v>8</v>
      </c>
      <c r="E91" t="s">
        <v>9</v>
      </c>
      <c r="F91" t="s">
        <v>10</v>
      </c>
      <c r="G91" t="s">
        <v>11</v>
      </c>
      <c r="H91">
        <v>6</v>
      </c>
      <c r="I91">
        <v>0</v>
      </c>
      <c r="J91">
        <v>1</v>
      </c>
      <c r="K91">
        <v>0</v>
      </c>
      <c r="L91" s="4">
        <v>88.698630136986296</v>
      </c>
      <c r="M91" s="4">
        <f t="shared" si="3"/>
        <v>91.71702174631902</v>
      </c>
      <c r="N91" s="4">
        <f t="shared" si="4"/>
        <v>-3.0183916093327241</v>
      </c>
      <c r="O91" s="4">
        <f t="shared" si="5"/>
        <v>9.1106879072901918</v>
      </c>
    </row>
    <row r="92" spans="1:18" x14ac:dyDescent="0.35">
      <c r="A92">
        <v>7</v>
      </c>
      <c r="B92">
        <v>2013</v>
      </c>
      <c r="C92">
        <v>3</v>
      </c>
      <c r="D92" t="s">
        <v>8</v>
      </c>
      <c r="E92" t="s">
        <v>9</v>
      </c>
      <c r="F92" t="s">
        <v>10</v>
      </c>
      <c r="G92" t="s">
        <v>11</v>
      </c>
      <c r="H92">
        <v>7</v>
      </c>
      <c r="I92">
        <v>0</v>
      </c>
      <c r="J92">
        <v>0</v>
      </c>
      <c r="K92">
        <v>1</v>
      </c>
      <c r="L92" s="4">
        <v>89.368770764119603</v>
      </c>
      <c r="M92" s="4">
        <f t="shared" si="3"/>
        <v>88.715451072231616</v>
      </c>
      <c r="N92" s="4">
        <f t="shared" si="4"/>
        <v>0.65331969188798666</v>
      </c>
      <c r="O92" s="4">
        <f t="shared" si="5"/>
        <v>0.42682661980861381</v>
      </c>
    </row>
    <row r="93" spans="1:18" x14ac:dyDescent="0.35">
      <c r="A93">
        <v>8</v>
      </c>
      <c r="B93">
        <v>2013</v>
      </c>
      <c r="C93">
        <v>4</v>
      </c>
      <c r="D93" t="s">
        <v>8</v>
      </c>
      <c r="E93" t="s">
        <v>9</v>
      </c>
      <c r="F93" t="s">
        <v>10</v>
      </c>
      <c r="G93" t="s">
        <v>11</v>
      </c>
      <c r="H93">
        <v>8</v>
      </c>
      <c r="I93">
        <v>0</v>
      </c>
      <c r="J93">
        <v>0</v>
      </c>
      <c r="K93">
        <v>0</v>
      </c>
      <c r="L93" s="4">
        <v>92.145015105740185</v>
      </c>
      <c r="M93" s="4">
        <f t="shared" si="3"/>
        <v>90.164404407915384</v>
      </c>
      <c r="N93" s="4">
        <f t="shared" si="4"/>
        <v>1.980610697824801</v>
      </c>
      <c r="O93" s="4">
        <f t="shared" si="5"/>
        <v>3.9228187363380451</v>
      </c>
    </row>
    <row r="94" spans="1:18" x14ac:dyDescent="0.35">
      <c r="A94">
        <v>9</v>
      </c>
      <c r="B94">
        <v>2014</v>
      </c>
      <c r="C94">
        <v>1</v>
      </c>
      <c r="D94" t="s">
        <v>8</v>
      </c>
      <c r="E94" t="s">
        <v>9</v>
      </c>
      <c r="F94" t="s">
        <v>10</v>
      </c>
      <c r="G94" t="s">
        <v>11</v>
      </c>
      <c r="H94">
        <v>9</v>
      </c>
      <c r="I94">
        <v>1</v>
      </c>
      <c r="J94">
        <v>0</v>
      </c>
      <c r="K94">
        <v>0</v>
      </c>
      <c r="L94" s="4">
        <v>85.483870967741936</v>
      </c>
      <c r="M94" s="4">
        <f t="shared" si="3"/>
        <v>87.431245377648295</v>
      </c>
      <c r="N94" s="4">
        <f t="shared" si="4"/>
        <v>-1.9473744099063595</v>
      </c>
      <c r="O94" s="4">
        <f t="shared" si="5"/>
        <v>3.7922670923581419</v>
      </c>
    </row>
    <row r="95" spans="1:18" x14ac:dyDescent="0.35">
      <c r="A95">
        <v>10</v>
      </c>
      <c r="B95">
        <v>2014</v>
      </c>
      <c r="C95">
        <v>2</v>
      </c>
      <c r="D95" t="s">
        <v>8</v>
      </c>
      <c r="E95" t="s">
        <v>9</v>
      </c>
      <c r="F95" t="s">
        <v>10</v>
      </c>
      <c r="G95" t="s">
        <v>11</v>
      </c>
      <c r="H95">
        <v>10</v>
      </c>
      <c r="I95">
        <v>0</v>
      </c>
      <c r="J95">
        <v>1</v>
      </c>
      <c r="K95">
        <v>0</v>
      </c>
      <c r="L95" s="4">
        <v>90.282131661442008</v>
      </c>
      <c r="M95" s="4">
        <f t="shared" si="3"/>
        <v>89.751869892812209</v>
      </c>
      <c r="N95" s="4">
        <f t="shared" si="4"/>
        <v>0.53026176862979923</v>
      </c>
      <c r="O95" s="4">
        <f t="shared" si="5"/>
        <v>0.28117754327040273</v>
      </c>
    </row>
    <row r="96" spans="1:18" x14ac:dyDescent="0.35">
      <c r="A96">
        <v>11</v>
      </c>
      <c r="B96">
        <v>2014</v>
      </c>
      <c r="C96">
        <v>3</v>
      </c>
      <c r="D96" t="s">
        <v>8</v>
      </c>
      <c r="E96" t="s">
        <v>9</v>
      </c>
      <c r="F96" t="s">
        <v>10</v>
      </c>
      <c r="G96" t="s">
        <v>11</v>
      </c>
      <c r="H96">
        <v>11</v>
      </c>
      <c r="I96">
        <v>0</v>
      </c>
      <c r="J96">
        <v>0</v>
      </c>
      <c r="K96">
        <v>1</v>
      </c>
      <c r="L96" s="4">
        <v>86.82634730538922</v>
      </c>
      <c r="M96" s="4">
        <f t="shared" si="3"/>
        <v>86.750299218724805</v>
      </c>
      <c r="N96" s="4">
        <f t="shared" si="4"/>
        <v>7.6048086664414427E-2</v>
      </c>
      <c r="O96" s="4">
        <f t="shared" si="5"/>
        <v>5.7833114853182875E-3</v>
      </c>
    </row>
    <row r="97" spans="1:15" x14ac:dyDescent="0.35">
      <c r="A97">
        <v>12</v>
      </c>
      <c r="B97">
        <v>2014</v>
      </c>
      <c r="C97">
        <v>4</v>
      </c>
      <c r="D97" t="s">
        <v>8</v>
      </c>
      <c r="E97" t="s">
        <v>9</v>
      </c>
      <c r="F97" t="s">
        <v>10</v>
      </c>
      <c r="G97" t="s">
        <v>11</v>
      </c>
      <c r="H97">
        <v>12</v>
      </c>
      <c r="I97">
        <v>0</v>
      </c>
      <c r="J97">
        <v>0</v>
      </c>
      <c r="K97">
        <v>0</v>
      </c>
      <c r="L97" s="4">
        <v>89.130434782608688</v>
      </c>
      <c r="M97" s="4">
        <f t="shared" si="3"/>
        <v>88.199252554408574</v>
      </c>
      <c r="N97" s="4">
        <f t="shared" si="4"/>
        <v>0.93118222820011454</v>
      </c>
      <c r="O97" s="4">
        <f t="shared" si="5"/>
        <v>0.86710034211573017</v>
      </c>
    </row>
    <row r="98" spans="1:15" x14ac:dyDescent="0.35">
      <c r="A98">
        <v>13</v>
      </c>
      <c r="B98">
        <v>2015</v>
      </c>
      <c r="C98">
        <v>1</v>
      </c>
      <c r="D98" t="s">
        <v>8</v>
      </c>
      <c r="E98" t="s">
        <v>9</v>
      </c>
      <c r="F98" t="s">
        <v>10</v>
      </c>
      <c r="G98" t="s">
        <v>11</v>
      </c>
      <c r="H98">
        <v>13</v>
      </c>
      <c r="I98">
        <v>1</v>
      </c>
      <c r="J98">
        <v>0</v>
      </c>
      <c r="K98">
        <v>0</v>
      </c>
      <c r="L98" s="4">
        <v>85.534591194968556</v>
      </c>
      <c r="M98" s="4">
        <f t="shared" si="3"/>
        <v>85.466093524141471</v>
      </c>
      <c r="N98" s="4">
        <f t="shared" si="4"/>
        <v>6.8497670827085244E-2</v>
      </c>
      <c r="O98" s="4">
        <f t="shared" si="5"/>
        <v>4.6919309087357251E-3</v>
      </c>
    </row>
    <row r="99" spans="1:15" x14ac:dyDescent="0.35">
      <c r="A99">
        <v>14</v>
      </c>
      <c r="B99">
        <v>2015</v>
      </c>
      <c r="C99">
        <v>2</v>
      </c>
      <c r="D99" t="s">
        <v>8</v>
      </c>
      <c r="E99" t="s">
        <v>9</v>
      </c>
      <c r="F99" t="s">
        <v>10</v>
      </c>
      <c r="G99" t="s">
        <v>11</v>
      </c>
      <c r="H99">
        <v>14</v>
      </c>
      <c r="I99">
        <v>0</v>
      </c>
      <c r="J99">
        <v>1</v>
      </c>
      <c r="K99">
        <v>0</v>
      </c>
      <c r="L99" s="4">
        <v>84.482758620689651</v>
      </c>
      <c r="M99" s="4">
        <f t="shared" si="3"/>
        <v>87.786718039305399</v>
      </c>
      <c r="N99" s="4">
        <f t="shared" si="4"/>
        <v>-3.3039594186157473</v>
      </c>
      <c r="O99" s="4">
        <f t="shared" si="5"/>
        <v>10.916147839859706</v>
      </c>
    </row>
    <row r="100" spans="1:15" x14ac:dyDescent="0.35">
      <c r="A100">
        <v>15</v>
      </c>
      <c r="B100">
        <v>2015</v>
      </c>
      <c r="C100">
        <v>3</v>
      </c>
      <c r="D100" t="s">
        <v>8</v>
      </c>
      <c r="E100" t="s">
        <v>9</v>
      </c>
      <c r="F100" t="s">
        <v>10</v>
      </c>
      <c r="G100" t="s">
        <v>11</v>
      </c>
      <c r="H100">
        <v>15</v>
      </c>
      <c r="I100">
        <v>0</v>
      </c>
      <c r="J100">
        <v>0</v>
      </c>
      <c r="K100">
        <v>1</v>
      </c>
      <c r="L100" s="4">
        <v>85</v>
      </c>
      <c r="M100" s="4">
        <f t="shared" si="3"/>
        <v>84.785147365217995</v>
      </c>
      <c r="N100" s="4">
        <f t="shared" si="4"/>
        <v>0.21485263478200523</v>
      </c>
      <c r="O100" s="4">
        <f t="shared" si="5"/>
        <v>4.6161654672769718E-2</v>
      </c>
    </row>
    <row r="101" spans="1:15" x14ac:dyDescent="0.35">
      <c r="A101">
        <v>16</v>
      </c>
      <c r="B101">
        <v>2015</v>
      </c>
      <c r="C101">
        <v>4</v>
      </c>
      <c r="D101" t="s">
        <v>8</v>
      </c>
      <c r="E101" t="s">
        <v>9</v>
      </c>
      <c r="F101" t="s">
        <v>10</v>
      </c>
      <c r="G101" t="s">
        <v>11</v>
      </c>
      <c r="H101">
        <v>16</v>
      </c>
      <c r="I101">
        <v>0</v>
      </c>
      <c r="J101">
        <v>0</v>
      </c>
      <c r="K101">
        <v>0</v>
      </c>
      <c r="L101" s="4">
        <v>86.549707602339183</v>
      </c>
      <c r="M101" s="4">
        <f t="shared" si="3"/>
        <v>86.234100700901763</v>
      </c>
      <c r="N101" s="4">
        <f t="shared" si="4"/>
        <v>0.31560690143741965</v>
      </c>
      <c r="O101" s="4">
        <f t="shared" si="5"/>
        <v>9.9607716234929117E-2</v>
      </c>
    </row>
    <row r="102" spans="1:15" x14ac:dyDescent="0.35">
      <c r="A102">
        <v>17</v>
      </c>
      <c r="B102">
        <v>2016</v>
      </c>
      <c r="C102">
        <v>1</v>
      </c>
      <c r="D102" t="s">
        <v>8</v>
      </c>
      <c r="E102" t="s">
        <v>9</v>
      </c>
      <c r="F102" t="s">
        <v>10</v>
      </c>
      <c r="G102" t="s">
        <v>11</v>
      </c>
      <c r="H102">
        <v>17</v>
      </c>
      <c r="I102">
        <v>1</v>
      </c>
      <c r="J102">
        <v>0</v>
      </c>
      <c r="K102">
        <v>0</v>
      </c>
      <c r="L102" s="4">
        <v>86.834733893557427</v>
      </c>
      <c r="M102" s="4">
        <f t="shared" si="3"/>
        <v>83.50094167063466</v>
      </c>
      <c r="N102" s="4">
        <f t="shared" si="4"/>
        <v>3.3337922229227672</v>
      </c>
      <c r="O102" s="4">
        <f t="shared" si="5"/>
        <v>11.114170585620325</v>
      </c>
    </row>
    <row r="103" spans="1:15" x14ac:dyDescent="0.35">
      <c r="A103">
        <v>18</v>
      </c>
      <c r="B103">
        <v>2016</v>
      </c>
      <c r="C103">
        <v>2</v>
      </c>
      <c r="D103" t="s">
        <v>8</v>
      </c>
      <c r="E103" t="s">
        <v>9</v>
      </c>
      <c r="F103" t="s">
        <v>10</v>
      </c>
      <c r="G103" t="s">
        <v>11</v>
      </c>
      <c r="H103">
        <v>18</v>
      </c>
      <c r="I103">
        <v>0</v>
      </c>
      <c r="J103">
        <v>1</v>
      </c>
      <c r="K103">
        <v>0</v>
      </c>
      <c r="L103" s="4">
        <v>85.13513513513513</v>
      </c>
      <c r="M103" s="4">
        <f t="shared" si="3"/>
        <v>85.821566185798574</v>
      </c>
      <c r="N103" s="4">
        <f t="shared" si="4"/>
        <v>-0.6864310506634439</v>
      </c>
      <c r="O103" s="4">
        <f t="shared" si="5"/>
        <v>0.4711875873149195</v>
      </c>
    </row>
    <row r="104" spans="1:15" x14ac:dyDescent="0.35">
      <c r="A104">
        <v>19</v>
      </c>
      <c r="B104">
        <v>2016</v>
      </c>
      <c r="C104">
        <v>3</v>
      </c>
      <c r="D104" t="s">
        <v>8</v>
      </c>
      <c r="E104" t="s">
        <v>9</v>
      </c>
      <c r="F104" t="s">
        <v>10</v>
      </c>
      <c r="G104" t="s">
        <v>11</v>
      </c>
      <c r="H104">
        <v>19</v>
      </c>
      <c r="I104">
        <v>0</v>
      </c>
      <c r="J104">
        <v>0</v>
      </c>
      <c r="K104">
        <v>1</v>
      </c>
      <c r="L104" s="4">
        <v>81.723237597911222</v>
      </c>
      <c r="M104" s="4">
        <f t="shared" si="3"/>
        <v>82.81999551171117</v>
      </c>
      <c r="N104" s="4">
        <f t="shared" si="4"/>
        <v>-1.0967579137999479</v>
      </c>
      <c r="O104" s="4">
        <f t="shared" si="5"/>
        <v>1.202877921482814</v>
      </c>
    </row>
    <row r="105" spans="1:15" x14ac:dyDescent="0.35">
      <c r="A105">
        <v>20</v>
      </c>
      <c r="B105">
        <v>2016</v>
      </c>
      <c r="C105">
        <v>4</v>
      </c>
      <c r="D105" t="s">
        <v>8</v>
      </c>
      <c r="E105" t="s">
        <v>9</v>
      </c>
      <c r="F105" t="s">
        <v>10</v>
      </c>
      <c r="G105" t="s">
        <v>11</v>
      </c>
      <c r="H105">
        <v>20</v>
      </c>
      <c r="I105">
        <v>0</v>
      </c>
      <c r="J105">
        <v>0</v>
      </c>
      <c r="K105">
        <v>0</v>
      </c>
      <c r="L105" s="4">
        <v>84.382871536523936</v>
      </c>
      <c r="M105" s="4">
        <f t="shared" si="3"/>
        <v>84.268948847394952</v>
      </c>
      <c r="N105" s="4">
        <f t="shared" si="4"/>
        <v>0.11392268912898373</v>
      </c>
      <c r="O105" s="4">
        <f t="shared" si="5"/>
        <v>1.2978379098379069E-2</v>
      </c>
    </row>
    <row r="106" spans="1:15" x14ac:dyDescent="0.35">
      <c r="A106">
        <v>21</v>
      </c>
      <c r="B106">
        <v>2017</v>
      </c>
      <c r="C106">
        <v>1</v>
      </c>
      <c r="D106" t="s">
        <v>8</v>
      </c>
      <c r="E106" t="s">
        <v>9</v>
      </c>
      <c r="F106" t="s">
        <v>10</v>
      </c>
      <c r="G106" t="s">
        <v>11</v>
      </c>
      <c r="H106">
        <v>21</v>
      </c>
      <c r="I106">
        <v>1</v>
      </c>
      <c r="J106">
        <v>0</v>
      </c>
      <c r="K106">
        <v>0</v>
      </c>
      <c r="L106" s="4">
        <v>85.359801488833739</v>
      </c>
      <c r="M106" s="4">
        <f t="shared" si="3"/>
        <v>81.535789817127849</v>
      </c>
      <c r="N106" s="4">
        <f t="shared" si="4"/>
        <v>3.8240116717058896</v>
      </c>
      <c r="O106" s="4">
        <f t="shared" si="5"/>
        <v>14.623065265342873</v>
      </c>
    </row>
    <row r="107" spans="1:15" x14ac:dyDescent="0.35">
      <c r="A107">
        <v>22</v>
      </c>
      <c r="B107">
        <v>2017</v>
      </c>
      <c r="C107">
        <v>2</v>
      </c>
      <c r="D107" t="s">
        <v>8</v>
      </c>
      <c r="E107" t="s">
        <v>9</v>
      </c>
      <c r="F107" t="s">
        <v>10</v>
      </c>
      <c r="G107" t="s">
        <v>11</v>
      </c>
      <c r="H107">
        <v>22</v>
      </c>
      <c r="I107">
        <v>0</v>
      </c>
      <c r="J107">
        <v>1</v>
      </c>
      <c r="K107">
        <v>0</v>
      </c>
      <c r="L107" s="4">
        <v>81.84143222506394</v>
      </c>
      <c r="M107" s="4">
        <f t="shared" si="3"/>
        <v>83.856414332291763</v>
      </c>
      <c r="N107" s="4">
        <f t="shared" si="4"/>
        <v>-2.0149821072278229</v>
      </c>
      <c r="O107" s="4">
        <f t="shared" si="5"/>
        <v>4.0601528924482775</v>
      </c>
    </row>
    <row r="108" spans="1:15" x14ac:dyDescent="0.35">
      <c r="A108">
        <v>23</v>
      </c>
      <c r="B108">
        <v>2017</v>
      </c>
      <c r="C108">
        <v>3</v>
      </c>
      <c r="D108" t="s">
        <v>8</v>
      </c>
      <c r="E108" t="s">
        <v>9</v>
      </c>
      <c r="F108" t="s">
        <v>10</v>
      </c>
      <c r="G108" t="s">
        <v>11</v>
      </c>
      <c r="H108">
        <v>23</v>
      </c>
      <c r="I108">
        <v>0</v>
      </c>
      <c r="J108">
        <v>0</v>
      </c>
      <c r="K108">
        <v>1</v>
      </c>
      <c r="L108" s="4">
        <v>82.608695652173907</v>
      </c>
      <c r="M108" s="4">
        <f t="shared" si="3"/>
        <v>80.854843658204359</v>
      </c>
      <c r="N108" s="4">
        <f t="shared" si="4"/>
        <v>1.7538519939695476</v>
      </c>
      <c r="O108" s="4">
        <f t="shared" si="5"/>
        <v>3.0759968167509579</v>
      </c>
    </row>
    <row r="109" spans="1:15" x14ac:dyDescent="0.35">
      <c r="A109">
        <v>24</v>
      </c>
      <c r="B109">
        <v>2017</v>
      </c>
      <c r="C109">
        <v>4</v>
      </c>
      <c r="D109" t="s">
        <v>8</v>
      </c>
      <c r="E109" t="s">
        <v>9</v>
      </c>
      <c r="F109" t="s">
        <v>10</v>
      </c>
      <c r="G109" t="s">
        <v>11</v>
      </c>
      <c r="H109">
        <v>24</v>
      </c>
      <c r="I109">
        <v>0</v>
      </c>
      <c r="J109">
        <v>0</v>
      </c>
      <c r="K109">
        <v>0</v>
      </c>
      <c r="L109" s="4">
        <v>79.606879606879616</v>
      </c>
      <c r="M109" s="4">
        <f t="shared" si="3"/>
        <v>82.303796993888128</v>
      </c>
      <c r="N109" s="4">
        <f t="shared" si="4"/>
        <v>-2.6969173870085115</v>
      </c>
      <c r="O109" s="4">
        <f t="shared" si="5"/>
        <v>7.2733633923488172</v>
      </c>
    </row>
    <row r="110" spans="1:15" x14ac:dyDescent="0.35">
      <c r="A110">
        <v>25</v>
      </c>
      <c r="B110">
        <v>2018</v>
      </c>
      <c r="C110">
        <v>1</v>
      </c>
      <c r="D110" t="s">
        <v>8</v>
      </c>
      <c r="E110" t="s">
        <v>9</v>
      </c>
      <c r="F110" t="s">
        <v>10</v>
      </c>
      <c r="G110" t="s">
        <v>11</v>
      </c>
      <c r="H110">
        <v>25</v>
      </c>
      <c r="I110">
        <v>1</v>
      </c>
      <c r="J110">
        <v>0</v>
      </c>
      <c r="K110">
        <v>0</v>
      </c>
      <c r="L110" s="4">
        <v>75.797872340425528</v>
      </c>
      <c r="M110" s="4">
        <f t="shared" si="3"/>
        <v>79.570637963621024</v>
      </c>
      <c r="N110" s="4">
        <f t="shared" si="4"/>
        <v>-3.7727656231954967</v>
      </c>
      <c r="O110" s="4">
        <f t="shared" si="5"/>
        <v>14.233760447565704</v>
      </c>
    </row>
    <row r="111" spans="1:15" x14ac:dyDescent="0.35">
      <c r="A111">
        <v>26</v>
      </c>
      <c r="B111">
        <v>2018</v>
      </c>
      <c r="C111">
        <v>2</v>
      </c>
      <c r="D111" t="s">
        <v>8</v>
      </c>
      <c r="E111" t="s">
        <v>9</v>
      </c>
      <c r="F111" t="s">
        <v>10</v>
      </c>
      <c r="G111" t="s">
        <v>11</v>
      </c>
      <c r="H111">
        <v>26</v>
      </c>
      <c r="I111">
        <v>0</v>
      </c>
      <c r="J111">
        <v>1</v>
      </c>
      <c r="K111">
        <v>0</v>
      </c>
      <c r="L111" s="4">
        <v>79.820627802690581</v>
      </c>
      <c r="M111" s="4">
        <f t="shared" si="3"/>
        <v>81.891262478784952</v>
      </c>
      <c r="N111" s="4">
        <f t="shared" si="4"/>
        <v>-2.0706346760943717</v>
      </c>
      <c r="O111" s="4">
        <f t="shared" si="5"/>
        <v>4.287527961844444</v>
      </c>
    </row>
    <row r="112" spans="1:15" x14ac:dyDescent="0.35">
      <c r="A112">
        <v>27</v>
      </c>
      <c r="B112">
        <v>2018</v>
      </c>
      <c r="C112">
        <v>3</v>
      </c>
      <c r="D112" t="s">
        <v>8</v>
      </c>
      <c r="E112" t="s">
        <v>9</v>
      </c>
      <c r="F112" t="s">
        <v>10</v>
      </c>
      <c r="G112" t="s">
        <v>11</v>
      </c>
      <c r="H112">
        <v>27</v>
      </c>
      <c r="I112">
        <v>0</v>
      </c>
      <c r="J112">
        <v>0</v>
      </c>
      <c r="K112">
        <v>1</v>
      </c>
      <c r="L112" s="4">
        <v>76.712328767123282</v>
      </c>
      <c r="M112" s="4">
        <f t="shared" si="3"/>
        <v>78.889691804697549</v>
      </c>
      <c r="N112" s="4">
        <f t="shared" si="4"/>
        <v>-2.177363037574267</v>
      </c>
      <c r="O112" s="4">
        <f t="shared" si="5"/>
        <v>4.7409097973946386</v>
      </c>
    </row>
    <row r="113" spans="1:15" x14ac:dyDescent="0.35">
      <c r="A113">
        <v>28</v>
      </c>
      <c r="B113">
        <v>2018</v>
      </c>
      <c r="C113">
        <v>4</v>
      </c>
      <c r="D113" t="s">
        <v>8</v>
      </c>
      <c r="E113" t="s">
        <v>9</v>
      </c>
      <c r="F113" t="s">
        <v>10</v>
      </c>
      <c r="G113" t="s">
        <v>11</v>
      </c>
      <c r="H113">
        <v>28</v>
      </c>
      <c r="I113">
        <v>0</v>
      </c>
      <c r="J113">
        <v>0</v>
      </c>
      <c r="K113">
        <v>0</v>
      </c>
      <c r="L113" s="4">
        <v>79.136690647482013</v>
      </c>
      <c r="M113" s="4">
        <f t="shared" si="3"/>
        <v>80.338645140381317</v>
      </c>
      <c r="N113" s="4">
        <f t="shared" si="4"/>
        <v>-1.2019544928993042</v>
      </c>
      <c r="O113" s="4">
        <f t="shared" si="5"/>
        <v>1.4446946030008236</v>
      </c>
    </row>
    <row r="114" spans="1:15" x14ac:dyDescent="0.35">
      <c r="A114">
        <v>29</v>
      </c>
      <c r="B114">
        <v>2019</v>
      </c>
      <c r="C114">
        <v>1</v>
      </c>
      <c r="D114" t="s">
        <v>8</v>
      </c>
      <c r="E114" t="s">
        <v>9</v>
      </c>
      <c r="F114" t="s">
        <v>10</v>
      </c>
      <c r="G114" t="s">
        <v>11</v>
      </c>
      <c r="H114">
        <v>29</v>
      </c>
      <c r="I114">
        <v>1</v>
      </c>
      <c r="J114">
        <v>0</v>
      </c>
      <c r="K114">
        <v>0</v>
      </c>
      <c r="L114" s="4">
        <v>76.737967914438499</v>
      </c>
      <c r="M114" s="4">
        <f t="shared" si="3"/>
        <v>77.605486110114214</v>
      </c>
      <c r="N114" s="4">
        <f t="shared" si="4"/>
        <v>-0.86751819567571431</v>
      </c>
      <c r="O114" s="4">
        <f t="shared" si="5"/>
        <v>0.75258781982844691</v>
      </c>
    </row>
    <row r="115" spans="1:15" x14ac:dyDescent="0.35">
      <c r="A115">
        <v>30</v>
      </c>
      <c r="B115">
        <v>2019</v>
      </c>
      <c r="C115">
        <v>2</v>
      </c>
      <c r="D115" t="s">
        <v>8</v>
      </c>
      <c r="E115" t="s">
        <v>9</v>
      </c>
      <c r="F115" t="s">
        <v>10</v>
      </c>
      <c r="G115" t="s">
        <v>11</v>
      </c>
      <c r="H115">
        <v>30</v>
      </c>
      <c r="I115">
        <v>0</v>
      </c>
      <c r="J115">
        <v>1</v>
      </c>
      <c r="K115">
        <v>0</v>
      </c>
      <c r="L115" s="4">
        <v>86.634844868735087</v>
      </c>
      <c r="M115" s="4">
        <f t="shared" si="3"/>
        <v>79.926110625278127</v>
      </c>
      <c r="N115" s="4">
        <f t="shared" si="4"/>
        <v>6.7087342434569592</v>
      </c>
      <c r="O115" s="4">
        <f t="shared" si="5"/>
        <v>45.007115149332016</v>
      </c>
    </row>
    <row r="116" spans="1:15" x14ac:dyDescent="0.35">
      <c r="A116">
        <v>31</v>
      </c>
      <c r="B116">
        <v>2019</v>
      </c>
      <c r="C116">
        <v>3</v>
      </c>
      <c r="D116" t="s">
        <v>8</v>
      </c>
      <c r="E116" t="s">
        <v>9</v>
      </c>
      <c r="F116" t="s">
        <v>10</v>
      </c>
      <c r="G116" t="s">
        <v>11</v>
      </c>
      <c r="H116">
        <v>31</v>
      </c>
      <c r="I116">
        <v>0</v>
      </c>
      <c r="J116">
        <v>0</v>
      </c>
      <c r="K116">
        <v>1</v>
      </c>
      <c r="L116" s="4">
        <v>79.126213592233015</v>
      </c>
      <c r="M116" s="4">
        <f t="shared" si="3"/>
        <v>76.924539951190738</v>
      </c>
      <c r="N116" s="4">
        <f t="shared" si="4"/>
        <v>2.2016736410422766</v>
      </c>
      <c r="O116" s="4">
        <f t="shared" si="5"/>
        <v>4.8473668216603549</v>
      </c>
    </row>
    <row r="117" spans="1:15" x14ac:dyDescent="0.35">
      <c r="A117">
        <v>32</v>
      </c>
      <c r="B117">
        <v>2019</v>
      </c>
      <c r="C117">
        <v>4</v>
      </c>
      <c r="D117" t="s">
        <v>8</v>
      </c>
      <c r="E117" t="s">
        <v>9</v>
      </c>
      <c r="F117" t="s">
        <v>10</v>
      </c>
      <c r="G117" t="s">
        <v>11</v>
      </c>
      <c r="H117">
        <v>32</v>
      </c>
      <c r="I117">
        <v>0</v>
      </c>
      <c r="J117">
        <v>0</v>
      </c>
      <c r="K117">
        <v>0</v>
      </c>
      <c r="L117" s="4">
        <v>79.255319148936167</v>
      </c>
      <c r="M117" s="4">
        <f t="shared" si="3"/>
        <v>78.373493286874506</v>
      </c>
      <c r="N117" s="4">
        <f t="shared" si="4"/>
        <v>0.88182586206166036</v>
      </c>
      <c r="O117" s="4">
        <f t="shared" si="5"/>
        <v>0.77761685100079048</v>
      </c>
    </row>
    <row r="118" spans="1:15" x14ac:dyDescent="0.35">
      <c r="A118">
        <v>33</v>
      </c>
      <c r="B118">
        <v>2021</v>
      </c>
      <c r="C118">
        <v>1</v>
      </c>
      <c r="D118" t="s">
        <v>8</v>
      </c>
      <c r="E118" t="s">
        <v>9</v>
      </c>
      <c r="F118" t="s">
        <v>10</v>
      </c>
      <c r="G118" t="s">
        <v>11</v>
      </c>
      <c r="H118">
        <v>33</v>
      </c>
      <c r="I118">
        <v>1</v>
      </c>
      <c r="J118">
        <v>0</v>
      </c>
      <c r="K118">
        <v>0</v>
      </c>
      <c r="L118" s="4">
        <v>75.454545454545453</v>
      </c>
      <c r="M118" s="4">
        <f t="shared" si="3"/>
        <v>75.640334256607403</v>
      </c>
      <c r="N118" s="4">
        <f t="shared" si="4"/>
        <v>-0.18578880206194981</v>
      </c>
      <c r="O118" s="4">
        <f t="shared" si="5"/>
        <v>3.4517478971614363E-2</v>
      </c>
    </row>
    <row r="119" spans="1:15" x14ac:dyDescent="0.35">
      <c r="A119">
        <v>34</v>
      </c>
      <c r="B119">
        <v>2021</v>
      </c>
      <c r="C119">
        <v>2</v>
      </c>
      <c r="D119" t="s">
        <v>8</v>
      </c>
      <c r="E119" t="s">
        <v>9</v>
      </c>
      <c r="F119" t="s">
        <v>10</v>
      </c>
      <c r="G119" t="s">
        <v>11</v>
      </c>
      <c r="H119">
        <v>34</v>
      </c>
      <c r="I119">
        <v>0</v>
      </c>
      <c r="J119">
        <v>1</v>
      </c>
      <c r="K119">
        <v>0</v>
      </c>
      <c r="L119" s="4">
        <v>80.361757105943155</v>
      </c>
      <c r="M119" s="4">
        <f t="shared" si="3"/>
        <v>77.960958771771317</v>
      </c>
      <c r="N119" s="4">
        <f t="shared" si="4"/>
        <v>2.4007983341718386</v>
      </c>
      <c r="O119" s="4">
        <f t="shared" si="5"/>
        <v>5.7638326413622751</v>
      </c>
    </row>
    <row r="120" spans="1:15" x14ac:dyDescent="0.35">
      <c r="A120">
        <v>35</v>
      </c>
      <c r="B120">
        <v>2021</v>
      </c>
      <c r="C120">
        <v>3</v>
      </c>
      <c r="D120" t="s">
        <v>8</v>
      </c>
      <c r="E120" t="s">
        <v>9</v>
      </c>
      <c r="F120" t="s">
        <v>10</v>
      </c>
      <c r="G120" t="s">
        <v>11</v>
      </c>
      <c r="H120">
        <v>35</v>
      </c>
      <c r="I120">
        <v>0</v>
      </c>
      <c r="J120">
        <v>0</v>
      </c>
      <c r="K120">
        <v>1</v>
      </c>
      <c r="L120" s="4">
        <v>75.335120643431637</v>
      </c>
      <c r="M120" s="4">
        <f t="shared" si="3"/>
        <v>74.959388097683913</v>
      </c>
      <c r="N120" s="4">
        <f t="shared" si="4"/>
        <v>0.37573254574772363</v>
      </c>
      <c r="O120" s="4">
        <f t="shared" si="5"/>
        <v>0.14117494593406524</v>
      </c>
    </row>
    <row r="121" spans="1:15" x14ac:dyDescent="0.35">
      <c r="A121">
        <v>36</v>
      </c>
      <c r="B121">
        <v>2021</v>
      </c>
      <c r="C121">
        <v>4</v>
      </c>
      <c r="D121" t="s">
        <v>8</v>
      </c>
      <c r="E121" t="s">
        <v>9</v>
      </c>
      <c r="F121" t="s">
        <v>10</v>
      </c>
      <c r="G121" t="s">
        <v>11</v>
      </c>
      <c r="H121">
        <v>36</v>
      </c>
      <c r="I121">
        <v>0</v>
      </c>
      <c r="J121">
        <v>0</v>
      </c>
      <c r="K121">
        <v>0</v>
      </c>
      <c r="L121" s="4">
        <v>72.616136919315394</v>
      </c>
      <c r="M121" s="4">
        <f t="shared" si="3"/>
        <v>76.408341433367696</v>
      </c>
      <c r="N121" s="4">
        <f t="shared" si="4"/>
        <v>-3.7922045140523011</v>
      </c>
      <c r="O121" s="4">
        <f t="shared" si="5"/>
        <v>14.380815076398649</v>
      </c>
    </row>
    <row r="122" spans="1:15" x14ac:dyDescent="0.35">
      <c r="H122">
        <v>37</v>
      </c>
      <c r="I122">
        <v>1</v>
      </c>
      <c r="J122">
        <v>0</v>
      </c>
      <c r="K122">
        <v>0</v>
      </c>
      <c r="L122" s="4"/>
      <c r="M122" s="4">
        <f t="shared" ref="M122:M125" si="6">$O$128+$O$129*H122+$O$130*I122+$O$131*J122+$O$132*K122</f>
        <v>73.675182403100592</v>
      </c>
      <c r="N122" s="4"/>
      <c r="O122" s="4"/>
    </row>
    <row r="123" spans="1:15" x14ac:dyDescent="0.35">
      <c r="H123">
        <v>38</v>
      </c>
      <c r="I123">
        <v>0</v>
      </c>
      <c r="J123">
        <v>1</v>
      </c>
      <c r="K123">
        <v>0</v>
      </c>
      <c r="L123" s="4"/>
      <c r="M123" s="4">
        <f t="shared" si="6"/>
        <v>75.995806918264506</v>
      </c>
      <c r="N123" s="4"/>
      <c r="O123" s="4"/>
    </row>
    <row r="124" spans="1:15" x14ac:dyDescent="0.35">
      <c r="H124">
        <v>39</v>
      </c>
      <c r="I124">
        <v>0</v>
      </c>
      <c r="J124">
        <v>0</v>
      </c>
      <c r="K124">
        <v>1</v>
      </c>
      <c r="L124" s="4"/>
      <c r="M124" s="4">
        <f t="shared" si="6"/>
        <v>72.994236244177102</v>
      </c>
      <c r="N124" s="4"/>
      <c r="O124" s="4"/>
    </row>
    <row r="125" spans="1:15" x14ac:dyDescent="0.35">
      <c r="H125">
        <v>40</v>
      </c>
      <c r="I125">
        <v>0</v>
      </c>
      <c r="J125">
        <v>0</v>
      </c>
      <c r="K125">
        <v>0</v>
      </c>
      <c r="L125" s="4"/>
      <c r="M125" s="4">
        <f t="shared" si="6"/>
        <v>74.443189579860871</v>
      </c>
      <c r="N125" s="4"/>
      <c r="O125" s="4"/>
    </row>
    <row r="126" spans="1:15" ht="15" thickBot="1" x14ac:dyDescent="0.4"/>
    <row r="127" spans="1:15" x14ac:dyDescent="0.35">
      <c r="N127" s="5"/>
      <c r="O127" s="5" t="s">
        <v>17</v>
      </c>
    </row>
    <row r="128" spans="1:15" x14ac:dyDescent="0.35">
      <c r="N128" t="s">
        <v>18</v>
      </c>
      <c r="O128">
        <v>94.09470811492902</v>
      </c>
    </row>
    <row r="129" spans="1:16" x14ac:dyDescent="0.35">
      <c r="N129" t="s">
        <v>0</v>
      </c>
      <c r="O129">
        <v>-0.49128796337670366</v>
      </c>
    </row>
    <row r="130" spans="1:16" x14ac:dyDescent="0.35">
      <c r="N130" t="s">
        <v>20</v>
      </c>
      <c r="O130">
        <v>-2.2418710668904009</v>
      </c>
    </row>
    <row r="131" spans="1:16" x14ac:dyDescent="0.35">
      <c r="N131" t="s">
        <v>21</v>
      </c>
      <c r="O131">
        <v>0.57004141165021704</v>
      </c>
    </row>
    <row r="132" spans="1:16" ht="15" thickBot="1" x14ac:dyDescent="0.4">
      <c r="N132" s="6" t="s">
        <v>22</v>
      </c>
      <c r="O132" s="6">
        <v>-1.9402412990604792</v>
      </c>
    </row>
    <row r="135" spans="1:16" x14ac:dyDescent="0.35">
      <c r="A135" t="s">
        <v>23</v>
      </c>
      <c r="G135" t="s">
        <v>24</v>
      </c>
      <c r="H135" s="4">
        <v>0.4</v>
      </c>
    </row>
    <row r="136" spans="1:16" x14ac:dyDescent="0.35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5</v>
      </c>
      <c r="G136" s="1" t="s">
        <v>6</v>
      </c>
      <c r="H136" s="2" t="s">
        <v>7</v>
      </c>
      <c r="I136" s="1" t="s">
        <v>13</v>
      </c>
      <c r="J136" s="1" t="s">
        <v>14</v>
      </c>
      <c r="K136" s="1" t="s">
        <v>15</v>
      </c>
      <c r="M136" s="1" t="s">
        <v>16</v>
      </c>
      <c r="N136" s="4">
        <f>AVERAGE(K138:K172)</f>
        <v>10.78967853489312</v>
      </c>
    </row>
    <row r="137" spans="1:16" x14ac:dyDescent="0.35">
      <c r="A137">
        <v>1</v>
      </c>
      <c r="B137">
        <v>2012</v>
      </c>
      <c r="C137">
        <v>1</v>
      </c>
      <c r="D137" t="s">
        <v>8</v>
      </c>
      <c r="E137" t="s">
        <v>9</v>
      </c>
      <c r="F137" t="s">
        <v>10</v>
      </c>
      <c r="G137" t="s">
        <v>11</v>
      </c>
      <c r="H137" s="4">
        <v>90.102389078498291</v>
      </c>
      <c r="I137" s="4"/>
      <c r="J137" s="4"/>
      <c r="K137" s="4"/>
    </row>
    <row r="138" spans="1:16" x14ac:dyDescent="0.35">
      <c r="A138">
        <v>2</v>
      </c>
      <c r="B138">
        <v>2012</v>
      </c>
      <c r="C138">
        <v>2</v>
      </c>
      <c r="D138" t="s">
        <v>8</v>
      </c>
      <c r="E138" t="s">
        <v>9</v>
      </c>
      <c r="F138" t="s">
        <v>10</v>
      </c>
      <c r="G138" t="s">
        <v>11</v>
      </c>
      <c r="H138" s="4">
        <v>95.136778115501514</v>
      </c>
      <c r="I138" s="4">
        <f>H137</f>
        <v>90.102389078498291</v>
      </c>
      <c r="J138" s="4">
        <f t="shared" ref="J138:J172" si="7">H138-I138</f>
        <v>5.0343890370032227</v>
      </c>
      <c r="K138" s="4">
        <f t="shared" ref="K138:K172" si="8">J138*J138</f>
        <v>25.345072975898237</v>
      </c>
      <c r="N138" t="s">
        <v>25</v>
      </c>
      <c r="O138" t="s">
        <v>16</v>
      </c>
    </row>
    <row r="139" spans="1:16" x14ac:dyDescent="0.35">
      <c r="A139">
        <v>3</v>
      </c>
      <c r="B139">
        <v>2012</v>
      </c>
      <c r="C139">
        <v>3</v>
      </c>
      <c r="D139" t="s">
        <v>8</v>
      </c>
      <c r="E139" t="s">
        <v>9</v>
      </c>
      <c r="F139" t="s">
        <v>10</v>
      </c>
      <c r="G139" t="s">
        <v>11</v>
      </c>
      <c r="H139" s="4">
        <v>88.679245283018872</v>
      </c>
      <c r="I139" s="4">
        <f>$H$135*H138+(1-$H$135)*I138</f>
        <v>92.116144693299574</v>
      </c>
      <c r="J139" s="4">
        <f t="shared" si="7"/>
        <v>-3.4368994102807022</v>
      </c>
      <c r="K139" s="4">
        <f t="shared" si="8"/>
        <v>11.812277556387839</v>
      </c>
      <c r="N139">
        <v>0.2</v>
      </c>
      <c r="O139">
        <v>12.71</v>
      </c>
    </row>
    <row r="140" spans="1:16" x14ac:dyDescent="0.35">
      <c r="A140">
        <v>4</v>
      </c>
      <c r="B140">
        <v>2012</v>
      </c>
      <c r="C140">
        <v>4</v>
      </c>
      <c r="D140" t="s">
        <v>8</v>
      </c>
      <c r="E140" t="s">
        <v>9</v>
      </c>
      <c r="F140" t="s">
        <v>10</v>
      </c>
      <c r="G140" t="s">
        <v>11</v>
      </c>
      <c r="H140" s="4">
        <v>95.59748427672956</v>
      </c>
      <c r="I140" s="4">
        <f t="shared" ref="I140:I173" si="9">$H$135*H139+(1-$H$135)*I139</f>
        <v>90.741384929187291</v>
      </c>
      <c r="J140" s="4">
        <f t="shared" si="7"/>
        <v>4.8560993475422691</v>
      </c>
      <c r="K140" s="4">
        <f t="shared" si="8"/>
        <v>23.58170087320045</v>
      </c>
      <c r="N140">
        <v>0.4</v>
      </c>
      <c r="O140">
        <v>10.79</v>
      </c>
      <c r="P140" t="s">
        <v>26</v>
      </c>
    </row>
    <row r="141" spans="1:16" x14ac:dyDescent="0.35">
      <c r="A141">
        <v>5</v>
      </c>
      <c r="B141">
        <v>2013</v>
      </c>
      <c r="C141">
        <v>1</v>
      </c>
      <c r="D141" t="s">
        <v>8</v>
      </c>
      <c r="E141" t="s">
        <v>9</v>
      </c>
      <c r="F141" t="s">
        <v>10</v>
      </c>
      <c r="G141" t="s">
        <v>11</v>
      </c>
      <c r="H141" s="4">
        <v>90.202702702702695</v>
      </c>
      <c r="I141" s="4">
        <f t="shared" si="9"/>
        <v>92.683824668204196</v>
      </c>
      <c r="J141" s="4">
        <f t="shared" si="7"/>
        <v>-2.4811219655015009</v>
      </c>
      <c r="K141" s="4">
        <f t="shared" si="8"/>
        <v>6.1559662076940311</v>
      </c>
      <c r="N141">
        <v>0.6</v>
      </c>
      <c r="O141">
        <v>11.51</v>
      </c>
    </row>
    <row r="142" spans="1:16" x14ac:dyDescent="0.35">
      <c r="A142">
        <v>6</v>
      </c>
      <c r="B142">
        <v>2013</v>
      </c>
      <c r="C142">
        <v>2</v>
      </c>
      <c r="D142" t="s">
        <v>8</v>
      </c>
      <c r="E142" t="s">
        <v>9</v>
      </c>
      <c r="F142" t="s">
        <v>10</v>
      </c>
      <c r="G142" t="s">
        <v>11</v>
      </c>
      <c r="H142" s="4">
        <v>88.698630136986296</v>
      </c>
      <c r="I142" s="4">
        <f t="shared" si="9"/>
        <v>91.691375882003598</v>
      </c>
      <c r="J142" s="4">
        <f t="shared" si="7"/>
        <v>-2.9927457450173023</v>
      </c>
      <c r="K142" s="4">
        <f t="shared" si="8"/>
        <v>8.956527094319167</v>
      </c>
      <c r="N142">
        <v>0.8</v>
      </c>
      <c r="O142">
        <v>13.36</v>
      </c>
    </row>
    <row r="143" spans="1:16" x14ac:dyDescent="0.35">
      <c r="A143">
        <v>7</v>
      </c>
      <c r="B143">
        <v>2013</v>
      </c>
      <c r="C143">
        <v>3</v>
      </c>
      <c r="D143" t="s">
        <v>8</v>
      </c>
      <c r="E143" t="s">
        <v>9</v>
      </c>
      <c r="F143" t="s">
        <v>10</v>
      </c>
      <c r="G143" t="s">
        <v>11</v>
      </c>
      <c r="H143" s="4">
        <v>89.368770764119603</v>
      </c>
      <c r="I143" s="4">
        <f t="shared" si="9"/>
        <v>90.494277583996677</v>
      </c>
      <c r="J143" s="4">
        <f t="shared" si="7"/>
        <v>-1.1255068198770743</v>
      </c>
      <c r="K143" s="4">
        <f t="shared" si="8"/>
        <v>1.266765601589805</v>
      </c>
    </row>
    <row r="144" spans="1:16" x14ac:dyDescent="0.35">
      <c r="A144">
        <v>8</v>
      </c>
      <c r="B144">
        <v>2013</v>
      </c>
      <c r="C144">
        <v>4</v>
      </c>
      <c r="D144" t="s">
        <v>8</v>
      </c>
      <c r="E144" t="s">
        <v>9</v>
      </c>
      <c r="F144" t="s">
        <v>10</v>
      </c>
      <c r="G144" t="s">
        <v>11</v>
      </c>
      <c r="H144" s="4">
        <v>92.145015105740185</v>
      </c>
      <c r="I144" s="4">
        <f t="shared" si="9"/>
        <v>90.044074856045853</v>
      </c>
      <c r="J144" s="4">
        <f t="shared" si="7"/>
        <v>2.1009402496943324</v>
      </c>
      <c r="K144" s="4">
        <f t="shared" si="8"/>
        <v>4.4139499327856839</v>
      </c>
    </row>
    <row r="145" spans="1:11" x14ac:dyDescent="0.35">
      <c r="A145">
        <v>9</v>
      </c>
      <c r="B145">
        <v>2014</v>
      </c>
      <c r="C145">
        <v>1</v>
      </c>
      <c r="D145" t="s">
        <v>8</v>
      </c>
      <c r="E145" t="s">
        <v>9</v>
      </c>
      <c r="F145" t="s">
        <v>10</v>
      </c>
      <c r="G145" t="s">
        <v>11</v>
      </c>
      <c r="H145" s="4">
        <v>85.483870967741936</v>
      </c>
      <c r="I145" s="4">
        <f t="shared" si="9"/>
        <v>90.884450955923583</v>
      </c>
      <c r="J145" s="4">
        <f t="shared" si="7"/>
        <v>-5.4005799881816472</v>
      </c>
      <c r="K145" s="4">
        <f t="shared" si="8"/>
        <v>29.166264208748082</v>
      </c>
    </row>
    <row r="146" spans="1:11" x14ac:dyDescent="0.35">
      <c r="A146">
        <v>10</v>
      </c>
      <c r="B146">
        <v>2014</v>
      </c>
      <c r="C146">
        <v>2</v>
      </c>
      <c r="D146" t="s">
        <v>8</v>
      </c>
      <c r="E146" t="s">
        <v>9</v>
      </c>
      <c r="F146" t="s">
        <v>10</v>
      </c>
      <c r="G146" t="s">
        <v>11</v>
      </c>
      <c r="H146" s="4">
        <v>90.282131661442008</v>
      </c>
      <c r="I146" s="4">
        <f t="shared" si="9"/>
        <v>88.724218960650916</v>
      </c>
      <c r="J146" s="4">
        <f t="shared" si="7"/>
        <v>1.5579127007910927</v>
      </c>
      <c r="K146" s="4">
        <f t="shared" si="8"/>
        <v>2.4270919832861968</v>
      </c>
    </row>
    <row r="147" spans="1:11" x14ac:dyDescent="0.35">
      <c r="A147">
        <v>11</v>
      </c>
      <c r="B147">
        <v>2014</v>
      </c>
      <c r="C147">
        <v>3</v>
      </c>
      <c r="D147" t="s">
        <v>8</v>
      </c>
      <c r="E147" t="s">
        <v>9</v>
      </c>
      <c r="F147" t="s">
        <v>10</v>
      </c>
      <c r="G147" t="s">
        <v>11</v>
      </c>
      <c r="H147" s="4">
        <v>86.82634730538922</v>
      </c>
      <c r="I147" s="4">
        <f t="shared" si="9"/>
        <v>89.347384040967356</v>
      </c>
      <c r="J147" s="4">
        <f t="shared" si="7"/>
        <v>-2.5210367355781358</v>
      </c>
      <c r="K147" s="4">
        <f t="shared" si="8"/>
        <v>6.3556262221344637</v>
      </c>
    </row>
    <row r="148" spans="1:11" x14ac:dyDescent="0.35">
      <c r="A148">
        <v>12</v>
      </c>
      <c r="B148">
        <v>2014</v>
      </c>
      <c r="C148">
        <v>4</v>
      </c>
      <c r="D148" t="s">
        <v>8</v>
      </c>
      <c r="E148" t="s">
        <v>9</v>
      </c>
      <c r="F148" t="s">
        <v>10</v>
      </c>
      <c r="G148" t="s">
        <v>11</v>
      </c>
      <c r="H148" s="4">
        <v>89.130434782608688</v>
      </c>
      <c r="I148" s="4">
        <f t="shared" si="9"/>
        <v>88.338969346736093</v>
      </c>
      <c r="J148" s="4">
        <f t="shared" si="7"/>
        <v>0.79146543587259544</v>
      </c>
      <c r="K148" s="4">
        <f t="shared" si="8"/>
        <v>0.62641753618099749</v>
      </c>
    </row>
    <row r="149" spans="1:11" x14ac:dyDescent="0.35">
      <c r="A149">
        <v>13</v>
      </c>
      <c r="B149">
        <v>2015</v>
      </c>
      <c r="C149">
        <v>1</v>
      </c>
      <c r="D149" t="s">
        <v>8</v>
      </c>
      <c r="E149" t="s">
        <v>9</v>
      </c>
      <c r="F149" t="s">
        <v>10</v>
      </c>
      <c r="G149" t="s">
        <v>11</v>
      </c>
      <c r="H149" s="4">
        <v>85.534591194968556</v>
      </c>
      <c r="I149" s="4">
        <f t="shared" si="9"/>
        <v>88.655555521085134</v>
      </c>
      <c r="J149" s="4">
        <f t="shared" si="7"/>
        <v>-3.120964326116578</v>
      </c>
      <c r="K149" s="4">
        <f t="shared" si="8"/>
        <v>9.7404183248923069</v>
      </c>
    </row>
    <row r="150" spans="1:11" x14ac:dyDescent="0.35">
      <c r="A150">
        <v>14</v>
      </c>
      <c r="B150">
        <v>2015</v>
      </c>
      <c r="C150">
        <v>2</v>
      </c>
      <c r="D150" t="s">
        <v>8</v>
      </c>
      <c r="E150" t="s">
        <v>9</v>
      </c>
      <c r="F150" t="s">
        <v>10</v>
      </c>
      <c r="G150" t="s">
        <v>11</v>
      </c>
      <c r="H150" s="4">
        <v>84.482758620689651</v>
      </c>
      <c r="I150" s="4">
        <f t="shared" si="9"/>
        <v>87.407169790638505</v>
      </c>
      <c r="J150" s="4">
        <f t="shared" si="7"/>
        <v>-2.9244111699488542</v>
      </c>
      <c r="K150" s="4">
        <f t="shared" si="8"/>
        <v>8.5521806909216256</v>
      </c>
    </row>
    <row r="151" spans="1:11" x14ac:dyDescent="0.35">
      <c r="A151">
        <v>15</v>
      </c>
      <c r="B151">
        <v>2015</v>
      </c>
      <c r="C151">
        <v>3</v>
      </c>
      <c r="D151" t="s">
        <v>8</v>
      </c>
      <c r="E151" t="s">
        <v>9</v>
      </c>
      <c r="F151" t="s">
        <v>10</v>
      </c>
      <c r="G151" t="s">
        <v>11</v>
      </c>
      <c r="H151" s="4">
        <v>85</v>
      </c>
      <c r="I151" s="4">
        <f t="shared" si="9"/>
        <v>86.237405322658958</v>
      </c>
      <c r="J151" s="4">
        <f t="shared" si="7"/>
        <v>-1.2374053226589581</v>
      </c>
      <c r="K151" s="4">
        <f t="shared" si="8"/>
        <v>1.5311719325447202</v>
      </c>
    </row>
    <row r="152" spans="1:11" x14ac:dyDescent="0.35">
      <c r="A152">
        <v>16</v>
      </c>
      <c r="B152">
        <v>2015</v>
      </c>
      <c r="C152">
        <v>4</v>
      </c>
      <c r="D152" t="s">
        <v>8</v>
      </c>
      <c r="E152" t="s">
        <v>9</v>
      </c>
      <c r="F152" t="s">
        <v>10</v>
      </c>
      <c r="G152" t="s">
        <v>11</v>
      </c>
      <c r="H152" s="4">
        <v>86.549707602339183</v>
      </c>
      <c r="I152" s="4">
        <f t="shared" si="9"/>
        <v>85.742443193595363</v>
      </c>
      <c r="J152" s="4">
        <f t="shared" si="7"/>
        <v>0.80726440874381922</v>
      </c>
      <c r="K152" s="4">
        <f t="shared" si="8"/>
        <v>0.65167582562450799</v>
      </c>
    </row>
    <row r="153" spans="1:11" x14ac:dyDescent="0.35">
      <c r="A153">
        <v>17</v>
      </c>
      <c r="B153">
        <v>2016</v>
      </c>
      <c r="C153">
        <v>1</v>
      </c>
      <c r="D153" t="s">
        <v>8</v>
      </c>
      <c r="E153" t="s">
        <v>9</v>
      </c>
      <c r="F153" t="s">
        <v>10</v>
      </c>
      <c r="G153" t="s">
        <v>11</v>
      </c>
      <c r="H153" s="4">
        <v>86.834733893557427</v>
      </c>
      <c r="I153" s="4">
        <f t="shared" si="9"/>
        <v>86.065348957092894</v>
      </c>
      <c r="J153" s="4">
        <f t="shared" si="7"/>
        <v>0.7693849364645331</v>
      </c>
      <c r="K153" s="4">
        <f t="shared" si="8"/>
        <v>0.59195318045853362</v>
      </c>
    </row>
    <row r="154" spans="1:11" x14ac:dyDescent="0.35">
      <c r="A154">
        <v>18</v>
      </c>
      <c r="B154">
        <v>2016</v>
      </c>
      <c r="C154">
        <v>2</v>
      </c>
      <c r="D154" t="s">
        <v>8</v>
      </c>
      <c r="E154" t="s">
        <v>9</v>
      </c>
      <c r="F154" t="s">
        <v>10</v>
      </c>
      <c r="G154" t="s">
        <v>11</v>
      </c>
      <c r="H154" s="4">
        <v>85.13513513513513</v>
      </c>
      <c r="I154" s="4">
        <f t="shared" si="9"/>
        <v>86.373102931678716</v>
      </c>
      <c r="J154" s="4">
        <f t="shared" si="7"/>
        <v>-1.237967796543586</v>
      </c>
      <c r="K154" s="4">
        <f t="shared" si="8"/>
        <v>1.5325642652789815</v>
      </c>
    </row>
    <row r="155" spans="1:11" x14ac:dyDescent="0.35">
      <c r="A155">
        <v>19</v>
      </c>
      <c r="B155">
        <v>2016</v>
      </c>
      <c r="C155">
        <v>3</v>
      </c>
      <c r="D155" t="s">
        <v>8</v>
      </c>
      <c r="E155" t="s">
        <v>9</v>
      </c>
      <c r="F155" t="s">
        <v>10</v>
      </c>
      <c r="G155" t="s">
        <v>11</v>
      </c>
      <c r="H155" s="4">
        <v>81.723237597911222</v>
      </c>
      <c r="I155" s="4">
        <f t="shared" si="9"/>
        <v>85.877915813061293</v>
      </c>
      <c r="J155" s="4">
        <f t="shared" si="7"/>
        <v>-4.1546782151500707</v>
      </c>
      <c r="K155" s="4">
        <f t="shared" si="8"/>
        <v>17.261351071442576</v>
      </c>
    </row>
    <row r="156" spans="1:11" x14ac:dyDescent="0.35">
      <c r="A156">
        <v>20</v>
      </c>
      <c r="B156">
        <v>2016</v>
      </c>
      <c r="C156">
        <v>4</v>
      </c>
      <c r="D156" t="s">
        <v>8</v>
      </c>
      <c r="E156" t="s">
        <v>9</v>
      </c>
      <c r="F156" t="s">
        <v>10</v>
      </c>
      <c r="G156" t="s">
        <v>11</v>
      </c>
      <c r="H156" s="4">
        <v>84.382871536523936</v>
      </c>
      <c r="I156" s="4">
        <f t="shared" si="9"/>
        <v>84.216044527001259</v>
      </c>
      <c r="J156" s="4">
        <f t="shared" si="7"/>
        <v>0.16682700952267737</v>
      </c>
      <c r="K156" s="4">
        <f t="shared" si="8"/>
        <v>2.7831251106279487E-2</v>
      </c>
    </row>
    <row r="157" spans="1:11" x14ac:dyDescent="0.35">
      <c r="A157">
        <v>21</v>
      </c>
      <c r="B157">
        <v>2017</v>
      </c>
      <c r="C157">
        <v>1</v>
      </c>
      <c r="D157" t="s">
        <v>8</v>
      </c>
      <c r="E157" t="s">
        <v>9</v>
      </c>
      <c r="F157" t="s">
        <v>10</v>
      </c>
      <c r="G157" t="s">
        <v>11</v>
      </c>
      <c r="H157" s="4">
        <v>85.359801488833739</v>
      </c>
      <c r="I157" s="4">
        <f t="shared" si="9"/>
        <v>84.282775330810324</v>
      </c>
      <c r="J157" s="4">
        <f t="shared" si="7"/>
        <v>1.0770261580234148</v>
      </c>
      <c r="K157" s="4">
        <f t="shared" si="8"/>
        <v>1.1599853450666777</v>
      </c>
    </row>
    <row r="158" spans="1:11" x14ac:dyDescent="0.35">
      <c r="A158">
        <v>22</v>
      </c>
      <c r="B158">
        <v>2017</v>
      </c>
      <c r="C158">
        <v>2</v>
      </c>
      <c r="D158" t="s">
        <v>8</v>
      </c>
      <c r="E158" t="s">
        <v>9</v>
      </c>
      <c r="F158" t="s">
        <v>10</v>
      </c>
      <c r="G158" t="s">
        <v>11</v>
      </c>
      <c r="H158" s="4">
        <v>81.84143222506394</v>
      </c>
      <c r="I158" s="4">
        <f t="shared" si="9"/>
        <v>84.713585794019679</v>
      </c>
      <c r="J158" s="4">
        <f t="shared" si="7"/>
        <v>-2.8721535689557385</v>
      </c>
      <c r="K158" s="4">
        <f t="shared" si="8"/>
        <v>8.2492661236651852</v>
      </c>
    </row>
    <row r="159" spans="1:11" x14ac:dyDescent="0.35">
      <c r="A159">
        <v>23</v>
      </c>
      <c r="B159">
        <v>2017</v>
      </c>
      <c r="C159">
        <v>3</v>
      </c>
      <c r="D159" t="s">
        <v>8</v>
      </c>
      <c r="E159" t="s">
        <v>9</v>
      </c>
      <c r="F159" t="s">
        <v>10</v>
      </c>
      <c r="G159" t="s">
        <v>11</v>
      </c>
      <c r="H159" s="4">
        <v>82.608695652173907</v>
      </c>
      <c r="I159" s="4">
        <f t="shared" si="9"/>
        <v>83.564724366437389</v>
      </c>
      <c r="J159" s="4">
        <f t="shared" si="7"/>
        <v>-0.95602871426348202</v>
      </c>
      <c r="K159" s="4">
        <f t="shared" si="8"/>
        <v>0.91399090249628656</v>
      </c>
    </row>
    <row r="160" spans="1:11" x14ac:dyDescent="0.35">
      <c r="A160">
        <v>24</v>
      </c>
      <c r="B160">
        <v>2017</v>
      </c>
      <c r="C160">
        <v>4</v>
      </c>
      <c r="D160" t="s">
        <v>8</v>
      </c>
      <c r="E160" t="s">
        <v>9</v>
      </c>
      <c r="F160" t="s">
        <v>10</v>
      </c>
      <c r="G160" t="s">
        <v>11</v>
      </c>
      <c r="H160" s="4">
        <v>79.606879606879616</v>
      </c>
      <c r="I160" s="4">
        <f t="shared" si="9"/>
        <v>83.182312880731985</v>
      </c>
      <c r="J160" s="4">
        <f t="shared" si="7"/>
        <v>-3.5754332738523686</v>
      </c>
      <c r="K160" s="4">
        <f t="shared" si="8"/>
        <v>12.783723095770666</v>
      </c>
    </row>
    <row r="161" spans="1:11" x14ac:dyDescent="0.35">
      <c r="A161">
        <v>25</v>
      </c>
      <c r="B161">
        <v>2018</v>
      </c>
      <c r="C161">
        <v>1</v>
      </c>
      <c r="D161" t="s">
        <v>8</v>
      </c>
      <c r="E161" t="s">
        <v>9</v>
      </c>
      <c r="F161" t="s">
        <v>10</v>
      </c>
      <c r="G161" t="s">
        <v>11</v>
      </c>
      <c r="H161" s="4">
        <v>75.797872340425528</v>
      </c>
      <c r="I161" s="4">
        <f t="shared" si="9"/>
        <v>81.752139571191037</v>
      </c>
      <c r="J161" s="4">
        <f t="shared" si="7"/>
        <v>-5.9542672307655096</v>
      </c>
      <c r="K161" s="4">
        <f t="shared" si="8"/>
        <v>35.453298255367969</v>
      </c>
    </row>
    <row r="162" spans="1:11" x14ac:dyDescent="0.35">
      <c r="A162">
        <v>26</v>
      </c>
      <c r="B162">
        <v>2018</v>
      </c>
      <c r="C162">
        <v>2</v>
      </c>
      <c r="D162" t="s">
        <v>8</v>
      </c>
      <c r="E162" t="s">
        <v>9</v>
      </c>
      <c r="F162" t="s">
        <v>10</v>
      </c>
      <c r="G162" t="s">
        <v>11</v>
      </c>
      <c r="H162" s="4">
        <v>79.820627802690581</v>
      </c>
      <c r="I162" s="4">
        <f t="shared" si="9"/>
        <v>79.370432678884839</v>
      </c>
      <c r="J162" s="4">
        <f t="shared" si="7"/>
        <v>0.45019512380574156</v>
      </c>
      <c r="K162" s="4">
        <f t="shared" si="8"/>
        <v>0.20267564949846698</v>
      </c>
    </row>
    <row r="163" spans="1:11" x14ac:dyDescent="0.35">
      <c r="A163">
        <v>27</v>
      </c>
      <c r="B163">
        <v>2018</v>
      </c>
      <c r="C163">
        <v>3</v>
      </c>
      <c r="D163" t="s">
        <v>8</v>
      </c>
      <c r="E163" t="s">
        <v>9</v>
      </c>
      <c r="F163" t="s">
        <v>10</v>
      </c>
      <c r="G163" t="s">
        <v>11</v>
      </c>
      <c r="H163" s="4">
        <v>76.712328767123282</v>
      </c>
      <c r="I163" s="4">
        <f t="shared" si="9"/>
        <v>79.550510728407133</v>
      </c>
      <c r="J163" s="4">
        <f t="shared" si="7"/>
        <v>-2.8381819612838513</v>
      </c>
      <c r="K163" s="4">
        <f t="shared" si="8"/>
        <v>8.0552768453570494</v>
      </c>
    </row>
    <row r="164" spans="1:11" x14ac:dyDescent="0.35">
      <c r="A164">
        <v>28</v>
      </c>
      <c r="B164">
        <v>2018</v>
      </c>
      <c r="C164">
        <v>4</v>
      </c>
      <c r="D164" t="s">
        <v>8</v>
      </c>
      <c r="E164" t="s">
        <v>9</v>
      </c>
      <c r="F164" t="s">
        <v>10</v>
      </c>
      <c r="G164" t="s">
        <v>11</v>
      </c>
      <c r="H164" s="4">
        <v>79.136690647482013</v>
      </c>
      <c r="I164" s="4">
        <f t="shared" si="9"/>
        <v>78.415237943893587</v>
      </c>
      <c r="J164" s="4">
        <f t="shared" si="7"/>
        <v>0.72145270358842595</v>
      </c>
      <c r="K164" s="4">
        <f t="shared" si="8"/>
        <v>0.52049400351504915</v>
      </c>
    </row>
    <row r="165" spans="1:11" x14ac:dyDescent="0.35">
      <c r="A165">
        <v>29</v>
      </c>
      <c r="B165">
        <v>2019</v>
      </c>
      <c r="C165">
        <v>1</v>
      </c>
      <c r="D165" t="s">
        <v>8</v>
      </c>
      <c r="E165" t="s">
        <v>9</v>
      </c>
      <c r="F165" t="s">
        <v>10</v>
      </c>
      <c r="G165" t="s">
        <v>11</v>
      </c>
      <c r="H165" s="4">
        <v>76.737967914438499</v>
      </c>
      <c r="I165" s="4">
        <f t="shared" si="9"/>
        <v>78.703819025328954</v>
      </c>
      <c r="J165" s="4">
        <f t="shared" si="7"/>
        <v>-1.9658511108904548</v>
      </c>
      <c r="K165" s="4">
        <f t="shared" si="8"/>
        <v>3.8645705901892353</v>
      </c>
    </row>
    <row r="166" spans="1:11" x14ac:dyDescent="0.35">
      <c r="A166">
        <v>30</v>
      </c>
      <c r="B166">
        <v>2019</v>
      </c>
      <c r="C166">
        <v>2</v>
      </c>
      <c r="D166" t="s">
        <v>8</v>
      </c>
      <c r="E166" t="s">
        <v>9</v>
      </c>
      <c r="F166" t="s">
        <v>10</v>
      </c>
      <c r="G166" t="s">
        <v>11</v>
      </c>
      <c r="H166" s="4">
        <v>86.634844868735087</v>
      </c>
      <c r="I166" s="4">
        <f t="shared" si="9"/>
        <v>77.917478580972769</v>
      </c>
      <c r="J166" s="4">
        <f t="shared" si="7"/>
        <v>8.7173662877623173</v>
      </c>
      <c r="K166" s="4">
        <f t="shared" si="8"/>
        <v>75.992474995014959</v>
      </c>
    </row>
    <row r="167" spans="1:11" x14ac:dyDescent="0.35">
      <c r="A167">
        <v>31</v>
      </c>
      <c r="B167">
        <v>2019</v>
      </c>
      <c r="C167">
        <v>3</v>
      </c>
      <c r="D167" t="s">
        <v>8</v>
      </c>
      <c r="E167" t="s">
        <v>9</v>
      </c>
      <c r="F167" t="s">
        <v>10</v>
      </c>
      <c r="G167" t="s">
        <v>11</v>
      </c>
      <c r="H167" s="4">
        <v>79.126213592233015</v>
      </c>
      <c r="I167" s="4">
        <f t="shared" si="9"/>
        <v>81.404425096077688</v>
      </c>
      <c r="J167" s="4">
        <f t="shared" si="7"/>
        <v>-2.2782115038446733</v>
      </c>
      <c r="K167" s="4">
        <f t="shared" si="8"/>
        <v>5.1902476562502082</v>
      </c>
    </row>
    <row r="168" spans="1:11" x14ac:dyDescent="0.35">
      <c r="A168">
        <v>32</v>
      </c>
      <c r="B168">
        <v>2019</v>
      </c>
      <c r="C168">
        <v>4</v>
      </c>
      <c r="D168" t="s">
        <v>8</v>
      </c>
      <c r="E168" t="s">
        <v>9</v>
      </c>
      <c r="F168" t="s">
        <v>10</v>
      </c>
      <c r="G168" t="s">
        <v>11</v>
      </c>
      <c r="H168" s="4">
        <v>79.255319148936167</v>
      </c>
      <c r="I168" s="4">
        <f t="shared" si="9"/>
        <v>80.493140494539816</v>
      </c>
      <c r="J168" s="4">
        <f t="shared" si="7"/>
        <v>-1.2378213456036491</v>
      </c>
      <c r="K168" s="4">
        <f t="shared" si="8"/>
        <v>1.5322016836320285</v>
      </c>
    </row>
    <row r="169" spans="1:11" x14ac:dyDescent="0.35">
      <c r="A169">
        <v>33</v>
      </c>
      <c r="B169">
        <v>2021</v>
      </c>
      <c r="C169">
        <v>1</v>
      </c>
      <c r="D169" t="s">
        <v>8</v>
      </c>
      <c r="E169" t="s">
        <v>9</v>
      </c>
      <c r="F169" t="s">
        <v>10</v>
      </c>
      <c r="G169" t="s">
        <v>11</v>
      </c>
      <c r="H169" s="4">
        <v>75.454545454545453</v>
      </c>
      <c r="I169" s="4">
        <f t="shared" si="9"/>
        <v>79.998011956298356</v>
      </c>
      <c r="J169" s="4">
        <f t="shared" si="7"/>
        <v>-4.5434665017529028</v>
      </c>
      <c r="K169" s="4">
        <f t="shared" si="8"/>
        <v>20.64308785255076</v>
      </c>
    </row>
    <row r="170" spans="1:11" x14ac:dyDescent="0.35">
      <c r="A170">
        <v>34</v>
      </c>
      <c r="B170">
        <v>2021</v>
      </c>
      <c r="C170">
        <v>2</v>
      </c>
      <c r="D170" t="s">
        <v>8</v>
      </c>
      <c r="E170" t="s">
        <v>9</v>
      </c>
      <c r="F170" t="s">
        <v>10</v>
      </c>
      <c r="G170" t="s">
        <v>11</v>
      </c>
      <c r="H170" s="4">
        <v>80.361757105943155</v>
      </c>
      <c r="I170" s="4">
        <f t="shared" si="9"/>
        <v>78.180625355597201</v>
      </c>
      <c r="J170" s="4">
        <f t="shared" si="7"/>
        <v>2.1811317503459549</v>
      </c>
      <c r="K170" s="4">
        <f t="shared" si="8"/>
        <v>4.7573357123672091</v>
      </c>
    </row>
    <row r="171" spans="1:11" x14ac:dyDescent="0.35">
      <c r="A171">
        <v>35</v>
      </c>
      <c r="B171">
        <v>2021</v>
      </c>
      <c r="C171">
        <v>3</v>
      </c>
      <c r="D171" t="s">
        <v>8</v>
      </c>
      <c r="E171" t="s">
        <v>9</v>
      </c>
      <c r="F171" t="s">
        <v>10</v>
      </c>
      <c r="G171" t="s">
        <v>11</v>
      </c>
      <c r="H171" s="4">
        <v>75.335120643431637</v>
      </c>
      <c r="I171" s="4">
        <f t="shared" si="9"/>
        <v>79.053078055735583</v>
      </c>
      <c r="J171" s="4">
        <f t="shared" si="7"/>
        <v>-3.7179574123039458</v>
      </c>
      <c r="K171" s="4">
        <f t="shared" si="8"/>
        <v>13.823207319705853</v>
      </c>
    </row>
    <row r="172" spans="1:11" x14ac:dyDescent="0.35">
      <c r="A172">
        <v>36</v>
      </c>
      <c r="B172">
        <v>2021</v>
      </c>
      <c r="C172">
        <v>4</v>
      </c>
      <c r="D172" t="s">
        <v>8</v>
      </c>
      <c r="E172" t="s">
        <v>9</v>
      </c>
      <c r="F172" t="s">
        <v>10</v>
      </c>
      <c r="G172" t="s">
        <v>11</v>
      </c>
      <c r="H172" s="4">
        <v>72.616136919315394</v>
      </c>
      <c r="I172" s="4">
        <f t="shared" si="9"/>
        <v>77.565895090813996</v>
      </c>
      <c r="J172" s="4">
        <f t="shared" si="7"/>
        <v>-4.9497581714986012</v>
      </c>
      <c r="K172" s="4">
        <f t="shared" si="8"/>
        <v>24.500105956317174</v>
      </c>
    </row>
    <row r="173" spans="1:11" x14ac:dyDescent="0.35">
      <c r="A173">
        <v>37</v>
      </c>
      <c r="I173" s="4">
        <f t="shared" si="9"/>
        <v>75.585991822214567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764F-37FA-4F39-A3A2-92A8B8583304}">
  <dimension ref="A1:I18"/>
  <sheetViews>
    <sheetView topLeftCell="A2" workbookViewId="0">
      <selection activeCell="J21" sqref="J21"/>
    </sheetView>
  </sheetViews>
  <sheetFormatPr defaultRowHeight="14.5" x14ac:dyDescent="0.35"/>
  <sheetData>
    <row r="1" spans="1:9" x14ac:dyDescent="0.35">
      <c r="A1" t="s">
        <v>27</v>
      </c>
    </row>
    <row r="2" spans="1:9" ht="15" thickBot="1" x14ac:dyDescent="0.4"/>
    <row r="3" spans="1:9" x14ac:dyDescent="0.35">
      <c r="A3" s="7" t="s">
        <v>28</v>
      </c>
      <c r="B3" s="7"/>
    </row>
    <row r="4" spans="1:9" x14ac:dyDescent="0.35">
      <c r="A4" t="s">
        <v>29</v>
      </c>
      <c r="B4">
        <v>0.89021252185431354</v>
      </c>
    </row>
    <row r="5" spans="1:9" x14ac:dyDescent="0.35">
      <c r="A5" t="s">
        <v>30</v>
      </c>
      <c r="B5">
        <v>0.79247833406621671</v>
      </c>
    </row>
    <row r="6" spans="1:9" x14ac:dyDescent="0.35">
      <c r="A6" t="s">
        <v>31</v>
      </c>
      <c r="B6">
        <v>0.78637475565639947</v>
      </c>
    </row>
    <row r="7" spans="1:9" x14ac:dyDescent="0.35">
      <c r="A7" t="s">
        <v>32</v>
      </c>
      <c r="B7">
        <v>2.6606785722538562</v>
      </c>
    </row>
    <row r="8" spans="1:9" ht="15" thickBot="1" x14ac:dyDescent="0.4">
      <c r="A8" s="6" t="s">
        <v>33</v>
      </c>
      <c r="B8" s="6">
        <v>36</v>
      </c>
    </row>
    <row r="10" spans="1:9" ht="15" thickBot="1" x14ac:dyDescent="0.4">
      <c r="A10" t="s">
        <v>34</v>
      </c>
    </row>
    <row r="11" spans="1:9" x14ac:dyDescent="0.35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 x14ac:dyDescent="0.35">
      <c r="A12" t="s">
        <v>40</v>
      </c>
      <c r="B12">
        <v>1</v>
      </c>
      <c r="C12">
        <v>919.15275581053174</v>
      </c>
      <c r="D12">
        <v>919.15275581053174</v>
      </c>
      <c r="E12">
        <v>129.83831465023428</v>
      </c>
      <c r="F12">
        <v>3.7195097643147765E-13</v>
      </c>
    </row>
    <row r="13" spans="1:9" x14ac:dyDescent="0.35">
      <c r="A13" t="s">
        <v>41</v>
      </c>
      <c r="B13">
        <v>34</v>
      </c>
      <c r="C13">
        <v>240.69315580492781</v>
      </c>
      <c r="D13">
        <v>7.0792104648508181</v>
      </c>
    </row>
    <row r="14" spans="1:9" ht="15" thickBot="1" x14ac:dyDescent="0.4">
      <c r="A14" s="6" t="s">
        <v>42</v>
      </c>
      <c r="B14" s="6">
        <v>35</v>
      </c>
      <c r="C14" s="6">
        <v>1159.8459116154595</v>
      </c>
      <c r="D14" s="6"/>
      <c r="E14" s="6"/>
      <c r="F14" s="6"/>
    </row>
    <row r="15" spans="1:9" ht="15" thickBot="1" x14ac:dyDescent="0.4"/>
    <row r="16" spans="1:9" x14ac:dyDescent="0.35">
      <c r="A16" s="5"/>
      <c r="B16" s="5" t="s">
        <v>17</v>
      </c>
      <c r="C16" s="5" t="s">
        <v>32</v>
      </c>
      <c r="D16" s="5" t="s">
        <v>43</v>
      </c>
      <c r="E16" s="5" t="s">
        <v>44</v>
      </c>
      <c r="F16" s="5" t="s">
        <v>45</v>
      </c>
      <c r="G16" s="5" t="s">
        <v>46</v>
      </c>
      <c r="H16" s="5" t="s">
        <v>47</v>
      </c>
      <c r="I16" s="5" t="s">
        <v>48</v>
      </c>
    </row>
    <row r="17" spans="1:9" x14ac:dyDescent="0.35">
      <c r="A17" t="s">
        <v>18</v>
      </c>
      <c r="B17">
        <v>93.101361865854713</v>
      </c>
      <c r="C17">
        <v>0.90569833088180018</v>
      </c>
      <c r="D17">
        <v>102.79511255719105</v>
      </c>
      <c r="E17">
        <v>5.4704958018377652E-44</v>
      </c>
      <c r="F17">
        <v>91.260761405821953</v>
      </c>
      <c r="G17">
        <v>94.941962325887474</v>
      </c>
      <c r="H17">
        <v>91.260761405821953</v>
      </c>
      <c r="I17">
        <v>94.941962325887474</v>
      </c>
    </row>
    <row r="18" spans="1:9" ht="15" thickBot="1" x14ac:dyDescent="0.4">
      <c r="A18" s="6" t="s">
        <v>0</v>
      </c>
      <c r="B18" s="6">
        <v>-0.48640534118756024</v>
      </c>
      <c r="C18" s="6">
        <v>4.2687124473817589E-2</v>
      </c>
      <c r="D18" s="6">
        <v>-11.394661673355392</v>
      </c>
      <c r="E18" s="6">
        <v>3.7195097643147765E-13</v>
      </c>
      <c r="F18" s="6">
        <v>-0.57315601551803808</v>
      </c>
      <c r="G18" s="6">
        <v>-0.3996546668570824</v>
      </c>
      <c r="H18" s="6">
        <v>-0.57315601551803808</v>
      </c>
      <c r="I18" s="6">
        <v>-0.3996546668570824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E70E-4C3F-495A-B453-703669481C40}">
  <dimension ref="A1:I21"/>
  <sheetViews>
    <sheetView workbookViewId="0">
      <selection activeCell="K19" sqref="K19"/>
    </sheetView>
  </sheetViews>
  <sheetFormatPr defaultRowHeight="14.5" x14ac:dyDescent="0.35"/>
  <sheetData>
    <row r="1" spans="1:9" x14ac:dyDescent="0.35">
      <c r="A1" t="s">
        <v>27</v>
      </c>
    </row>
    <row r="2" spans="1:9" ht="15" thickBot="1" x14ac:dyDescent="0.4"/>
    <row r="3" spans="1:9" x14ac:dyDescent="0.35">
      <c r="A3" s="7" t="s">
        <v>28</v>
      </c>
      <c r="B3" s="7"/>
    </row>
    <row r="4" spans="1:9" x14ac:dyDescent="0.35">
      <c r="A4" t="s">
        <v>29</v>
      </c>
      <c r="B4">
        <v>0.91532573019562602</v>
      </c>
    </row>
    <row r="5" spans="1:9" x14ac:dyDescent="0.35">
      <c r="A5" t="s">
        <v>30</v>
      </c>
      <c r="B5">
        <v>0.837821192358156</v>
      </c>
    </row>
    <row r="6" spans="1:9" x14ac:dyDescent="0.35">
      <c r="A6" t="s">
        <v>31</v>
      </c>
      <c r="B6">
        <v>0.81689489459791809</v>
      </c>
    </row>
    <row r="7" spans="1:9" x14ac:dyDescent="0.35">
      <c r="A7" t="s">
        <v>32</v>
      </c>
      <c r="B7">
        <v>2.463294587664036</v>
      </c>
    </row>
    <row r="8" spans="1:9" ht="15" thickBot="1" x14ac:dyDescent="0.4">
      <c r="A8" s="6" t="s">
        <v>33</v>
      </c>
      <c r="B8" s="6">
        <v>36</v>
      </c>
    </row>
    <row r="10" spans="1:9" ht="15" thickBot="1" x14ac:dyDescent="0.4">
      <c r="A10" t="s">
        <v>34</v>
      </c>
    </row>
    <row r="11" spans="1:9" x14ac:dyDescent="0.35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 x14ac:dyDescent="0.35">
      <c r="A12" t="s">
        <v>40</v>
      </c>
      <c r="B12">
        <v>4</v>
      </c>
      <c r="C12">
        <v>971.74348462139665</v>
      </c>
      <c r="D12">
        <v>242.93587115534916</v>
      </c>
      <c r="E12">
        <v>40.036761493000441</v>
      </c>
      <c r="F12">
        <v>7.9544327934406925E-12</v>
      </c>
    </row>
    <row r="13" spans="1:9" x14ac:dyDescent="0.35">
      <c r="A13" t="s">
        <v>41</v>
      </c>
      <c r="B13">
        <v>31</v>
      </c>
      <c r="C13">
        <v>188.10242699406291</v>
      </c>
      <c r="D13">
        <v>6.0678202256149323</v>
      </c>
    </row>
    <row r="14" spans="1:9" ht="15" thickBot="1" x14ac:dyDescent="0.4">
      <c r="A14" s="6" t="s">
        <v>42</v>
      </c>
      <c r="B14" s="6">
        <v>35</v>
      </c>
      <c r="C14" s="6">
        <v>1159.8459116154595</v>
      </c>
      <c r="D14" s="6"/>
      <c r="E14" s="6"/>
      <c r="F14" s="6"/>
    </row>
    <row r="15" spans="1:9" ht="15" thickBot="1" x14ac:dyDescent="0.4"/>
    <row r="16" spans="1:9" x14ac:dyDescent="0.35">
      <c r="A16" s="5"/>
      <c r="B16" s="5" t="s">
        <v>17</v>
      </c>
      <c r="C16" s="5" t="s">
        <v>32</v>
      </c>
      <c r="D16" s="5" t="s">
        <v>43</v>
      </c>
      <c r="E16" s="5" t="s">
        <v>44</v>
      </c>
      <c r="F16" s="5" t="s">
        <v>45</v>
      </c>
      <c r="G16" s="5" t="s">
        <v>46</v>
      </c>
      <c r="H16" s="5" t="s">
        <v>47</v>
      </c>
      <c r="I16" s="5" t="s">
        <v>48</v>
      </c>
    </row>
    <row r="17" spans="1:9" x14ac:dyDescent="0.35">
      <c r="A17" t="s">
        <v>18</v>
      </c>
      <c r="B17">
        <v>94.09470811492902</v>
      </c>
      <c r="C17">
        <v>1.1429203183623242</v>
      </c>
      <c r="D17">
        <v>82.328318609083894</v>
      </c>
      <c r="E17">
        <v>7.1953206225501545E-38</v>
      </c>
      <c r="F17">
        <v>91.763706757469393</v>
      </c>
      <c r="G17">
        <v>96.425709472388647</v>
      </c>
      <c r="H17">
        <v>91.763706757469393</v>
      </c>
      <c r="I17">
        <v>96.425709472388647</v>
      </c>
    </row>
    <row r="18" spans="1:9" x14ac:dyDescent="0.35">
      <c r="A18" t="s">
        <v>0</v>
      </c>
      <c r="B18">
        <v>-0.49128796337670366</v>
      </c>
      <c r="C18">
        <v>3.975124547844032E-2</v>
      </c>
      <c r="D18">
        <v>-12.359058375747271</v>
      </c>
      <c r="E18">
        <v>1.6254168938010454E-13</v>
      </c>
      <c r="F18">
        <v>-0.57236116304098716</v>
      </c>
      <c r="G18">
        <v>-0.41021476371242022</v>
      </c>
      <c r="H18">
        <v>-0.57236116304098716</v>
      </c>
      <c r="I18">
        <v>-0.41021476371242022</v>
      </c>
    </row>
    <row r="19" spans="1:9" x14ac:dyDescent="0.35">
      <c r="A19" t="s">
        <v>20</v>
      </c>
      <c r="B19">
        <v>-2.2418710668904009</v>
      </c>
      <c r="C19">
        <v>1.1673157020424598</v>
      </c>
      <c r="D19">
        <v>-1.9205353470083411</v>
      </c>
      <c r="E19">
        <v>6.403028390807379E-2</v>
      </c>
      <c r="F19">
        <v>-4.6226271373956607</v>
      </c>
      <c r="G19">
        <v>0.13888500361485923</v>
      </c>
      <c r="H19">
        <v>-4.6226271373956607</v>
      </c>
      <c r="I19">
        <v>0.13888500361485923</v>
      </c>
    </row>
    <row r="20" spans="1:9" x14ac:dyDescent="0.35">
      <c r="A20" t="s">
        <v>21</v>
      </c>
      <c r="B20">
        <v>0.57004141165021704</v>
      </c>
      <c r="C20">
        <v>1.16392660449422</v>
      </c>
      <c r="D20">
        <v>0.48975718009120206</v>
      </c>
      <c r="E20">
        <v>0.62775381406851882</v>
      </c>
      <c r="F20">
        <v>-1.8038025488342588</v>
      </c>
      <c r="G20">
        <v>2.9438853721346927</v>
      </c>
      <c r="H20">
        <v>-1.8038025488342588</v>
      </c>
      <c r="I20">
        <v>2.9438853721346927</v>
      </c>
    </row>
    <row r="21" spans="1:9" ht="15" thickBot="1" x14ac:dyDescent="0.4">
      <c r="A21" s="6" t="s">
        <v>22</v>
      </c>
      <c r="B21" s="6">
        <v>-1.9402412990604792</v>
      </c>
      <c r="C21" s="6">
        <v>1.1618884008794403</v>
      </c>
      <c r="D21" s="6">
        <v>-1.6699033208283161</v>
      </c>
      <c r="E21" s="6">
        <v>0.10500731444764255</v>
      </c>
      <c r="F21" s="6">
        <v>-4.3099283158661184</v>
      </c>
      <c r="G21" s="6">
        <v>0.42944571774515983</v>
      </c>
      <c r="H21" s="6">
        <v>-4.3099283158661184</v>
      </c>
      <c r="I21" s="6">
        <v>0.42944571774515983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5557-E9C7-4F8C-8390-7116B4AF9672}">
  <dimension ref="A1:R174"/>
  <sheetViews>
    <sheetView workbookViewId="0">
      <selection activeCell="G14" sqref="G14"/>
    </sheetView>
  </sheetViews>
  <sheetFormatPr defaultRowHeight="14.5" x14ac:dyDescent="0.35"/>
  <cols>
    <col min="1" max="1" width="6.1796875" bestFit="1" customWidth="1"/>
    <col min="2" max="2" width="4.81640625" bestFit="1" customWidth="1"/>
    <col min="4" max="5" width="0" hidden="1" customWidth="1"/>
    <col min="6" max="6" width="9.7265625" bestFit="1" customWidth="1"/>
    <col min="7" max="7" width="31.7265625" bestFit="1" customWidth="1"/>
    <col min="8" max="8" width="27.36328125" style="4" bestFit="1" customWidth="1"/>
  </cols>
  <sheetData>
    <row r="1" spans="1:9" ht="23.5" x14ac:dyDescent="0.55000000000000004">
      <c r="A1" s="11" t="s">
        <v>83</v>
      </c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3"/>
    </row>
    <row r="3" spans="1:9" x14ac:dyDescent="0.35">
      <c r="A3">
        <v>1</v>
      </c>
      <c r="B3">
        <v>2012</v>
      </c>
      <c r="C3">
        <v>1</v>
      </c>
      <c r="D3" t="s">
        <v>8</v>
      </c>
      <c r="E3" t="s">
        <v>9</v>
      </c>
      <c r="F3" t="s">
        <v>49</v>
      </c>
      <c r="G3" t="s">
        <v>50</v>
      </c>
      <c r="H3" s="4">
        <v>94.642857142857139</v>
      </c>
    </row>
    <row r="4" spans="1:9" x14ac:dyDescent="0.35">
      <c r="A4">
        <v>2</v>
      </c>
      <c r="B4">
        <v>2012</v>
      </c>
      <c r="C4">
        <v>2</v>
      </c>
      <c r="D4" t="s">
        <v>8</v>
      </c>
      <c r="E4" t="s">
        <v>9</v>
      </c>
      <c r="F4" t="s">
        <v>49</v>
      </c>
      <c r="G4" t="s">
        <v>50</v>
      </c>
      <c r="H4" s="4">
        <v>92.025518341307816</v>
      </c>
    </row>
    <row r="5" spans="1:9" x14ac:dyDescent="0.35">
      <c r="A5">
        <v>3</v>
      </c>
      <c r="B5">
        <v>2012</v>
      </c>
      <c r="C5">
        <v>3</v>
      </c>
      <c r="D5" t="s">
        <v>8</v>
      </c>
      <c r="E5" t="s">
        <v>9</v>
      </c>
      <c r="F5" t="s">
        <v>49</v>
      </c>
      <c r="G5" t="s">
        <v>50</v>
      </c>
      <c r="H5" s="4">
        <v>90.085470085470092</v>
      </c>
    </row>
    <row r="6" spans="1:9" x14ac:dyDescent="0.35">
      <c r="A6">
        <v>4</v>
      </c>
      <c r="B6">
        <v>2012</v>
      </c>
      <c r="C6">
        <v>4</v>
      </c>
      <c r="D6" t="s">
        <v>8</v>
      </c>
      <c r="E6" t="s">
        <v>9</v>
      </c>
      <c r="F6" t="s">
        <v>49</v>
      </c>
      <c r="G6" t="s">
        <v>50</v>
      </c>
      <c r="H6" s="4">
        <v>95.595432300163125</v>
      </c>
    </row>
    <row r="7" spans="1:9" x14ac:dyDescent="0.35">
      <c r="A7">
        <v>5</v>
      </c>
      <c r="B7">
        <v>2013</v>
      </c>
      <c r="C7">
        <v>1</v>
      </c>
      <c r="D7" t="s">
        <v>8</v>
      </c>
      <c r="E7" t="s">
        <v>9</v>
      </c>
      <c r="F7" t="s">
        <v>49</v>
      </c>
      <c r="G7" t="s">
        <v>50</v>
      </c>
      <c r="H7" s="4">
        <v>94.708029197080293</v>
      </c>
    </row>
    <row r="8" spans="1:9" x14ac:dyDescent="0.35">
      <c r="A8">
        <v>6</v>
      </c>
      <c r="B8">
        <v>2013</v>
      </c>
      <c r="C8">
        <v>2</v>
      </c>
      <c r="D8" t="s">
        <v>8</v>
      </c>
      <c r="E8" t="s">
        <v>9</v>
      </c>
      <c r="F8" t="s">
        <v>49</v>
      </c>
      <c r="G8" t="s">
        <v>50</v>
      </c>
      <c r="H8" s="4">
        <v>94.21641791044776</v>
      </c>
    </row>
    <row r="9" spans="1:9" x14ac:dyDescent="0.35">
      <c r="A9">
        <v>7</v>
      </c>
      <c r="B9">
        <v>2013</v>
      </c>
      <c r="C9">
        <v>3</v>
      </c>
      <c r="D9" t="s">
        <v>8</v>
      </c>
      <c r="E9" t="s">
        <v>9</v>
      </c>
      <c r="F9" t="s">
        <v>49</v>
      </c>
      <c r="G9" t="s">
        <v>50</v>
      </c>
      <c r="H9" s="4">
        <v>95.585738539898131</v>
      </c>
    </row>
    <row r="10" spans="1:9" x14ac:dyDescent="0.35">
      <c r="A10">
        <v>8</v>
      </c>
      <c r="B10">
        <v>2013</v>
      </c>
      <c r="C10">
        <v>4</v>
      </c>
      <c r="D10" t="s">
        <v>8</v>
      </c>
      <c r="E10" t="s">
        <v>9</v>
      </c>
      <c r="F10" t="s">
        <v>49</v>
      </c>
      <c r="G10" t="s">
        <v>50</v>
      </c>
      <c r="H10" s="4">
        <v>94.38943894389439</v>
      </c>
    </row>
    <row r="11" spans="1:9" x14ac:dyDescent="0.35">
      <c r="A11">
        <v>9</v>
      </c>
      <c r="B11">
        <v>2014</v>
      </c>
      <c r="C11">
        <v>1</v>
      </c>
      <c r="D11" t="s">
        <v>8</v>
      </c>
      <c r="E11" t="s">
        <v>9</v>
      </c>
      <c r="F11" t="s">
        <v>49</v>
      </c>
      <c r="G11" t="s">
        <v>50</v>
      </c>
      <c r="H11" s="4">
        <v>90.733590733590731</v>
      </c>
    </row>
    <row r="12" spans="1:9" x14ac:dyDescent="0.35">
      <c r="A12">
        <v>10</v>
      </c>
      <c r="B12">
        <v>2014</v>
      </c>
      <c r="C12">
        <v>2</v>
      </c>
      <c r="D12" t="s">
        <v>8</v>
      </c>
      <c r="E12" t="s">
        <v>9</v>
      </c>
      <c r="F12" t="s">
        <v>49</v>
      </c>
      <c r="G12" t="s">
        <v>50</v>
      </c>
      <c r="H12" s="4">
        <v>92.266187050359719</v>
      </c>
    </row>
    <row r="13" spans="1:9" x14ac:dyDescent="0.35">
      <c r="A13">
        <v>11</v>
      </c>
      <c r="B13">
        <v>2014</v>
      </c>
      <c r="C13">
        <v>3</v>
      </c>
      <c r="D13" t="s">
        <v>8</v>
      </c>
      <c r="E13" t="s">
        <v>9</v>
      </c>
      <c r="F13" t="s">
        <v>49</v>
      </c>
      <c r="G13" t="s">
        <v>50</v>
      </c>
      <c r="H13" s="4">
        <v>94.026974951830439</v>
      </c>
    </row>
    <row r="14" spans="1:9" x14ac:dyDescent="0.35">
      <c r="A14">
        <v>12</v>
      </c>
      <c r="B14">
        <v>2014</v>
      </c>
      <c r="C14">
        <v>4</v>
      </c>
      <c r="D14" t="s">
        <v>8</v>
      </c>
      <c r="E14" t="s">
        <v>9</v>
      </c>
      <c r="F14" t="s">
        <v>49</v>
      </c>
      <c r="G14" t="s">
        <v>50</v>
      </c>
      <c r="H14" s="4">
        <v>93.849206349206355</v>
      </c>
    </row>
    <row r="15" spans="1:9" x14ac:dyDescent="0.35">
      <c r="A15">
        <v>13</v>
      </c>
      <c r="B15">
        <v>2015</v>
      </c>
      <c r="C15">
        <v>1</v>
      </c>
      <c r="D15" t="s">
        <v>8</v>
      </c>
      <c r="E15" t="s">
        <v>9</v>
      </c>
      <c r="F15" t="s">
        <v>49</v>
      </c>
      <c r="G15" t="s">
        <v>50</v>
      </c>
      <c r="H15" s="4">
        <v>92.427184466019412</v>
      </c>
    </row>
    <row r="16" spans="1:9" x14ac:dyDescent="0.35">
      <c r="A16">
        <v>14</v>
      </c>
      <c r="B16">
        <v>2015</v>
      </c>
      <c r="C16">
        <v>2</v>
      </c>
      <c r="D16" t="s">
        <v>8</v>
      </c>
      <c r="E16" t="s">
        <v>9</v>
      </c>
      <c r="F16" t="s">
        <v>49</v>
      </c>
      <c r="G16" t="s">
        <v>50</v>
      </c>
      <c r="H16" s="4">
        <v>92.222222222222229</v>
      </c>
    </row>
    <row r="17" spans="1:8" x14ac:dyDescent="0.35">
      <c r="A17">
        <v>15</v>
      </c>
      <c r="B17">
        <v>2015</v>
      </c>
      <c r="C17">
        <v>3</v>
      </c>
      <c r="D17" t="s">
        <v>8</v>
      </c>
      <c r="E17" t="s">
        <v>9</v>
      </c>
      <c r="F17" t="s">
        <v>49</v>
      </c>
      <c r="G17" t="s">
        <v>50</v>
      </c>
      <c r="H17" s="4">
        <v>92.723880597014926</v>
      </c>
    </row>
    <row r="18" spans="1:8" x14ac:dyDescent="0.35">
      <c r="A18">
        <v>16</v>
      </c>
      <c r="B18">
        <v>2015</v>
      </c>
      <c r="C18">
        <v>4</v>
      </c>
      <c r="D18" t="s">
        <v>8</v>
      </c>
      <c r="E18" t="s">
        <v>9</v>
      </c>
      <c r="F18" t="s">
        <v>49</v>
      </c>
      <c r="G18" t="s">
        <v>50</v>
      </c>
      <c r="H18" s="4">
        <v>91.064638783269956</v>
      </c>
    </row>
    <row r="19" spans="1:8" x14ac:dyDescent="0.35">
      <c r="A19">
        <v>17</v>
      </c>
      <c r="B19">
        <v>2016</v>
      </c>
      <c r="C19">
        <v>1</v>
      </c>
      <c r="D19" t="s">
        <v>8</v>
      </c>
      <c r="E19" t="s">
        <v>9</v>
      </c>
      <c r="F19" t="s">
        <v>49</v>
      </c>
      <c r="G19" t="s">
        <v>50</v>
      </c>
      <c r="H19" s="4">
        <v>90.427698574338095</v>
      </c>
    </row>
    <row r="20" spans="1:8" x14ac:dyDescent="0.35">
      <c r="A20">
        <v>18</v>
      </c>
      <c r="B20">
        <v>2016</v>
      </c>
      <c r="C20">
        <v>2</v>
      </c>
      <c r="D20" t="s">
        <v>8</v>
      </c>
      <c r="E20" t="s">
        <v>9</v>
      </c>
      <c r="F20" t="s">
        <v>49</v>
      </c>
      <c r="G20" t="s">
        <v>50</v>
      </c>
      <c r="H20" s="4">
        <v>91.452991452991455</v>
      </c>
    </row>
    <row r="21" spans="1:8" x14ac:dyDescent="0.35">
      <c r="A21">
        <v>19</v>
      </c>
      <c r="B21">
        <v>2016</v>
      </c>
      <c r="C21">
        <v>3</v>
      </c>
      <c r="D21" t="s">
        <v>8</v>
      </c>
      <c r="E21" t="s">
        <v>9</v>
      </c>
      <c r="F21" t="s">
        <v>49</v>
      </c>
      <c r="G21" t="s">
        <v>50</v>
      </c>
      <c r="H21" s="4">
        <v>87.449392712550605</v>
      </c>
    </row>
    <row r="22" spans="1:8" x14ac:dyDescent="0.35">
      <c r="A22">
        <v>20</v>
      </c>
      <c r="B22">
        <v>2016</v>
      </c>
      <c r="C22">
        <v>4</v>
      </c>
      <c r="D22" t="s">
        <v>8</v>
      </c>
      <c r="E22" t="s">
        <v>9</v>
      </c>
      <c r="F22" t="s">
        <v>49</v>
      </c>
      <c r="G22" t="s">
        <v>50</v>
      </c>
      <c r="H22" s="4">
        <v>82.592592592592595</v>
      </c>
    </row>
    <row r="23" spans="1:8" x14ac:dyDescent="0.35">
      <c r="A23">
        <v>21</v>
      </c>
      <c r="B23">
        <v>2017</v>
      </c>
      <c r="C23">
        <v>1</v>
      </c>
      <c r="D23" t="s">
        <v>8</v>
      </c>
      <c r="E23" t="s">
        <v>9</v>
      </c>
      <c r="F23" t="s">
        <v>49</v>
      </c>
      <c r="G23" t="s">
        <v>50</v>
      </c>
      <c r="H23" s="4">
        <v>87.620889748549331</v>
      </c>
    </row>
    <row r="24" spans="1:8" x14ac:dyDescent="0.35">
      <c r="A24">
        <v>22</v>
      </c>
      <c r="B24">
        <v>2017</v>
      </c>
      <c r="C24">
        <v>2</v>
      </c>
      <c r="D24" t="s">
        <v>8</v>
      </c>
      <c r="E24" t="s">
        <v>9</v>
      </c>
      <c r="F24" t="s">
        <v>49</v>
      </c>
      <c r="G24" t="s">
        <v>50</v>
      </c>
      <c r="H24" s="4">
        <v>85.621970920840056</v>
      </c>
    </row>
    <row r="25" spans="1:8" x14ac:dyDescent="0.35">
      <c r="A25">
        <v>23</v>
      </c>
      <c r="B25">
        <v>2017</v>
      </c>
      <c r="C25">
        <v>3</v>
      </c>
      <c r="D25" t="s">
        <v>8</v>
      </c>
      <c r="E25" t="s">
        <v>9</v>
      </c>
      <c r="F25" t="s">
        <v>49</v>
      </c>
      <c r="G25" t="s">
        <v>50</v>
      </c>
      <c r="H25" s="4">
        <v>86.542056074766364</v>
      </c>
    </row>
    <row r="26" spans="1:8" x14ac:dyDescent="0.35">
      <c r="A26">
        <v>24</v>
      </c>
      <c r="B26">
        <v>2017</v>
      </c>
      <c r="C26">
        <v>4</v>
      </c>
      <c r="D26" t="s">
        <v>8</v>
      </c>
      <c r="E26" t="s">
        <v>9</v>
      </c>
      <c r="F26" t="s">
        <v>49</v>
      </c>
      <c r="G26" t="s">
        <v>50</v>
      </c>
      <c r="H26" s="4">
        <v>89.303904923599319</v>
      </c>
    </row>
    <row r="27" spans="1:8" x14ac:dyDescent="0.35">
      <c r="A27">
        <v>25</v>
      </c>
      <c r="B27">
        <v>2018</v>
      </c>
      <c r="C27">
        <v>1</v>
      </c>
      <c r="D27" t="s">
        <v>8</v>
      </c>
      <c r="E27" t="s">
        <v>9</v>
      </c>
      <c r="F27" t="s">
        <v>49</v>
      </c>
      <c r="G27" t="s">
        <v>50</v>
      </c>
      <c r="H27" s="4">
        <v>85.027726432532347</v>
      </c>
    </row>
    <row r="28" spans="1:8" x14ac:dyDescent="0.35">
      <c r="A28">
        <v>26</v>
      </c>
      <c r="B28">
        <v>2018</v>
      </c>
      <c r="C28">
        <v>2</v>
      </c>
      <c r="D28" t="s">
        <v>8</v>
      </c>
      <c r="E28" t="s">
        <v>9</v>
      </c>
      <c r="F28" t="s">
        <v>49</v>
      </c>
      <c r="G28" t="s">
        <v>50</v>
      </c>
      <c r="H28" s="4">
        <v>80.769230769230774</v>
      </c>
    </row>
    <row r="29" spans="1:8" x14ac:dyDescent="0.35">
      <c r="A29">
        <v>27</v>
      </c>
      <c r="B29">
        <v>2018</v>
      </c>
      <c r="C29">
        <v>3</v>
      </c>
      <c r="D29" t="s">
        <v>8</v>
      </c>
      <c r="E29" t="s">
        <v>9</v>
      </c>
      <c r="F29" t="s">
        <v>49</v>
      </c>
      <c r="G29" t="s">
        <v>50</v>
      </c>
      <c r="H29" s="4">
        <v>78.703703703703709</v>
      </c>
    </row>
    <row r="30" spans="1:8" x14ac:dyDescent="0.35">
      <c r="A30">
        <v>28</v>
      </c>
      <c r="B30">
        <v>2018</v>
      </c>
      <c r="C30">
        <v>4</v>
      </c>
      <c r="D30" t="s">
        <v>8</v>
      </c>
      <c r="E30" t="s">
        <v>9</v>
      </c>
      <c r="F30" t="s">
        <v>49</v>
      </c>
      <c r="G30" t="s">
        <v>50</v>
      </c>
      <c r="H30" s="4">
        <v>80.060422960725077</v>
      </c>
    </row>
    <row r="31" spans="1:8" x14ac:dyDescent="0.35">
      <c r="A31">
        <v>29</v>
      </c>
      <c r="B31">
        <v>2019</v>
      </c>
      <c r="C31">
        <v>1</v>
      </c>
      <c r="D31" t="s">
        <v>8</v>
      </c>
      <c r="E31" t="s">
        <v>9</v>
      </c>
      <c r="F31" t="s">
        <v>49</v>
      </c>
      <c r="G31" t="s">
        <v>50</v>
      </c>
      <c r="H31" s="4">
        <v>78.13559322033899</v>
      </c>
    </row>
    <row r="32" spans="1:8" x14ac:dyDescent="0.35">
      <c r="A32">
        <v>30</v>
      </c>
      <c r="B32">
        <v>2019</v>
      </c>
      <c r="C32">
        <v>2</v>
      </c>
      <c r="D32" t="s">
        <v>8</v>
      </c>
      <c r="E32" t="s">
        <v>9</v>
      </c>
      <c r="F32" t="s">
        <v>49</v>
      </c>
      <c r="G32" t="s">
        <v>50</v>
      </c>
      <c r="H32" s="4">
        <v>73.668188736681884</v>
      </c>
    </row>
    <row r="33" spans="1:14" x14ac:dyDescent="0.35">
      <c r="A33">
        <v>31</v>
      </c>
      <c r="B33">
        <v>2019</v>
      </c>
      <c r="C33">
        <v>3</v>
      </c>
      <c r="D33" t="s">
        <v>8</v>
      </c>
      <c r="E33" t="s">
        <v>9</v>
      </c>
      <c r="F33" t="s">
        <v>49</v>
      </c>
      <c r="G33" t="s">
        <v>50</v>
      </c>
      <c r="H33" s="4">
        <v>78.236130867709818</v>
      </c>
    </row>
    <row r="34" spans="1:14" x14ac:dyDescent="0.35">
      <c r="A34">
        <v>32</v>
      </c>
      <c r="B34">
        <v>2019</v>
      </c>
      <c r="C34">
        <v>4</v>
      </c>
      <c r="D34" t="s">
        <v>8</v>
      </c>
      <c r="E34" t="s">
        <v>9</v>
      </c>
      <c r="F34" t="s">
        <v>49</v>
      </c>
      <c r="G34" t="s">
        <v>50</v>
      </c>
      <c r="H34" s="4">
        <v>80.277349768875197</v>
      </c>
    </row>
    <row r="35" spans="1:14" x14ac:dyDescent="0.35">
      <c r="A35">
        <v>33</v>
      </c>
      <c r="B35">
        <v>2021</v>
      </c>
      <c r="C35">
        <v>1</v>
      </c>
      <c r="D35" t="s">
        <v>8</v>
      </c>
      <c r="E35" t="s">
        <v>9</v>
      </c>
      <c r="F35" t="s">
        <v>49</v>
      </c>
      <c r="G35" t="s">
        <v>50</v>
      </c>
      <c r="H35" s="4">
        <v>82.736156351791536</v>
      </c>
    </row>
    <row r="36" spans="1:14" x14ac:dyDescent="0.35">
      <c r="A36">
        <v>34</v>
      </c>
      <c r="B36">
        <v>2021</v>
      </c>
      <c r="C36">
        <v>2</v>
      </c>
      <c r="D36" t="s">
        <v>8</v>
      </c>
      <c r="E36" t="s">
        <v>9</v>
      </c>
      <c r="F36" t="s">
        <v>49</v>
      </c>
      <c r="G36" t="s">
        <v>50</v>
      </c>
      <c r="H36" s="4">
        <v>85.348506401137982</v>
      </c>
    </row>
    <row r="37" spans="1:14" x14ac:dyDescent="0.35">
      <c r="A37">
        <v>35</v>
      </c>
      <c r="B37">
        <v>2021</v>
      </c>
      <c r="C37">
        <v>3</v>
      </c>
      <c r="D37" t="s">
        <v>8</v>
      </c>
      <c r="E37" t="s">
        <v>9</v>
      </c>
      <c r="F37" t="s">
        <v>49</v>
      </c>
      <c r="G37" t="s">
        <v>50</v>
      </c>
      <c r="H37" s="4">
        <v>85.126162018592296</v>
      </c>
    </row>
    <row r="38" spans="1:14" x14ac:dyDescent="0.35">
      <c r="A38">
        <v>36</v>
      </c>
      <c r="B38">
        <v>2021</v>
      </c>
      <c r="C38">
        <v>4</v>
      </c>
      <c r="D38" t="s">
        <v>8</v>
      </c>
      <c r="E38" t="s">
        <v>9</v>
      </c>
      <c r="F38" t="s">
        <v>49</v>
      </c>
      <c r="G38" t="s">
        <v>50</v>
      </c>
      <c r="H38" s="4">
        <v>82.871536523929464</v>
      </c>
    </row>
    <row r="41" spans="1:14" x14ac:dyDescent="0.35">
      <c r="A41" t="s">
        <v>51</v>
      </c>
    </row>
    <row r="42" spans="1:14" x14ac:dyDescent="0.3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2" t="s">
        <v>7</v>
      </c>
      <c r="I42" s="1" t="s">
        <v>13</v>
      </c>
      <c r="J42" s="1" t="s">
        <v>14</v>
      </c>
      <c r="K42" s="1" t="s">
        <v>15</v>
      </c>
      <c r="M42" s="1" t="s">
        <v>16</v>
      </c>
      <c r="N42" s="4">
        <f>AVERAGE(K43:K78)</f>
        <v>10.348304067171902</v>
      </c>
    </row>
    <row r="43" spans="1:14" x14ac:dyDescent="0.35">
      <c r="A43">
        <v>1</v>
      </c>
      <c r="B43">
        <v>2012</v>
      </c>
      <c r="C43">
        <v>1</v>
      </c>
      <c r="D43" t="s">
        <v>8</v>
      </c>
      <c r="E43" t="s">
        <v>9</v>
      </c>
      <c r="F43" t="s">
        <v>49</v>
      </c>
      <c r="G43" t="s">
        <v>50</v>
      </c>
      <c r="H43" s="4">
        <v>94.642857142857139</v>
      </c>
      <c r="I43" s="4">
        <f t="shared" ref="I43:I78" si="0">$I$81+$I$82*A43</f>
        <v>96.228433397925045</v>
      </c>
      <c r="J43" s="4">
        <f>H43-I43</f>
        <v>-1.585576255067906</v>
      </c>
      <c r="K43" s="4">
        <f>J43*J43</f>
        <v>2.5140520606351653</v>
      </c>
    </row>
    <row r="44" spans="1:14" x14ac:dyDescent="0.35">
      <c r="A44">
        <v>2</v>
      </c>
      <c r="B44">
        <v>2012</v>
      </c>
      <c r="C44">
        <v>2</v>
      </c>
      <c r="D44" t="s">
        <v>8</v>
      </c>
      <c r="E44" t="s">
        <v>9</v>
      </c>
      <c r="F44" t="s">
        <v>49</v>
      </c>
      <c r="G44" t="s">
        <v>50</v>
      </c>
      <c r="H44" s="4">
        <v>92.025518341307816</v>
      </c>
      <c r="I44" s="4">
        <f t="shared" si="0"/>
        <v>95.749562588472358</v>
      </c>
      <c r="J44" s="4">
        <f t="shared" ref="J44:J78" si="1">H44-I44</f>
        <v>-3.7240442471645423</v>
      </c>
      <c r="K44" s="4">
        <f t="shared" ref="K44:K78" si="2">J44*J44</f>
        <v>13.868505554839322</v>
      </c>
    </row>
    <row r="45" spans="1:14" x14ac:dyDescent="0.35">
      <c r="A45">
        <v>3</v>
      </c>
      <c r="B45">
        <v>2012</v>
      </c>
      <c r="C45">
        <v>3</v>
      </c>
      <c r="D45" t="s">
        <v>8</v>
      </c>
      <c r="E45" t="s">
        <v>9</v>
      </c>
      <c r="F45" t="s">
        <v>49</v>
      </c>
      <c r="G45" t="s">
        <v>50</v>
      </c>
      <c r="H45" s="4">
        <v>90.085470085470092</v>
      </c>
      <c r="I45" s="4">
        <f t="shared" si="0"/>
        <v>95.270691779019671</v>
      </c>
      <c r="J45" s="4">
        <f t="shared" si="1"/>
        <v>-5.185221693549579</v>
      </c>
      <c r="K45" s="4">
        <f t="shared" si="2"/>
        <v>26.886524011257162</v>
      </c>
    </row>
    <row r="46" spans="1:14" x14ac:dyDescent="0.35">
      <c r="A46">
        <v>4</v>
      </c>
      <c r="B46">
        <v>2012</v>
      </c>
      <c r="C46">
        <v>4</v>
      </c>
      <c r="D46" t="s">
        <v>8</v>
      </c>
      <c r="E46" t="s">
        <v>9</v>
      </c>
      <c r="F46" t="s">
        <v>49</v>
      </c>
      <c r="G46" t="s">
        <v>50</v>
      </c>
      <c r="H46" s="4">
        <v>95.595432300163125</v>
      </c>
      <c r="I46" s="4">
        <f t="shared" si="0"/>
        <v>94.791820969566999</v>
      </c>
      <c r="J46" s="4">
        <f t="shared" si="1"/>
        <v>0.80361133059612655</v>
      </c>
      <c r="K46" s="4">
        <f t="shared" si="2"/>
        <v>0.64579117066247704</v>
      </c>
    </row>
    <row r="47" spans="1:14" x14ac:dyDescent="0.35">
      <c r="A47">
        <v>5</v>
      </c>
      <c r="B47">
        <v>2013</v>
      </c>
      <c r="C47">
        <v>1</v>
      </c>
      <c r="D47" t="s">
        <v>8</v>
      </c>
      <c r="E47" t="s">
        <v>9</v>
      </c>
      <c r="F47" t="s">
        <v>49</v>
      </c>
      <c r="G47" t="s">
        <v>50</v>
      </c>
      <c r="H47" s="4">
        <v>94.708029197080293</v>
      </c>
      <c r="I47" s="4">
        <f t="shared" si="0"/>
        <v>94.312950160114312</v>
      </c>
      <c r="J47" s="4">
        <f t="shared" si="1"/>
        <v>0.39507903696598135</v>
      </c>
      <c r="K47" s="4">
        <f t="shared" si="2"/>
        <v>0.15608744544996725</v>
      </c>
    </row>
    <row r="48" spans="1:14" x14ac:dyDescent="0.35">
      <c r="A48">
        <v>6</v>
      </c>
      <c r="B48">
        <v>2013</v>
      </c>
      <c r="C48">
        <v>2</v>
      </c>
      <c r="D48" t="s">
        <v>8</v>
      </c>
      <c r="E48" t="s">
        <v>9</v>
      </c>
      <c r="F48" t="s">
        <v>49</v>
      </c>
      <c r="G48" t="s">
        <v>50</v>
      </c>
      <c r="H48" s="4">
        <v>94.21641791044776</v>
      </c>
      <c r="I48" s="4">
        <f t="shared" si="0"/>
        <v>93.834079350661625</v>
      </c>
      <c r="J48" s="4">
        <f t="shared" si="1"/>
        <v>0.38233855978613462</v>
      </c>
      <c r="K48" s="4">
        <f t="shared" si="2"/>
        <v>0.14618277429933563</v>
      </c>
    </row>
    <row r="49" spans="1:11" x14ac:dyDescent="0.35">
      <c r="A49">
        <v>7</v>
      </c>
      <c r="B49">
        <v>2013</v>
      </c>
      <c r="C49">
        <v>3</v>
      </c>
      <c r="D49" t="s">
        <v>8</v>
      </c>
      <c r="E49" t="s">
        <v>9</v>
      </c>
      <c r="F49" t="s">
        <v>49</v>
      </c>
      <c r="G49" t="s">
        <v>50</v>
      </c>
      <c r="H49" s="4">
        <v>95.585738539898131</v>
      </c>
      <c r="I49" s="4">
        <f t="shared" si="0"/>
        <v>93.355208541208938</v>
      </c>
      <c r="J49" s="4">
        <f t="shared" si="1"/>
        <v>2.2305299986891924</v>
      </c>
      <c r="K49" s="4">
        <f t="shared" si="2"/>
        <v>4.9752640750524089</v>
      </c>
    </row>
    <row r="50" spans="1:11" x14ac:dyDescent="0.35">
      <c r="A50">
        <v>8</v>
      </c>
      <c r="B50">
        <v>2013</v>
      </c>
      <c r="C50">
        <v>4</v>
      </c>
      <c r="D50" t="s">
        <v>8</v>
      </c>
      <c r="E50" t="s">
        <v>9</v>
      </c>
      <c r="F50" t="s">
        <v>49</v>
      </c>
      <c r="G50" t="s">
        <v>50</v>
      </c>
      <c r="H50" s="4">
        <v>94.38943894389439</v>
      </c>
      <c r="I50" s="4">
        <f t="shared" si="0"/>
        <v>92.876337731756252</v>
      </c>
      <c r="J50" s="4">
        <f t="shared" si="1"/>
        <v>1.5131012121381389</v>
      </c>
      <c r="K50" s="4">
        <f t="shared" si="2"/>
        <v>2.2894752781739052</v>
      </c>
    </row>
    <row r="51" spans="1:11" x14ac:dyDescent="0.35">
      <c r="A51">
        <v>9</v>
      </c>
      <c r="B51">
        <v>2014</v>
      </c>
      <c r="C51">
        <v>1</v>
      </c>
      <c r="D51" t="s">
        <v>8</v>
      </c>
      <c r="E51" t="s">
        <v>9</v>
      </c>
      <c r="F51" t="s">
        <v>49</v>
      </c>
      <c r="G51" t="s">
        <v>50</v>
      </c>
      <c r="H51" s="4">
        <v>90.733590733590731</v>
      </c>
      <c r="I51" s="4">
        <f t="shared" si="0"/>
        <v>92.397466922303565</v>
      </c>
      <c r="J51" s="4">
        <f t="shared" si="1"/>
        <v>-1.6638761887128339</v>
      </c>
      <c r="K51" s="4">
        <f t="shared" si="2"/>
        <v>2.768483971365546</v>
      </c>
    </row>
    <row r="52" spans="1:11" x14ac:dyDescent="0.35">
      <c r="A52">
        <v>10</v>
      </c>
      <c r="B52">
        <v>2014</v>
      </c>
      <c r="C52">
        <v>2</v>
      </c>
      <c r="D52" t="s">
        <v>8</v>
      </c>
      <c r="E52" t="s">
        <v>9</v>
      </c>
      <c r="F52" t="s">
        <v>49</v>
      </c>
      <c r="G52" t="s">
        <v>50</v>
      </c>
      <c r="H52" s="4">
        <v>92.266187050359719</v>
      </c>
      <c r="I52" s="4">
        <f t="shared" si="0"/>
        <v>91.918596112850878</v>
      </c>
      <c r="J52" s="4">
        <f t="shared" si="1"/>
        <v>0.34759093750884063</v>
      </c>
      <c r="K52" s="4">
        <f t="shared" si="2"/>
        <v>0.12081945983827475</v>
      </c>
    </row>
    <row r="53" spans="1:11" x14ac:dyDescent="0.35">
      <c r="A53">
        <v>11</v>
      </c>
      <c r="B53">
        <v>2014</v>
      </c>
      <c r="C53">
        <v>3</v>
      </c>
      <c r="D53" t="s">
        <v>8</v>
      </c>
      <c r="E53" t="s">
        <v>9</v>
      </c>
      <c r="F53" t="s">
        <v>49</v>
      </c>
      <c r="G53" t="s">
        <v>50</v>
      </c>
      <c r="H53" s="4">
        <v>94.026974951830439</v>
      </c>
      <c r="I53" s="4">
        <f t="shared" si="0"/>
        <v>91.439725303398205</v>
      </c>
      <c r="J53" s="4">
        <f t="shared" si="1"/>
        <v>2.587249648432234</v>
      </c>
      <c r="K53" s="4">
        <f t="shared" si="2"/>
        <v>6.6938607433127189</v>
      </c>
    </row>
    <row r="54" spans="1:11" x14ac:dyDescent="0.35">
      <c r="A54">
        <v>12</v>
      </c>
      <c r="B54">
        <v>2014</v>
      </c>
      <c r="C54">
        <v>4</v>
      </c>
      <c r="D54" t="s">
        <v>8</v>
      </c>
      <c r="E54" t="s">
        <v>9</v>
      </c>
      <c r="F54" t="s">
        <v>49</v>
      </c>
      <c r="G54" t="s">
        <v>50</v>
      </c>
      <c r="H54" s="4">
        <v>93.849206349206355</v>
      </c>
      <c r="I54" s="4">
        <f t="shared" si="0"/>
        <v>90.960854493945519</v>
      </c>
      <c r="J54" s="4">
        <f t="shared" si="1"/>
        <v>2.8883518552608365</v>
      </c>
      <c r="K54" s="4">
        <f t="shared" si="2"/>
        <v>8.3425764397887168</v>
      </c>
    </row>
    <row r="55" spans="1:11" x14ac:dyDescent="0.35">
      <c r="A55">
        <v>13</v>
      </c>
      <c r="B55">
        <v>2015</v>
      </c>
      <c r="C55">
        <v>1</v>
      </c>
      <c r="D55" t="s">
        <v>8</v>
      </c>
      <c r="E55" t="s">
        <v>9</v>
      </c>
      <c r="F55" t="s">
        <v>49</v>
      </c>
      <c r="G55" t="s">
        <v>50</v>
      </c>
      <c r="H55" s="4">
        <v>92.427184466019412</v>
      </c>
      <c r="I55" s="4">
        <f t="shared" si="0"/>
        <v>90.481983684492832</v>
      </c>
      <c r="J55" s="4">
        <f t="shared" si="1"/>
        <v>1.9452007815265802</v>
      </c>
      <c r="K55" s="4">
        <f t="shared" si="2"/>
        <v>3.783806080451618</v>
      </c>
    </row>
    <row r="56" spans="1:11" x14ac:dyDescent="0.35">
      <c r="A56">
        <v>14</v>
      </c>
      <c r="B56">
        <v>2015</v>
      </c>
      <c r="C56">
        <v>2</v>
      </c>
      <c r="D56" t="s">
        <v>8</v>
      </c>
      <c r="E56" t="s">
        <v>9</v>
      </c>
      <c r="F56" t="s">
        <v>49</v>
      </c>
      <c r="G56" t="s">
        <v>50</v>
      </c>
      <c r="H56" s="4">
        <v>92.222222222222229</v>
      </c>
      <c r="I56" s="4">
        <f t="shared" si="0"/>
        <v>90.003112875040145</v>
      </c>
      <c r="J56" s="4">
        <f t="shared" si="1"/>
        <v>2.2191093471820835</v>
      </c>
      <c r="K56" s="4">
        <f t="shared" si="2"/>
        <v>4.9244462947508927</v>
      </c>
    </row>
    <row r="57" spans="1:11" x14ac:dyDescent="0.35">
      <c r="A57">
        <v>15</v>
      </c>
      <c r="B57">
        <v>2015</v>
      </c>
      <c r="C57">
        <v>3</v>
      </c>
      <c r="D57" t="s">
        <v>8</v>
      </c>
      <c r="E57" t="s">
        <v>9</v>
      </c>
      <c r="F57" t="s">
        <v>49</v>
      </c>
      <c r="G57" t="s">
        <v>50</v>
      </c>
      <c r="H57" s="4">
        <v>92.723880597014926</v>
      </c>
      <c r="I57" s="4">
        <f t="shared" si="0"/>
        <v>89.524242065587458</v>
      </c>
      <c r="J57" s="4">
        <f t="shared" si="1"/>
        <v>3.1996385314274676</v>
      </c>
      <c r="K57" s="4">
        <f t="shared" si="2"/>
        <v>10.237686731795321</v>
      </c>
    </row>
    <row r="58" spans="1:11" x14ac:dyDescent="0.35">
      <c r="A58">
        <v>16</v>
      </c>
      <c r="B58">
        <v>2015</v>
      </c>
      <c r="C58">
        <v>4</v>
      </c>
      <c r="D58" t="s">
        <v>8</v>
      </c>
      <c r="E58" t="s">
        <v>9</v>
      </c>
      <c r="F58" t="s">
        <v>49</v>
      </c>
      <c r="G58" t="s">
        <v>50</v>
      </c>
      <c r="H58" s="4">
        <v>91.064638783269956</v>
      </c>
      <c r="I58" s="4">
        <f t="shared" si="0"/>
        <v>89.045371256134771</v>
      </c>
      <c r="J58" s="4">
        <f t="shared" si="1"/>
        <v>2.0192675271351845</v>
      </c>
      <c r="K58" s="4">
        <f t="shared" si="2"/>
        <v>4.0774413461426429</v>
      </c>
    </row>
    <row r="59" spans="1:11" x14ac:dyDescent="0.35">
      <c r="A59">
        <v>17</v>
      </c>
      <c r="B59">
        <v>2016</v>
      </c>
      <c r="C59">
        <v>1</v>
      </c>
      <c r="D59" t="s">
        <v>8</v>
      </c>
      <c r="E59" t="s">
        <v>9</v>
      </c>
      <c r="F59" t="s">
        <v>49</v>
      </c>
      <c r="G59" t="s">
        <v>50</v>
      </c>
      <c r="H59" s="4">
        <v>90.427698574338095</v>
      </c>
      <c r="I59" s="4">
        <f t="shared" si="0"/>
        <v>88.566500446682085</v>
      </c>
      <c r="J59" s="4">
        <f t="shared" si="1"/>
        <v>1.8611981276560101</v>
      </c>
      <c r="K59" s="4">
        <f t="shared" si="2"/>
        <v>3.4640584703902375</v>
      </c>
    </row>
    <row r="60" spans="1:11" x14ac:dyDescent="0.35">
      <c r="A60">
        <v>18</v>
      </c>
      <c r="B60">
        <v>2016</v>
      </c>
      <c r="C60">
        <v>2</v>
      </c>
      <c r="D60" t="s">
        <v>8</v>
      </c>
      <c r="E60" t="s">
        <v>9</v>
      </c>
      <c r="F60" t="s">
        <v>49</v>
      </c>
      <c r="G60" t="s">
        <v>50</v>
      </c>
      <c r="H60" s="4">
        <v>91.452991452991455</v>
      </c>
      <c r="I60" s="4">
        <f t="shared" si="0"/>
        <v>88.087629637229412</v>
      </c>
      <c r="J60" s="4">
        <f t="shared" si="1"/>
        <v>3.3653618157620429</v>
      </c>
      <c r="K60" s="4">
        <f t="shared" si="2"/>
        <v>11.325660150989194</v>
      </c>
    </row>
    <row r="61" spans="1:11" x14ac:dyDescent="0.35">
      <c r="A61">
        <v>19</v>
      </c>
      <c r="B61">
        <v>2016</v>
      </c>
      <c r="C61">
        <v>3</v>
      </c>
      <c r="D61" t="s">
        <v>8</v>
      </c>
      <c r="E61" t="s">
        <v>9</v>
      </c>
      <c r="F61" t="s">
        <v>49</v>
      </c>
      <c r="G61" t="s">
        <v>50</v>
      </c>
      <c r="H61" s="4">
        <v>87.449392712550605</v>
      </c>
      <c r="I61" s="4">
        <f t="shared" si="0"/>
        <v>87.608758827776725</v>
      </c>
      <c r="J61" s="4">
        <f t="shared" si="1"/>
        <v>-0.15936611522612054</v>
      </c>
      <c r="K61" s="4">
        <f t="shared" si="2"/>
        <v>2.539755868226513E-2</v>
      </c>
    </row>
    <row r="62" spans="1:11" x14ac:dyDescent="0.35">
      <c r="A62">
        <v>20</v>
      </c>
      <c r="B62">
        <v>2016</v>
      </c>
      <c r="C62">
        <v>4</v>
      </c>
      <c r="D62" t="s">
        <v>8</v>
      </c>
      <c r="E62" t="s">
        <v>9</v>
      </c>
      <c r="F62" t="s">
        <v>49</v>
      </c>
      <c r="G62" t="s">
        <v>50</v>
      </c>
      <c r="H62" s="4">
        <v>82.592592592592595</v>
      </c>
      <c r="I62" s="4">
        <f t="shared" si="0"/>
        <v>87.129888018324039</v>
      </c>
      <c r="J62" s="4">
        <f t="shared" si="1"/>
        <v>-4.5372954257314433</v>
      </c>
      <c r="K62" s="4">
        <f t="shared" si="2"/>
        <v>20.587049780363479</v>
      </c>
    </row>
    <row r="63" spans="1:11" x14ac:dyDescent="0.35">
      <c r="A63">
        <v>21</v>
      </c>
      <c r="B63">
        <v>2017</v>
      </c>
      <c r="C63">
        <v>1</v>
      </c>
      <c r="D63" t="s">
        <v>8</v>
      </c>
      <c r="E63" t="s">
        <v>9</v>
      </c>
      <c r="F63" t="s">
        <v>49</v>
      </c>
      <c r="G63" t="s">
        <v>50</v>
      </c>
      <c r="H63" s="4">
        <v>87.620889748549331</v>
      </c>
      <c r="I63" s="4">
        <f t="shared" si="0"/>
        <v>86.651017208871352</v>
      </c>
      <c r="J63" s="4">
        <f t="shared" si="1"/>
        <v>0.96987253967797926</v>
      </c>
      <c r="K63" s="4">
        <f t="shared" si="2"/>
        <v>0.94065274322141346</v>
      </c>
    </row>
    <row r="64" spans="1:11" x14ac:dyDescent="0.35">
      <c r="A64">
        <v>22</v>
      </c>
      <c r="B64">
        <v>2017</v>
      </c>
      <c r="C64">
        <v>2</v>
      </c>
      <c r="D64" t="s">
        <v>8</v>
      </c>
      <c r="E64" t="s">
        <v>9</v>
      </c>
      <c r="F64" t="s">
        <v>49</v>
      </c>
      <c r="G64" t="s">
        <v>50</v>
      </c>
      <c r="H64" s="4">
        <v>85.621970920840056</v>
      </c>
      <c r="I64" s="4">
        <f t="shared" si="0"/>
        <v>86.172146399418665</v>
      </c>
      <c r="J64" s="4">
        <f t="shared" si="1"/>
        <v>-0.55017547857860905</v>
      </c>
      <c r="K64" s="4">
        <f t="shared" si="2"/>
        <v>0.30269305722920148</v>
      </c>
    </row>
    <row r="65" spans="1:11" x14ac:dyDescent="0.35">
      <c r="A65">
        <v>23</v>
      </c>
      <c r="B65">
        <v>2017</v>
      </c>
      <c r="C65">
        <v>3</v>
      </c>
      <c r="D65" t="s">
        <v>8</v>
      </c>
      <c r="E65" t="s">
        <v>9</v>
      </c>
      <c r="F65" t="s">
        <v>49</v>
      </c>
      <c r="G65" t="s">
        <v>50</v>
      </c>
      <c r="H65" s="4">
        <v>86.542056074766364</v>
      </c>
      <c r="I65" s="4">
        <f t="shared" si="0"/>
        <v>85.693275589965978</v>
      </c>
      <c r="J65" s="4">
        <f t="shared" si="1"/>
        <v>0.84878048480038615</v>
      </c>
      <c r="K65" s="4">
        <f t="shared" si="2"/>
        <v>0.72042831137797858</v>
      </c>
    </row>
    <row r="66" spans="1:11" x14ac:dyDescent="0.35">
      <c r="A66">
        <v>24</v>
      </c>
      <c r="B66">
        <v>2017</v>
      </c>
      <c r="C66">
        <v>4</v>
      </c>
      <c r="D66" t="s">
        <v>8</v>
      </c>
      <c r="E66" t="s">
        <v>9</v>
      </c>
      <c r="F66" t="s">
        <v>49</v>
      </c>
      <c r="G66" t="s">
        <v>50</v>
      </c>
      <c r="H66" s="4">
        <v>89.303904923599319</v>
      </c>
      <c r="I66" s="4">
        <f t="shared" si="0"/>
        <v>85.214404780513291</v>
      </c>
      <c r="J66" s="4">
        <f t="shared" si="1"/>
        <v>4.0895001430860276</v>
      </c>
      <c r="K66" s="4">
        <f t="shared" si="2"/>
        <v>16.724011420300641</v>
      </c>
    </row>
    <row r="67" spans="1:11" x14ac:dyDescent="0.35">
      <c r="A67">
        <v>25</v>
      </c>
      <c r="B67">
        <v>2018</v>
      </c>
      <c r="C67">
        <v>1</v>
      </c>
      <c r="D67" t="s">
        <v>8</v>
      </c>
      <c r="E67" t="s">
        <v>9</v>
      </c>
      <c r="F67" t="s">
        <v>49</v>
      </c>
      <c r="G67" t="s">
        <v>50</v>
      </c>
      <c r="H67" s="4">
        <v>85.027726432532347</v>
      </c>
      <c r="I67" s="4">
        <f t="shared" si="0"/>
        <v>84.735533971060619</v>
      </c>
      <c r="J67" s="4">
        <f t="shared" si="1"/>
        <v>0.29219246147172839</v>
      </c>
      <c r="K67" s="4">
        <f t="shared" si="2"/>
        <v>8.5376434540907487E-2</v>
      </c>
    </row>
    <row r="68" spans="1:11" x14ac:dyDescent="0.35">
      <c r="A68">
        <v>26</v>
      </c>
      <c r="B68">
        <v>2018</v>
      </c>
      <c r="C68">
        <v>2</v>
      </c>
      <c r="D68" t="s">
        <v>8</v>
      </c>
      <c r="E68" t="s">
        <v>9</v>
      </c>
      <c r="F68" t="s">
        <v>49</v>
      </c>
      <c r="G68" t="s">
        <v>50</v>
      </c>
      <c r="H68" s="4">
        <v>80.769230769230774</v>
      </c>
      <c r="I68" s="4">
        <f t="shared" si="0"/>
        <v>84.256663161607932</v>
      </c>
      <c r="J68" s="4">
        <f t="shared" si="1"/>
        <v>-3.4874323923771584</v>
      </c>
      <c r="K68" s="4">
        <f t="shared" si="2"/>
        <v>12.162184691401471</v>
      </c>
    </row>
    <row r="69" spans="1:11" x14ac:dyDescent="0.35">
      <c r="A69">
        <v>27</v>
      </c>
      <c r="B69">
        <v>2018</v>
      </c>
      <c r="C69">
        <v>3</v>
      </c>
      <c r="D69" t="s">
        <v>8</v>
      </c>
      <c r="E69" t="s">
        <v>9</v>
      </c>
      <c r="F69" t="s">
        <v>49</v>
      </c>
      <c r="G69" t="s">
        <v>50</v>
      </c>
      <c r="H69" s="4">
        <v>78.703703703703709</v>
      </c>
      <c r="I69" s="4">
        <f t="shared" si="0"/>
        <v>83.777792352155245</v>
      </c>
      <c r="J69" s="4">
        <f t="shared" si="1"/>
        <v>-5.0740886484515357</v>
      </c>
      <c r="K69" s="4">
        <f t="shared" si="2"/>
        <v>25.746375612344732</v>
      </c>
    </row>
    <row r="70" spans="1:11" x14ac:dyDescent="0.35">
      <c r="A70">
        <v>28</v>
      </c>
      <c r="B70">
        <v>2018</v>
      </c>
      <c r="C70">
        <v>4</v>
      </c>
      <c r="D70" t="s">
        <v>8</v>
      </c>
      <c r="E70" t="s">
        <v>9</v>
      </c>
      <c r="F70" t="s">
        <v>49</v>
      </c>
      <c r="G70" t="s">
        <v>50</v>
      </c>
      <c r="H70" s="4">
        <v>80.060422960725077</v>
      </c>
      <c r="I70" s="4">
        <f t="shared" si="0"/>
        <v>83.298921542702558</v>
      </c>
      <c r="J70" s="4">
        <f t="shared" si="1"/>
        <v>-3.2384985819774812</v>
      </c>
      <c r="K70" s="4">
        <f t="shared" si="2"/>
        <v>10.487873065470156</v>
      </c>
    </row>
    <row r="71" spans="1:11" x14ac:dyDescent="0.35">
      <c r="A71">
        <v>29</v>
      </c>
      <c r="B71">
        <v>2019</v>
      </c>
      <c r="C71">
        <v>1</v>
      </c>
      <c r="D71" t="s">
        <v>8</v>
      </c>
      <c r="E71" t="s">
        <v>9</v>
      </c>
      <c r="F71" t="s">
        <v>49</v>
      </c>
      <c r="G71" t="s">
        <v>50</v>
      </c>
      <c r="H71" s="4">
        <v>78.13559322033899</v>
      </c>
      <c r="I71" s="4">
        <f t="shared" si="0"/>
        <v>82.820050733249872</v>
      </c>
      <c r="J71" s="4">
        <f t="shared" si="1"/>
        <v>-4.6844575129108819</v>
      </c>
      <c r="K71" s="4">
        <f t="shared" si="2"/>
        <v>21.944142190267204</v>
      </c>
    </row>
    <row r="72" spans="1:11" x14ac:dyDescent="0.35">
      <c r="A72">
        <v>30</v>
      </c>
      <c r="B72">
        <v>2019</v>
      </c>
      <c r="C72">
        <v>2</v>
      </c>
      <c r="D72" t="s">
        <v>8</v>
      </c>
      <c r="E72" t="s">
        <v>9</v>
      </c>
      <c r="F72" t="s">
        <v>49</v>
      </c>
      <c r="G72" t="s">
        <v>50</v>
      </c>
      <c r="H72" s="4">
        <v>73.668188736681884</v>
      </c>
      <c r="I72" s="4">
        <f t="shared" si="0"/>
        <v>82.341179923797185</v>
      </c>
      <c r="J72" s="4">
        <f t="shared" si="1"/>
        <v>-8.6729911871153007</v>
      </c>
      <c r="K72" s="4">
        <f t="shared" si="2"/>
        <v>75.220776131779672</v>
      </c>
    </row>
    <row r="73" spans="1:11" x14ac:dyDescent="0.35">
      <c r="A73">
        <v>31</v>
      </c>
      <c r="B73">
        <v>2019</v>
      </c>
      <c r="C73">
        <v>3</v>
      </c>
      <c r="D73" t="s">
        <v>8</v>
      </c>
      <c r="E73" t="s">
        <v>9</v>
      </c>
      <c r="F73" t="s">
        <v>49</v>
      </c>
      <c r="G73" t="s">
        <v>50</v>
      </c>
      <c r="H73" s="4">
        <v>78.236130867709818</v>
      </c>
      <c r="I73" s="4">
        <f t="shared" si="0"/>
        <v>81.862309114344498</v>
      </c>
      <c r="J73" s="4">
        <f t="shared" si="1"/>
        <v>-3.6261782466346801</v>
      </c>
      <c r="K73" s="4">
        <f t="shared" si="2"/>
        <v>13.149168676366562</v>
      </c>
    </row>
    <row r="74" spans="1:11" x14ac:dyDescent="0.35">
      <c r="A74">
        <v>32</v>
      </c>
      <c r="B74">
        <v>2019</v>
      </c>
      <c r="C74">
        <v>4</v>
      </c>
      <c r="D74" t="s">
        <v>8</v>
      </c>
      <c r="E74" t="s">
        <v>9</v>
      </c>
      <c r="F74" t="s">
        <v>49</v>
      </c>
      <c r="G74" t="s">
        <v>50</v>
      </c>
      <c r="H74" s="4">
        <v>80.277349768875197</v>
      </c>
      <c r="I74" s="4">
        <f t="shared" si="0"/>
        <v>81.383438304891826</v>
      </c>
      <c r="J74" s="4">
        <f t="shared" si="1"/>
        <v>-1.1060885360166282</v>
      </c>
      <c r="K74" s="4">
        <f t="shared" si="2"/>
        <v>1.2234318495074077</v>
      </c>
    </row>
    <row r="75" spans="1:11" x14ac:dyDescent="0.35">
      <c r="A75">
        <v>33</v>
      </c>
      <c r="B75">
        <v>2021</v>
      </c>
      <c r="C75">
        <v>1</v>
      </c>
      <c r="D75" t="s">
        <v>8</v>
      </c>
      <c r="E75" t="s">
        <v>9</v>
      </c>
      <c r="F75" t="s">
        <v>49</v>
      </c>
      <c r="G75" t="s">
        <v>50</v>
      </c>
      <c r="H75" s="4">
        <v>82.736156351791536</v>
      </c>
      <c r="I75" s="4">
        <f t="shared" si="0"/>
        <v>80.904567495439139</v>
      </c>
      <c r="J75" s="4">
        <f t="shared" si="1"/>
        <v>1.831588856352397</v>
      </c>
      <c r="K75" s="4">
        <f t="shared" si="2"/>
        <v>3.3547177387142817</v>
      </c>
    </row>
    <row r="76" spans="1:11" x14ac:dyDescent="0.35">
      <c r="A76">
        <v>34</v>
      </c>
      <c r="B76">
        <v>2021</v>
      </c>
      <c r="C76">
        <v>2</v>
      </c>
      <c r="D76" t="s">
        <v>8</v>
      </c>
      <c r="E76" t="s">
        <v>9</v>
      </c>
      <c r="F76" t="s">
        <v>49</v>
      </c>
      <c r="G76" t="s">
        <v>50</v>
      </c>
      <c r="H76" s="4">
        <v>85.348506401137982</v>
      </c>
      <c r="I76" s="4">
        <f t="shared" si="0"/>
        <v>80.425696685986452</v>
      </c>
      <c r="J76" s="4">
        <f t="shared" si="1"/>
        <v>4.92280971515153</v>
      </c>
      <c r="K76" s="4">
        <f t="shared" si="2"/>
        <v>24.234055491590286</v>
      </c>
    </row>
    <row r="77" spans="1:11" x14ac:dyDescent="0.35">
      <c r="A77">
        <v>35</v>
      </c>
      <c r="B77">
        <v>2021</v>
      </c>
      <c r="C77">
        <v>3</v>
      </c>
      <c r="D77" t="s">
        <v>8</v>
      </c>
      <c r="E77" t="s">
        <v>9</v>
      </c>
      <c r="F77" t="s">
        <v>49</v>
      </c>
      <c r="G77" t="s">
        <v>50</v>
      </c>
      <c r="H77" s="4">
        <v>85.126162018592296</v>
      </c>
      <c r="I77" s="4">
        <f t="shared" si="0"/>
        <v>79.946825876533765</v>
      </c>
      <c r="J77" s="4">
        <f t="shared" si="1"/>
        <v>5.1793361420585313</v>
      </c>
      <c r="K77" s="4">
        <f t="shared" si="2"/>
        <v>26.825522872433751</v>
      </c>
    </row>
    <row r="78" spans="1:11" x14ac:dyDescent="0.35">
      <c r="A78">
        <v>36</v>
      </c>
      <c r="B78">
        <v>2021</v>
      </c>
      <c r="C78">
        <v>4</v>
      </c>
      <c r="D78" t="s">
        <v>8</v>
      </c>
      <c r="E78" t="s">
        <v>9</v>
      </c>
      <c r="F78" t="s">
        <v>49</v>
      </c>
      <c r="G78" t="s">
        <v>50</v>
      </c>
      <c r="H78" s="4">
        <v>82.871536523929464</v>
      </c>
      <c r="I78" s="4">
        <f t="shared" si="0"/>
        <v>79.467955067081078</v>
      </c>
      <c r="J78" s="4">
        <f t="shared" si="1"/>
        <v>3.4035814568483858</v>
      </c>
      <c r="K78" s="4">
        <f t="shared" si="2"/>
        <v>11.584366733402179</v>
      </c>
    </row>
    <row r="79" spans="1:11" ht="15" thickBot="1" x14ac:dyDescent="0.4"/>
    <row r="80" spans="1:11" x14ac:dyDescent="0.35">
      <c r="H80" s="5"/>
      <c r="I80" s="5" t="s">
        <v>17</v>
      </c>
    </row>
    <row r="81" spans="1:18" x14ac:dyDescent="0.35">
      <c r="H81" t="s">
        <v>18</v>
      </c>
      <c r="I81">
        <v>96.707304207377732</v>
      </c>
    </row>
    <row r="82" spans="1:18" ht="15" thickBot="1" x14ac:dyDescent="0.4">
      <c r="H82" s="6" t="s">
        <v>0</v>
      </c>
      <c r="I82" s="6">
        <v>-0.47887080945268473</v>
      </c>
    </row>
    <row r="85" spans="1:18" x14ac:dyDescent="0.35">
      <c r="A85" t="s">
        <v>19</v>
      </c>
    </row>
    <row r="86" spans="1:18" x14ac:dyDescent="0.3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0</v>
      </c>
      <c r="I86" s="1" t="s">
        <v>20</v>
      </c>
      <c r="J86" s="1" t="s">
        <v>21</v>
      </c>
      <c r="K86" s="1" t="s">
        <v>22</v>
      </c>
      <c r="L86" s="2" t="s">
        <v>7</v>
      </c>
      <c r="M86" s="1" t="s">
        <v>13</v>
      </c>
      <c r="N86" s="1" t="s">
        <v>14</v>
      </c>
      <c r="O86" s="1" t="s">
        <v>15</v>
      </c>
      <c r="Q86" s="1" t="s">
        <v>16</v>
      </c>
      <c r="R86" s="4">
        <f>AVERAGE(O87:O122)</f>
        <v>10.157470852236985</v>
      </c>
    </row>
    <row r="87" spans="1:18" x14ac:dyDescent="0.35">
      <c r="A87">
        <v>1</v>
      </c>
      <c r="B87">
        <v>2012</v>
      </c>
      <c r="C87">
        <v>1</v>
      </c>
      <c r="D87" t="s">
        <v>8</v>
      </c>
      <c r="E87" t="s">
        <v>9</v>
      </c>
      <c r="F87" t="s">
        <v>49</v>
      </c>
      <c r="G87" t="s">
        <v>50</v>
      </c>
      <c r="H87">
        <v>1</v>
      </c>
      <c r="I87">
        <v>1</v>
      </c>
      <c r="J87">
        <v>0</v>
      </c>
      <c r="K87">
        <v>0</v>
      </c>
      <c r="L87" s="4">
        <v>94.642857142857139</v>
      </c>
      <c r="M87" s="4">
        <f t="shared" ref="M87:M126" si="3">$I$129+$I$130*H87+$I$131*I87+$I$132*J87+$I$133*K87</f>
        <v>96.208751881825776</v>
      </c>
      <c r="N87" s="4">
        <f>L87-M87</f>
        <v>-1.5658947389686375</v>
      </c>
      <c r="O87" s="4">
        <f>N87*N87</f>
        <v>2.4520263335296573</v>
      </c>
    </row>
    <row r="88" spans="1:18" x14ac:dyDescent="0.35">
      <c r="A88">
        <v>2</v>
      </c>
      <c r="B88">
        <v>2012</v>
      </c>
      <c r="C88">
        <v>2</v>
      </c>
      <c r="D88" t="s">
        <v>8</v>
      </c>
      <c r="E88" t="s">
        <v>9</v>
      </c>
      <c r="F88" t="s">
        <v>49</v>
      </c>
      <c r="G88" t="s">
        <v>50</v>
      </c>
      <c r="H88">
        <v>2</v>
      </c>
      <c r="I88">
        <v>0</v>
      </c>
      <c r="J88">
        <v>1</v>
      </c>
      <c r="K88">
        <v>0</v>
      </c>
      <c r="L88" s="4">
        <v>92.025518341307816</v>
      </c>
      <c r="M88" s="4">
        <f t="shared" si="3"/>
        <v>95.223363874950422</v>
      </c>
      <c r="N88" s="4">
        <f t="shared" ref="N88:N122" si="4">L88-M88</f>
        <v>-3.1978455336426066</v>
      </c>
      <c r="O88" s="4">
        <f t="shared" ref="O88:O122" si="5">N88*N88</f>
        <v>10.226216057037968</v>
      </c>
    </row>
    <row r="89" spans="1:18" x14ac:dyDescent="0.35">
      <c r="A89">
        <v>3</v>
      </c>
      <c r="B89">
        <v>2012</v>
      </c>
      <c r="C89">
        <v>3</v>
      </c>
      <c r="D89" t="s">
        <v>8</v>
      </c>
      <c r="E89" t="s">
        <v>9</v>
      </c>
      <c r="F89" t="s">
        <v>49</v>
      </c>
      <c r="G89" t="s">
        <v>50</v>
      </c>
      <c r="H89">
        <v>3</v>
      </c>
      <c r="I89">
        <v>0</v>
      </c>
      <c r="J89">
        <v>0</v>
      </c>
      <c r="K89">
        <v>1</v>
      </c>
      <c r="L89" s="4">
        <v>90.085470085470092</v>
      </c>
      <c r="M89" s="4">
        <f t="shared" si="3"/>
        <v>95.322061180096725</v>
      </c>
      <c r="N89" s="4">
        <f t="shared" si="4"/>
        <v>-5.2365910946266325</v>
      </c>
      <c r="O89" s="4">
        <f t="shared" si="5"/>
        <v>27.421886292322952</v>
      </c>
    </row>
    <row r="90" spans="1:18" x14ac:dyDescent="0.35">
      <c r="A90">
        <v>4</v>
      </c>
      <c r="B90">
        <v>2012</v>
      </c>
      <c r="C90">
        <v>4</v>
      </c>
      <c r="D90" t="s">
        <v>8</v>
      </c>
      <c r="E90" t="s">
        <v>9</v>
      </c>
      <c r="F90" t="s">
        <v>49</v>
      </c>
      <c r="G90" t="s">
        <v>50</v>
      </c>
      <c r="H90">
        <v>4</v>
      </c>
      <c r="I90">
        <v>0</v>
      </c>
      <c r="J90">
        <v>0</v>
      </c>
      <c r="K90">
        <v>0</v>
      </c>
      <c r="L90" s="4">
        <v>95.595432300163125</v>
      </c>
      <c r="M90" s="4">
        <f t="shared" si="3"/>
        <v>95.491507135065518</v>
      </c>
      <c r="N90" s="4">
        <f t="shared" si="4"/>
        <v>0.10392516509760696</v>
      </c>
      <c r="O90" s="4">
        <f t="shared" si="5"/>
        <v>1.0800439940564864E-2</v>
      </c>
    </row>
    <row r="91" spans="1:18" x14ac:dyDescent="0.35">
      <c r="A91">
        <v>5</v>
      </c>
      <c r="B91">
        <v>2013</v>
      </c>
      <c r="C91">
        <v>1</v>
      </c>
      <c r="D91" t="s">
        <v>8</v>
      </c>
      <c r="E91" t="s">
        <v>9</v>
      </c>
      <c r="F91" t="s">
        <v>49</v>
      </c>
      <c r="G91" t="s">
        <v>50</v>
      </c>
      <c r="H91">
        <v>5</v>
      </c>
      <c r="I91">
        <v>1</v>
      </c>
      <c r="J91">
        <v>0</v>
      </c>
      <c r="K91">
        <v>0</v>
      </c>
      <c r="L91" s="4">
        <v>94.708029197080293</v>
      </c>
      <c r="M91" s="4">
        <f t="shared" si="3"/>
        <v>94.280445185455378</v>
      </c>
      <c r="N91" s="4">
        <f t="shared" si="4"/>
        <v>0.42758401162491566</v>
      </c>
      <c r="O91" s="4">
        <f t="shared" si="5"/>
        <v>0.182828086997256</v>
      </c>
    </row>
    <row r="92" spans="1:18" x14ac:dyDescent="0.35">
      <c r="A92">
        <v>6</v>
      </c>
      <c r="B92">
        <v>2013</v>
      </c>
      <c r="C92">
        <v>2</v>
      </c>
      <c r="D92" t="s">
        <v>8</v>
      </c>
      <c r="E92" t="s">
        <v>9</v>
      </c>
      <c r="F92" t="s">
        <v>49</v>
      </c>
      <c r="G92" t="s">
        <v>50</v>
      </c>
      <c r="H92">
        <v>6</v>
      </c>
      <c r="I92">
        <v>0</v>
      </c>
      <c r="J92">
        <v>1</v>
      </c>
      <c r="K92">
        <v>0</v>
      </c>
      <c r="L92" s="4">
        <v>94.21641791044776</v>
      </c>
      <c r="M92" s="4">
        <f t="shared" si="3"/>
        <v>93.295057178580024</v>
      </c>
      <c r="N92" s="4">
        <f t="shared" si="4"/>
        <v>0.92136073186773615</v>
      </c>
      <c r="O92" s="4">
        <f t="shared" si="5"/>
        <v>0.84890559822785039</v>
      </c>
    </row>
    <row r="93" spans="1:18" x14ac:dyDescent="0.35">
      <c r="A93">
        <v>7</v>
      </c>
      <c r="B93">
        <v>2013</v>
      </c>
      <c r="C93">
        <v>3</v>
      </c>
      <c r="D93" t="s">
        <v>8</v>
      </c>
      <c r="E93" t="s">
        <v>9</v>
      </c>
      <c r="F93" t="s">
        <v>49</v>
      </c>
      <c r="G93" t="s">
        <v>50</v>
      </c>
      <c r="H93">
        <v>7</v>
      </c>
      <c r="I93">
        <v>0</v>
      </c>
      <c r="J93">
        <v>0</v>
      </c>
      <c r="K93">
        <v>1</v>
      </c>
      <c r="L93" s="4">
        <v>95.585738539898131</v>
      </c>
      <c r="M93" s="4">
        <f t="shared" si="3"/>
        <v>93.393754483726326</v>
      </c>
      <c r="N93" s="4">
        <f t="shared" si="4"/>
        <v>2.1919840561718047</v>
      </c>
      <c r="O93" s="4">
        <f t="shared" si="5"/>
        <v>4.8047941025113978</v>
      </c>
    </row>
    <row r="94" spans="1:18" x14ac:dyDescent="0.35">
      <c r="A94">
        <v>8</v>
      </c>
      <c r="B94">
        <v>2013</v>
      </c>
      <c r="C94">
        <v>4</v>
      </c>
      <c r="D94" t="s">
        <v>8</v>
      </c>
      <c r="E94" t="s">
        <v>9</v>
      </c>
      <c r="F94" t="s">
        <v>49</v>
      </c>
      <c r="G94" t="s">
        <v>50</v>
      </c>
      <c r="H94">
        <v>8</v>
      </c>
      <c r="I94">
        <v>0</v>
      </c>
      <c r="J94">
        <v>0</v>
      </c>
      <c r="K94">
        <v>0</v>
      </c>
      <c r="L94" s="4">
        <v>94.38943894389439</v>
      </c>
      <c r="M94" s="4">
        <f t="shared" si="3"/>
        <v>93.563200438695119</v>
      </c>
      <c r="N94" s="4">
        <f t="shared" si="4"/>
        <v>0.82623850519927089</v>
      </c>
      <c r="O94" s="4">
        <f t="shared" si="5"/>
        <v>0.68267006747392556</v>
      </c>
    </row>
    <row r="95" spans="1:18" x14ac:dyDescent="0.35">
      <c r="A95">
        <v>9</v>
      </c>
      <c r="B95">
        <v>2014</v>
      </c>
      <c r="C95">
        <v>1</v>
      </c>
      <c r="D95" t="s">
        <v>8</v>
      </c>
      <c r="E95" t="s">
        <v>9</v>
      </c>
      <c r="F95" t="s">
        <v>49</v>
      </c>
      <c r="G95" t="s">
        <v>50</v>
      </c>
      <c r="H95">
        <v>9</v>
      </c>
      <c r="I95">
        <v>1</v>
      </c>
      <c r="J95">
        <v>0</v>
      </c>
      <c r="K95">
        <v>0</v>
      </c>
      <c r="L95" s="4">
        <v>90.733590733590731</v>
      </c>
      <c r="M95" s="4">
        <f t="shared" si="3"/>
        <v>92.352138489084993</v>
      </c>
      <c r="N95" s="4">
        <f t="shared" si="4"/>
        <v>-1.6185477554942622</v>
      </c>
      <c r="O95" s="4">
        <f t="shared" si="5"/>
        <v>2.619696836815514</v>
      </c>
    </row>
    <row r="96" spans="1:18" x14ac:dyDescent="0.35">
      <c r="A96">
        <v>10</v>
      </c>
      <c r="B96">
        <v>2014</v>
      </c>
      <c r="C96">
        <v>2</v>
      </c>
      <c r="D96" t="s">
        <v>8</v>
      </c>
      <c r="E96" t="s">
        <v>9</v>
      </c>
      <c r="F96" t="s">
        <v>49</v>
      </c>
      <c r="G96" t="s">
        <v>50</v>
      </c>
      <c r="H96">
        <v>10</v>
      </c>
      <c r="I96">
        <v>0</v>
      </c>
      <c r="J96">
        <v>1</v>
      </c>
      <c r="K96">
        <v>0</v>
      </c>
      <c r="L96" s="4">
        <v>92.266187050359719</v>
      </c>
      <c r="M96" s="4">
        <f t="shared" si="3"/>
        <v>91.366750482209639</v>
      </c>
      <c r="N96" s="4">
        <f t="shared" si="4"/>
        <v>0.89943656815007955</v>
      </c>
      <c r="O96" s="4">
        <f t="shared" si="5"/>
        <v>0.80898614012559267</v>
      </c>
    </row>
    <row r="97" spans="1:15" x14ac:dyDescent="0.35">
      <c r="A97">
        <v>11</v>
      </c>
      <c r="B97">
        <v>2014</v>
      </c>
      <c r="C97">
        <v>3</v>
      </c>
      <c r="D97" t="s">
        <v>8</v>
      </c>
      <c r="E97" t="s">
        <v>9</v>
      </c>
      <c r="F97" t="s">
        <v>49</v>
      </c>
      <c r="G97" t="s">
        <v>50</v>
      </c>
      <c r="H97">
        <v>11</v>
      </c>
      <c r="I97">
        <v>0</v>
      </c>
      <c r="J97">
        <v>0</v>
      </c>
      <c r="K97">
        <v>1</v>
      </c>
      <c r="L97" s="4">
        <v>94.026974951830439</v>
      </c>
      <c r="M97" s="4">
        <f t="shared" si="3"/>
        <v>91.465447787355942</v>
      </c>
      <c r="N97" s="4">
        <f t="shared" si="4"/>
        <v>2.5615271644744979</v>
      </c>
      <c r="O97" s="4">
        <f t="shared" si="5"/>
        <v>6.5614214143407619</v>
      </c>
    </row>
    <row r="98" spans="1:15" x14ac:dyDescent="0.35">
      <c r="A98">
        <v>12</v>
      </c>
      <c r="B98">
        <v>2014</v>
      </c>
      <c r="C98">
        <v>4</v>
      </c>
      <c r="D98" t="s">
        <v>8</v>
      </c>
      <c r="E98" t="s">
        <v>9</v>
      </c>
      <c r="F98" t="s">
        <v>49</v>
      </c>
      <c r="G98" t="s">
        <v>50</v>
      </c>
      <c r="H98">
        <v>12</v>
      </c>
      <c r="I98">
        <v>0</v>
      </c>
      <c r="J98">
        <v>0</v>
      </c>
      <c r="K98">
        <v>0</v>
      </c>
      <c r="L98" s="4">
        <v>93.849206349206355</v>
      </c>
      <c r="M98" s="4">
        <f t="shared" si="3"/>
        <v>91.634893742324735</v>
      </c>
      <c r="N98" s="4">
        <f t="shared" si="4"/>
        <v>2.2143126068816201</v>
      </c>
      <c r="O98" s="4">
        <f t="shared" si="5"/>
        <v>4.9031803209948768</v>
      </c>
    </row>
    <row r="99" spans="1:15" x14ac:dyDescent="0.35">
      <c r="A99">
        <v>13</v>
      </c>
      <c r="B99">
        <v>2015</v>
      </c>
      <c r="C99">
        <v>1</v>
      </c>
      <c r="D99" t="s">
        <v>8</v>
      </c>
      <c r="E99" t="s">
        <v>9</v>
      </c>
      <c r="F99" t="s">
        <v>49</v>
      </c>
      <c r="G99" t="s">
        <v>50</v>
      </c>
      <c r="H99">
        <v>13</v>
      </c>
      <c r="I99">
        <v>1</v>
      </c>
      <c r="J99">
        <v>0</v>
      </c>
      <c r="K99">
        <v>0</v>
      </c>
      <c r="L99" s="4">
        <v>92.427184466019412</v>
      </c>
      <c r="M99" s="4">
        <f t="shared" si="3"/>
        <v>90.423831792714608</v>
      </c>
      <c r="N99" s="4">
        <f t="shared" si="4"/>
        <v>2.0033526733048035</v>
      </c>
      <c r="O99" s="4">
        <f t="shared" si="5"/>
        <v>4.0134219336375025</v>
      </c>
    </row>
    <row r="100" spans="1:15" x14ac:dyDescent="0.35">
      <c r="A100">
        <v>14</v>
      </c>
      <c r="B100">
        <v>2015</v>
      </c>
      <c r="C100">
        <v>2</v>
      </c>
      <c r="D100" t="s">
        <v>8</v>
      </c>
      <c r="E100" t="s">
        <v>9</v>
      </c>
      <c r="F100" t="s">
        <v>49</v>
      </c>
      <c r="G100" t="s">
        <v>50</v>
      </c>
      <c r="H100">
        <v>14</v>
      </c>
      <c r="I100">
        <v>0</v>
      </c>
      <c r="J100">
        <v>1</v>
      </c>
      <c r="K100">
        <v>0</v>
      </c>
      <c r="L100" s="4">
        <v>92.222222222222229</v>
      </c>
      <c r="M100" s="4">
        <f t="shared" si="3"/>
        <v>89.43844378583924</v>
      </c>
      <c r="N100" s="4">
        <f t="shared" si="4"/>
        <v>2.7837784363829883</v>
      </c>
      <c r="O100" s="4">
        <f t="shared" si="5"/>
        <v>7.7494223828709154</v>
      </c>
    </row>
    <row r="101" spans="1:15" x14ac:dyDescent="0.35">
      <c r="A101">
        <v>15</v>
      </c>
      <c r="B101">
        <v>2015</v>
      </c>
      <c r="C101">
        <v>3</v>
      </c>
      <c r="D101" t="s">
        <v>8</v>
      </c>
      <c r="E101" t="s">
        <v>9</v>
      </c>
      <c r="F101" t="s">
        <v>49</v>
      </c>
      <c r="G101" t="s">
        <v>50</v>
      </c>
      <c r="H101">
        <v>15</v>
      </c>
      <c r="I101">
        <v>0</v>
      </c>
      <c r="J101">
        <v>0</v>
      </c>
      <c r="K101">
        <v>1</v>
      </c>
      <c r="L101" s="4">
        <v>92.723880597014926</v>
      </c>
      <c r="M101" s="4">
        <f t="shared" si="3"/>
        <v>89.537141090985543</v>
      </c>
      <c r="N101" s="4">
        <f t="shared" si="4"/>
        <v>3.1867395060293831</v>
      </c>
      <c r="O101" s="4">
        <f t="shared" si="5"/>
        <v>10.155308679288396</v>
      </c>
    </row>
    <row r="102" spans="1:15" x14ac:dyDescent="0.35">
      <c r="A102">
        <v>16</v>
      </c>
      <c r="B102">
        <v>2015</v>
      </c>
      <c r="C102">
        <v>4</v>
      </c>
      <c r="D102" t="s">
        <v>8</v>
      </c>
      <c r="E102" t="s">
        <v>9</v>
      </c>
      <c r="F102" t="s">
        <v>49</v>
      </c>
      <c r="G102" t="s">
        <v>50</v>
      </c>
      <c r="H102">
        <v>16</v>
      </c>
      <c r="I102">
        <v>0</v>
      </c>
      <c r="J102">
        <v>0</v>
      </c>
      <c r="K102">
        <v>0</v>
      </c>
      <c r="L102" s="4">
        <v>91.064638783269956</v>
      </c>
      <c r="M102" s="4">
        <f t="shared" si="3"/>
        <v>89.706587045954336</v>
      </c>
      <c r="N102" s="4">
        <f t="shared" si="4"/>
        <v>1.3580517373156198</v>
      </c>
      <c r="O102" s="4">
        <f t="shared" si="5"/>
        <v>1.8443045212259732</v>
      </c>
    </row>
    <row r="103" spans="1:15" x14ac:dyDescent="0.35">
      <c r="A103">
        <v>17</v>
      </c>
      <c r="B103">
        <v>2016</v>
      </c>
      <c r="C103">
        <v>1</v>
      </c>
      <c r="D103" t="s">
        <v>8</v>
      </c>
      <c r="E103" t="s">
        <v>9</v>
      </c>
      <c r="F103" t="s">
        <v>49</v>
      </c>
      <c r="G103" t="s">
        <v>50</v>
      </c>
      <c r="H103">
        <v>17</v>
      </c>
      <c r="I103">
        <v>1</v>
      </c>
      <c r="J103">
        <v>0</v>
      </c>
      <c r="K103">
        <v>0</v>
      </c>
      <c r="L103" s="4">
        <v>90.427698574338095</v>
      </c>
      <c r="M103" s="4">
        <f t="shared" si="3"/>
        <v>88.49552509634421</v>
      </c>
      <c r="N103" s="4">
        <f t="shared" si="4"/>
        <v>1.9321734779938851</v>
      </c>
      <c r="O103" s="4">
        <f t="shared" si="5"/>
        <v>3.7332943490629864</v>
      </c>
    </row>
    <row r="104" spans="1:15" x14ac:dyDescent="0.35">
      <c r="A104">
        <v>18</v>
      </c>
      <c r="B104">
        <v>2016</v>
      </c>
      <c r="C104">
        <v>2</v>
      </c>
      <c r="D104" t="s">
        <v>8</v>
      </c>
      <c r="E104" t="s">
        <v>9</v>
      </c>
      <c r="F104" t="s">
        <v>49</v>
      </c>
      <c r="G104" t="s">
        <v>50</v>
      </c>
      <c r="H104">
        <v>18</v>
      </c>
      <c r="I104">
        <v>0</v>
      </c>
      <c r="J104">
        <v>1</v>
      </c>
      <c r="K104">
        <v>0</v>
      </c>
      <c r="L104" s="4">
        <v>91.452991452991455</v>
      </c>
      <c r="M104" s="4">
        <f t="shared" si="3"/>
        <v>87.510137089468856</v>
      </c>
      <c r="N104" s="4">
        <f t="shared" si="4"/>
        <v>3.9428543635225992</v>
      </c>
      <c r="O104" s="4">
        <f t="shared" si="5"/>
        <v>15.5461005319492</v>
      </c>
    </row>
    <row r="105" spans="1:15" x14ac:dyDescent="0.35">
      <c r="A105">
        <v>19</v>
      </c>
      <c r="B105">
        <v>2016</v>
      </c>
      <c r="C105">
        <v>3</v>
      </c>
      <c r="D105" t="s">
        <v>8</v>
      </c>
      <c r="E105" t="s">
        <v>9</v>
      </c>
      <c r="F105" t="s">
        <v>49</v>
      </c>
      <c r="G105" t="s">
        <v>50</v>
      </c>
      <c r="H105">
        <v>19</v>
      </c>
      <c r="I105">
        <v>0</v>
      </c>
      <c r="J105">
        <v>0</v>
      </c>
      <c r="K105">
        <v>1</v>
      </c>
      <c r="L105" s="4">
        <v>87.449392712550605</v>
      </c>
      <c r="M105" s="4">
        <f t="shared" si="3"/>
        <v>87.608834394615158</v>
      </c>
      <c r="N105" s="4">
        <f t="shared" si="4"/>
        <v>-0.15944168206455345</v>
      </c>
      <c r="O105" s="4">
        <f t="shared" si="5"/>
        <v>2.5421649979574145E-2</v>
      </c>
    </row>
    <row r="106" spans="1:15" x14ac:dyDescent="0.35">
      <c r="A106">
        <v>20</v>
      </c>
      <c r="B106">
        <v>2016</v>
      </c>
      <c r="C106">
        <v>4</v>
      </c>
      <c r="D106" t="s">
        <v>8</v>
      </c>
      <c r="E106" t="s">
        <v>9</v>
      </c>
      <c r="F106" t="s">
        <v>49</v>
      </c>
      <c r="G106" t="s">
        <v>50</v>
      </c>
      <c r="H106">
        <v>20</v>
      </c>
      <c r="I106">
        <v>0</v>
      </c>
      <c r="J106">
        <v>0</v>
      </c>
      <c r="K106">
        <v>0</v>
      </c>
      <c r="L106" s="4">
        <v>82.592592592592595</v>
      </c>
      <c r="M106" s="4">
        <f t="shared" si="3"/>
        <v>87.778280349583952</v>
      </c>
      <c r="N106" s="4">
        <f t="shared" si="4"/>
        <v>-5.1856877569913564</v>
      </c>
      <c r="O106" s="4">
        <f t="shared" si="5"/>
        <v>26.891357513010046</v>
      </c>
    </row>
    <row r="107" spans="1:15" x14ac:dyDescent="0.35">
      <c r="A107">
        <v>21</v>
      </c>
      <c r="B107">
        <v>2017</v>
      </c>
      <c r="C107">
        <v>1</v>
      </c>
      <c r="D107" t="s">
        <v>8</v>
      </c>
      <c r="E107" t="s">
        <v>9</v>
      </c>
      <c r="F107" t="s">
        <v>49</v>
      </c>
      <c r="G107" t="s">
        <v>50</v>
      </c>
      <c r="H107">
        <v>21</v>
      </c>
      <c r="I107">
        <v>1</v>
      </c>
      <c r="J107">
        <v>0</v>
      </c>
      <c r="K107">
        <v>0</v>
      </c>
      <c r="L107" s="4">
        <v>87.620889748549331</v>
      </c>
      <c r="M107" s="4">
        <f t="shared" si="3"/>
        <v>86.567218399973825</v>
      </c>
      <c r="N107" s="4">
        <f t="shared" si="4"/>
        <v>1.0536713485755058</v>
      </c>
      <c r="O107" s="4">
        <f t="shared" si="5"/>
        <v>1.110223310808925</v>
      </c>
    </row>
    <row r="108" spans="1:15" x14ac:dyDescent="0.35">
      <c r="A108">
        <v>22</v>
      </c>
      <c r="B108">
        <v>2017</v>
      </c>
      <c r="C108">
        <v>2</v>
      </c>
      <c r="D108" t="s">
        <v>8</v>
      </c>
      <c r="E108" t="s">
        <v>9</v>
      </c>
      <c r="F108" t="s">
        <v>49</v>
      </c>
      <c r="G108" t="s">
        <v>50</v>
      </c>
      <c r="H108">
        <v>22</v>
      </c>
      <c r="I108">
        <v>0</v>
      </c>
      <c r="J108">
        <v>1</v>
      </c>
      <c r="K108">
        <v>0</v>
      </c>
      <c r="L108" s="4">
        <v>85.621970920840056</v>
      </c>
      <c r="M108" s="4">
        <f t="shared" si="3"/>
        <v>85.581830393098471</v>
      </c>
      <c r="N108" s="4">
        <f t="shared" si="4"/>
        <v>4.0140527741584719E-2</v>
      </c>
      <c r="O108" s="4">
        <f t="shared" si="5"/>
        <v>1.6112619673729325E-3</v>
      </c>
    </row>
    <row r="109" spans="1:15" x14ac:dyDescent="0.35">
      <c r="A109">
        <v>23</v>
      </c>
      <c r="B109">
        <v>2017</v>
      </c>
      <c r="C109">
        <v>3</v>
      </c>
      <c r="D109" t="s">
        <v>8</v>
      </c>
      <c r="E109" t="s">
        <v>9</v>
      </c>
      <c r="F109" t="s">
        <v>49</v>
      </c>
      <c r="G109" t="s">
        <v>50</v>
      </c>
      <c r="H109">
        <v>23</v>
      </c>
      <c r="I109">
        <v>0</v>
      </c>
      <c r="J109">
        <v>0</v>
      </c>
      <c r="K109">
        <v>1</v>
      </c>
      <c r="L109" s="4">
        <v>86.542056074766364</v>
      </c>
      <c r="M109" s="4">
        <f t="shared" si="3"/>
        <v>85.680527698244774</v>
      </c>
      <c r="N109" s="4">
        <f t="shared" si="4"/>
        <v>0.86152837652159064</v>
      </c>
      <c r="O109" s="4">
        <f t="shared" si="5"/>
        <v>0.74223114355192765</v>
      </c>
    </row>
    <row r="110" spans="1:15" x14ac:dyDescent="0.35">
      <c r="A110">
        <v>24</v>
      </c>
      <c r="B110">
        <v>2017</v>
      </c>
      <c r="C110">
        <v>4</v>
      </c>
      <c r="D110" t="s">
        <v>8</v>
      </c>
      <c r="E110" t="s">
        <v>9</v>
      </c>
      <c r="F110" t="s">
        <v>49</v>
      </c>
      <c r="G110" t="s">
        <v>50</v>
      </c>
      <c r="H110">
        <v>24</v>
      </c>
      <c r="I110">
        <v>0</v>
      </c>
      <c r="J110">
        <v>0</v>
      </c>
      <c r="K110">
        <v>0</v>
      </c>
      <c r="L110" s="4">
        <v>89.303904923599319</v>
      </c>
      <c r="M110" s="4">
        <f t="shared" si="3"/>
        <v>85.849973653213567</v>
      </c>
      <c r="N110" s="4">
        <f t="shared" si="4"/>
        <v>3.4539312703857519</v>
      </c>
      <c r="O110" s="4">
        <f t="shared" si="5"/>
        <v>11.929641220548534</v>
      </c>
    </row>
    <row r="111" spans="1:15" x14ac:dyDescent="0.35">
      <c r="A111">
        <v>25</v>
      </c>
      <c r="B111">
        <v>2018</v>
      </c>
      <c r="C111">
        <v>1</v>
      </c>
      <c r="D111" t="s">
        <v>8</v>
      </c>
      <c r="E111" t="s">
        <v>9</v>
      </c>
      <c r="F111" t="s">
        <v>49</v>
      </c>
      <c r="G111" t="s">
        <v>50</v>
      </c>
      <c r="H111">
        <v>25</v>
      </c>
      <c r="I111">
        <v>1</v>
      </c>
      <c r="J111">
        <v>0</v>
      </c>
      <c r="K111">
        <v>0</v>
      </c>
      <c r="L111" s="4">
        <v>85.027726432532347</v>
      </c>
      <c r="M111" s="4">
        <f t="shared" si="3"/>
        <v>84.638911703603426</v>
      </c>
      <c r="N111" s="4">
        <f t="shared" si="4"/>
        <v>0.38881472892892077</v>
      </c>
      <c r="O111" s="4">
        <f t="shared" si="5"/>
        <v>0.15117689343207014</v>
      </c>
    </row>
    <row r="112" spans="1:15" x14ac:dyDescent="0.35">
      <c r="A112">
        <v>26</v>
      </c>
      <c r="B112">
        <v>2018</v>
      </c>
      <c r="C112">
        <v>2</v>
      </c>
      <c r="D112" t="s">
        <v>8</v>
      </c>
      <c r="E112" t="s">
        <v>9</v>
      </c>
      <c r="F112" t="s">
        <v>49</v>
      </c>
      <c r="G112" t="s">
        <v>50</v>
      </c>
      <c r="H112">
        <v>26</v>
      </c>
      <c r="I112">
        <v>0</v>
      </c>
      <c r="J112">
        <v>1</v>
      </c>
      <c r="K112">
        <v>0</v>
      </c>
      <c r="L112" s="4">
        <v>80.769230769230774</v>
      </c>
      <c r="M112" s="4">
        <f t="shared" si="3"/>
        <v>83.653523696728072</v>
      </c>
      <c r="N112" s="4">
        <f t="shared" si="4"/>
        <v>-2.8842929274972988</v>
      </c>
      <c r="O112" s="4">
        <f t="shared" si="5"/>
        <v>8.3191456916109381</v>
      </c>
    </row>
    <row r="113" spans="1:15" x14ac:dyDescent="0.35">
      <c r="A113">
        <v>27</v>
      </c>
      <c r="B113">
        <v>2018</v>
      </c>
      <c r="C113">
        <v>3</v>
      </c>
      <c r="D113" t="s">
        <v>8</v>
      </c>
      <c r="E113" t="s">
        <v>9</v>
      </c>
      <c r="F113" t="s">
        <v>49</v>
      </c>
      <c r="G113" t="s">
        <v>50</v>
      </c>
      <c r="H113">
        <v>27</v>
      </c>
      <c r="I113">
        <v>0</v>
      </c>
      <c r="J113">
        <v>0</v>
      </c>
      <c r="K113">
        <v>1</v>
      </c>
      <c r="L113" s="4">
        <v>78.703703703703709</v>
      </c>
      <c r="M113" s="4">
        <f t="shared" si="3"/>
        <v>83.752221001874375</v>
      </c>
      <c r="N113" s="4">
        <f t="shared" si="4"/>
        <v>-5.0485172981706654</v>
      </c>
      <c r="O113" s="4">
        <f t="shared" si="5"/>
        <v>25.487526909928434</v>
      </c>
    </row>
    <row r="114" spans="1:15" x14ac:dyDescent="0.35">
      <c r="A114">
        <v>28</v>
      </c>
      <c r="B114">
        <v>2018</v>
      </c>
      <c r="C114">
        <v>4</v>
      </c>
      <c r="D114" t="s">
        <v>8</v>
      </c>
      <c r="E114" t="s">
        <v>9</v>
      </c>
      <c r="F114" t="s">
        <v>49</v>
      </c>
      <c r="G114" t="s">
        <v>50</v>
      </c>
      <c r="H114">
        <v>28</v>
      </c>
      <c r="I114">
        <v>0</v>
      </c>
      <c r="J114">
        <v>0</v>
      </c>
      <c r="K114">
        <v>0</v>
      </c>
      <c r="L114" s="4">
        <v>80.060422960725077</v>
      </c>
      <c r="M114" s="4">
        <f t="shared" si="3"/>
        <v>83.921666956843168</v>
      </c>
      <c r="N114" s="4">
        <f t="shared" si="4"/>
        <v>-3.8612439961180911</v>
      </c>
      <c r="O114" s="4">
        <f t="shared" si="5"/>
        <v>14.909205197558006</v>
      </c>
    </row>
    <row r="115" spans="1:15" x14ac:dyDescent="0.35">
      <c r="A115">
        <v>29</v>
      </c>
      <c r="B115">
        <v>2019</v>
      </c>
      <c r="C115">
        <v>1</v>
      </c>
      <c r="D115" t="s">
        <v>8</v>
      </c>
      <c r="E115" t="s">
        <v>9</v>
      </c>
      <c r="F115" t="s">
        <v>49</v>
      </c>
      <c r="G115" t="s">
        <v>50</v>
      </c>
      <c r="H115">
        <v>29</v>
      </c>
      <c r="I115">
        <v>1</v>
      </c>
      <c r="J115">
        <v>0</v>
      </c>
      <c r="K115">
        <v>0</v>
      </c>
      <c r="L115" s="4">
        <v>78.13559322033899</v>
      </c>
      <c r="M115" s="4">
        <f t="shared" si="3"/>
        <v>82.710605007233042</v>
      </c>
      <c r="N115" s="4">
        <f t="shared" si="4"/>
        <v>-4.5750117868940521</v>
      </c>
      <c r="O115" s="4">
        <f t="shared" si="5"/>
        <v>20.930732850219506</v>
      </c>
    </row>
    <row r="116" spans="1:15" x14ac:dyDescent="0.35">
      <c r="A116">
        <v>30</v>
      </c>
      <c r="B116">
        <v>2019</v>
      </c>
      <c r="C116">
        <v>2</v>
      </c>
      <c r="D116" t="s">
        <v>8</v>
      </c>
      <c r="E116" t="s">
        <v>9</v>
      </c>
      <c r="F116" t="s">
        <v>49</v>
      </c>
      <c r="G116" t="s">
        <v>50</v>
      </c>
      <c r="H116">
        <v>30</v>
      </c>
      <c r="I116">
        <v>0</v>
      </c>
      <c r="J116">
        <v>1</v>
      </c>
      <c r="K116">
        <v>0</v>
      </c>
      <c r="L116" s="4">
        <v>73.668188736681884</v>
      </c>
      <c r="M116" s="4">
        <f t="shared" si="3"/>
        <v>81.725217000357688</v>
      </c>
      <c r="N116" s="4">
        <f t="shared" si="4"/>
        <v>-8.0570282636758037</v>
      </c>
      <c r="O116" s="4">
        <f t="shared" si="5"/>
        <v>64.915704441670741</v>
      </c>
    </row>
    <row r="117" spans="1:15" x14ac:dyDescent="0.35">
      <c r="A117">
        <v>31</v>
      </c>
      <c r="B117">
        <v>2019</v>
      </c>
      <c r="C117">
        <v>3</v>
      </c>
      <c r="D117" t="s">
        <v>8</v>
      </c>
      <c r="E117" t="s">
        <v>9</v>
      </c>
      <c r="F117" t="s">
        <v>49</v>
      </c>
      <c r="G117" t="s">
        <v>50</v>
      </c>
      <c r="H117">
        <v>31</v>
      </c>
      <c r="I117">
        <v>0</v>
      </c>
      <c r="J117">
        <v>0</v>
      </c>
      <c r="K117">
        <v>1</v>
      </c>
      <c r="L117" s="4">
        <v>78.236130867709818</v>
      </c>
      <c r="M117" s="4">
        <f t="shared" si="3"/>
        <v>81.82391430550399</v>
      </c>
      <c r="N117" s="4">
        <f t="shared" si="4"/>
        <v>-3.5877834377941724</v>
      </c>
      <c r="O117" s="4">
        <f t="shared" si="5"/>
        <v>12.872189996510171</v>
      </c>
    </row>
    <row r="118" spans="1:15" x14ac:dyDescent="0.35">
      <c r="A118">
        <v>32</v>
      </c>
      <c r="B118">
        <v>2019</v>
      </c>
      <c r="C118">
        <v>4</v>
      </c>
      <c r="D118" t="s">
        <v>8</v>
      </c>
      <c r="E118" t="s">
        <v>9</v>
      </c>
      <c r="F118" t="s">
        <v>49</v>
      </c>
      <c r="G118" t="s">
        <v>50</v>
      </c>
      <c r="H118">
        <v>32</v>
      </c>
      <c r="I118">
        <v>0</v>
      </c>
      <c r="J118">
        <v>0</v>
      </c>
      <c r="K118">
        <v>0</v>
      </c>
      <c r="L118" s="4">
        <v>80.277349768875197</v>
      </c>
      <c r="M118" s="4">
        <f t="shared" si="3"/>
        <v>81.993360260472784</v>
      </c>
      <c r="N118" s="4">
        <f t="shared" si="4"/>
        <v>-1.7160104915975865</v>
      </c>
      <c r="O118" s="4">
        <f t="shared" si="5"/>
        <v>2.9446920072729905</v>
      </c>
    </row>
    <row r="119" spans="1:15" x14ac:dyDescent="0.35">
      <c r="A119">
        <v>33</v>
      </c>
      <c r="B119">
        <v>2021</v>
      </c>
      <c r="C119">
        <v>1</v>
      </c>
      <c r="D119" t="s">
        <v>8</v>
      </c>
      <c r="E119" t="s">
        <v>9</v>
      </c>
      <c r="F119" t="s">
        <v>49</v>
      </c>
      <c r="G119" t="s">
        <v>50</v>
      </c>
      <c r="H119">
        <v>33</v>
      </c>
      <c r="I119">
        <v>1</v>
      </c>
      <c r="J119">
        <v>0</v>
      </c>
      <c r="K119">
        <v>0</v>
      </c>
      <c r="L119" s="4">
        <v>82.736156351791536</v>
      </c>
      <c r="M119" s="4">
        <f t="shared" si="3"/>
        <v>80.782298310862657</v>
      </c>
      <c r="N119" s="4">
        <f t="shared" si="4"/>
        <v>1.9538580409288784</v>
      </c>
      <c r="O119" s="4">
        <f t="shared" si="5"/>
        <v>3.8175612441024347</v>
      </c>
    </row>
    <row r="120" spans="1:15" x14ac:dyDescent="0.35">
      <c r="A120">
        <v>34</v>
      </c>
      <c r="B120">
        <v>2021</v>
      </c>
      <c r="C120">
        <v>2</v>
      </c>
      <c r="D120" t="s">
        <v>8</v>
      </c>
      <c r="E120" t="s">
        <v>9</v>
      </c>
      <c r="F120" t="s">
        <v>49</v>
      </c>
      <c r="G120" t="s">
        <v>50</v>
      </c>
      <c r="H120">
        <v>34</v>
      </c>
      <c r="I120">
        <v>0</v>
      </c>
      <c r="J120">
        <v>1</v>
      </c>
      <c r="K120">
        <v>0</v>
      </c>
      <c r="L120" s="4">
        <v>85.348506401137982</v>
      </c>
      <c r="M120" s="4">
        <f t="shared" si="3"/>
        <v>79.796910303987289</v>
      </c>
      <c r="N120" s="4">
        <f t="shared" si="4"/>
        <v>5.5515960971506928</v>
      </c>
      <c r="O120" s="4">
        <f t="shared" si="5"/>
        <v>30.820219225898803</v>
      </c>
    </row>
    <row r="121" spans="1:15" x14ac:dyDescent="0.35">
      <c r="A121">
        <v>35</v>
      </c>
      <c r="B121">
        <v>2021</v>
      </c>
      <c r="C121">
        <v>3</v>
      </c>
      <c r="D121" t="s">
        <v>8</v>
      </c>
      <c r="E121" t="s">
        <v>9</v>
      </c>
      <c r="F121" t="s">
        <v>49</v>
      </c>
      <c r="G121" t="s">
        <v>50</v>
      </c>
      <c r="H121">
        <v>35</v>
      </c>
      <c r="I121">
        <v>0</v>
      </c>
      <c r="J121">
        <v>0</v>
      </c>
      <c r="K121">
        <v>1</v>
      </c>
      <c r="L121" s="4">
        <v>85.126162018592296</v>
      </c>
      <c r="M121" s="4">
        <f t="shared" si="3"/>
        <v>79.895607609133592</v>
      </c>
      <c r="N121" s="4">
        <f t="shared" si="4"/>
        <v>5.2305544094587049</v>
      </c>
      <c r="O121" s="4">
        <f t="shared" si="5"/>
        <v>27.358699430307901</v>
      </c>
    </row>
    <row r="122" spans="1:15" x14ac:dyDescent="0.35">
      <c r="A122">
        <v>36</v>
      </c>
      <c r="B122">
        <v>2021</v>
      </c>
      <c r="C122">
        <v>4</v>
      </c>
      <c r="D122" t="s">
        <v>8</v>
      </c>
      <c r="E122" t="s">
        <v>9</v>
      </c>
      <c r="F122" t="s">
        <v>49</v>
      </c>
      <c r="G122" t="s">
        <v>50</v>
      </c>
      <c r="H122">
        <v>36</v>
      </c>
      <c r="I122">
        <v>0</v>
      </c>
      <c r="J122">
        <v>0</v>
      </c>
      <c r="K122">
        <v>0</v>
      </c>
      <c r="L122" s="4">
        <v>82.871536523929464</v>
      </c>
      <c r="M122" s="4">
        <f t="shared" si="3"/>
        <v>80.065053564102385</v>
      </c>
      <c r="N122" s="4">
        <f t="shared" si="4"/>
        <v>2.8064829598270791</v>
      </c>
      <c r="O122" s="4">
        <f t="shared" si="5"/>
        <v>7.876346603799762</v>
      </c>
    </row>
    <row r="123" spans="1:15" x14ac:dyDescent="0.35">
      <c r="H123">
        <v>37</v>
      </c>
      <c r="I123">
        <v>1</v>
      </c>
      <c r="J123">
        <v>0</v>
      </c>
      <c r="K123">
        <v>0</v>
      </c>
      <c r="L123" s="4"/>
      <c r="M123" s="4">
        <f t="shared" si="3"/>
        <v>78.853991614492259</v>
      </c>
      <c r="N123" s="4"/>
      <c r="O123" s="4"/>
    </row>
    <row r="124" spans="1:15" x14ac:dyDescent="0.35">
      <c r="H124">
        <v>38</v>
      </c>
      <c r="I124">
        <v>0</v>
      </c>
      <c r="J124">
        <v>1</v>
      </c>
      <c r="K124">
        <v>0</v>
      </c>
      <c r="L124" s="4"/>
      <c r="M124" s="4">
        <f t="shared" si="3"/>
        <v>77.868603607616905</v>
      </c>
      <c r="N124" s="4"/>
      <c r="O124" s="4"/>
    </row>
    <row r="125" spans="1:15" x14ac:dyDescent="0.35">
      <c r="H125">
        <v>39</v>
      </c>
      <c r="I125">
        <v>0</v>
      </c>
      <c r="J125">
        <v>0</v>
      </c>
      <c r="K125">
        <v>1</v>
      </c>
      <c r="L125" s="4"/>
      <c r="M125" s="4">
        <f t="shared" si="3"/>
        <v>77.967300912763207</v>
      </c>
      <c r="N125" s="4"/>
      <c r="O125" s="4"/>
    </row>
    <row r="126" spans="1:15" x14ac:dyDescent="0.35">
      <c r="H126">
        <v>40</v>
      </c>
      <c r="I126">
        <v>0</v>
      </c>
      <c r="J126">
        <v>0</v>
      </c>
      <c r="K126">
        <v>0</v>
      </c>
      <c r="L126" s="4"/>
      <c r="M126" s="4">
        <f t="shared" si="3"/>
        <v>78.136746867732001</v>
      </c>
      <c r="N126" s="4"/>
      <c r="O126" s="4"/>
    </row>
    <row r="127" spans="1:15" ht="15" thickBot="1" x14ac:dyDescent="0.4"/>
    <row r="128" spans="1:15" x14ac:dyDescent="0.35">
      <c r="H128" s="5"/>
      <c r="I128" s="5" t="s">
        <v>17</v>
      </c>
    </row>
    <row r="129" spans="1:15" x14ac:dyDescent="0.35">
      <c r="H129" t="s">
        <v>18</v>
      </c>
      <c r="I129">
        <v>97.419813831435903</v>
      </c>
    </row>
    <row r="130" spans="1:15" x14ac:dyDescent="0.35">
      <c r="H130" t="s">
        <v>0</v>
      </c>
      <c r="I130">
        <v>-0.48207667409259763</v>
      </c>
    </row>
    <row r="131" spans="1:15" x14ac:dyDescent="0.35">
      <c r="H131" t="s">
        <v>20</v>
      </c>
      <c r="I131">
        <v>-0.72898527551752645</v>
      </c>
    </row>
    <row r="132" spans="1:15" x14ac:dyDescent="0.35">
      <c r="H132" t="s">
        <v>21</v>
      </c>
      <c r="I132">
        <v>-1.2322966083002851</v>
      </c>
    </row>
    <row r="133" spans="1:15" ht="15" thickBot="1" x14ac:dyDescent="0.4">
      <c r="H133" s="6" t="s">
        <v>22</v>
      </c>
      <c r="I133" s="6">
        <v>-0.65152262906138658</v>
      </c>
    </row>
    <row r="136" spans="1:15" x14ac:dyDescent="0.35">
      <c r="A136" t="s">
        <v>23</v>
      </c>
      <c r="G136" t="s">
        <v>24</v>
      </c>
      <c r="H136">
        <v>0.9</v>
      </c>
    </row>
    <row r="137" spans="1:15" x14ac:dyDescent="0.3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G137" s="1" t="s">
        <v>6</v>
      </c>
      <c r="H137" s="2" t="s">
        <v>7</v>
      </c>
      <c r="I137" s="1" t="s">
        <v>13</v>
      </c>
      <c r="J137" s="1" t="s">
        <v>14</v>
      </c>
      <c r="K137" s="1" t="s">
        <v>15</v>
      </c>
      <c r="M137" s="1" t="s">
        <v>16</v>
      </c>
      <c r="N137" s="4">
        <f>AVERAGE(K139:K173)</f>
        <v>7.3224084996559666</v>
      </c>
    </row>
    <row r="138" spans="1:15" x14ac:dyDescent="0.35">
      <c r="A138">
        <v>1</v>
      </c>
      <c r="B138">
        <v>2012</v>
      </c>
      <c r="C138">
        <v>1</v>
      </c>
      <c r="D138" t="s">
        <v>8</v>
      </c>
      <c r="E138" t="s">
        <v>9</v>
      </c>
      <c r="F138" t="s">
        <v>49</v>
      </c>
      <c r="G138" t="s">
        <v>50</v>
      </c>
      <c r="H138" s="4">
        <v>94.642857142857139</v>
      </c>
      <c r="I138" s="4"/>
      <c r="J138" s="4"/>
      <c r="K138" s="4"/>
    </row>
    <row r="139" spans="1:15" x14ac:dyDescent="0.35">
      <c r="A139">
        <v>2</v>
      </c>
      <c r="B139">
        <v>2012</v>
      </c>
      <c r="C139">
        <v>2</v>
      </c>
      <c r="D139" t="s">
        <v>8</v>
      </c>
      <c r="E139" t="s">
        <v>9</v>
      </c>
      <c r="F139" t="s">
        <v>49</v>
      </c>
      <c r="G139" t="s">
        <v>50</v>
      </c>
      <c r="H139" s="4">
        <v>92.025518341307816</v>
      </c>
      <c r="I139" s="4">
        <f>H138</f>
        <v>94.642857142857139</v>
      </c>
      <c r="J139" s="4">
        <f t="shared" ref="J139:J173" si="6">H139-I139</f>
        <v>-2.6173388015493231</v>
      </c>
      <c r="K139" s="4">
        <f t="shared" ref="K139:K173" si="7">J139*J139</f>
        <v>6.8504624020956468</v>
      </c>
    </row>
    <row r="140" spans="1:15" x14ac:dyDescent="0.35">
      <c r="A140">
        <v>3</v>
      </c>
      <c r="B140">
        <v>2012</v>
      </c>
      <c r="C140">
        <v>3</v>
      </c>
      <c r="D140" t="s">
        <v>8</v>
      </c>
      <c r="E140" t="s">
        <v>9</v>
      </c>
      <c r="F140" t="s">
        <v>49</v>
      </c>
      <c r="G140" t="s">
        <v>50</v>
      </c>
      <c r="H140" s="4">
        <v>90.085470085470092</v>
      </c>
      <c r="I140" s="4">
        <f>$H$136*H139+(1-$H$136)*I139</f>
        <v>92.287252221462751</v>
      </c>
      <c r="J140" s="4">
        <f t="shared" si="6"/>
        <v>-2.2017821359926586</v>
      </c>
      <c r="K140" s="4">
        <f t="shared" si="7"/>
        <v>4.8478445743763938</v>
      </c>
      <c r="N140" t="s">
        <v>25</v>
      </c>
      <c r="O140" t="s">
        <v>16</v>
      </c>
    </row>
    <row r="141" spans="1:15" x14ac:dyDescent="0.35">
      <c r="A141">
        <v>4</v>
      </c>
      <c r="B141">
        <v>2012</v>
      </c>
      <c r="C141">
        <v>4</v>
      </c>
      <c r="D141" t="s">
        <v>8</v>
      </c>
      <c r="E141" t="s">
        <v>9</v>
      </c>
      <c r="F141" t="s">
        <v>49</v>
      </c>
      <c r="G141" t="s">
        <v>50</v>
      </c>
      <c r="H141" s="4">
        <v>95.595432300163125</v>
      </c>
      <c r="I141" s="4">
        <f t="shared" ref="I141:I174" si="8">$H$136*H140+(1-$H$136)*I140</f>
        <v>90.305648299069361</v>
      </c>
      <c r="J141" s="4">
        <f t="shared" si="6"/>
        <v>5.2897840010937642</v>
      </c>
      <c r="K141" s="4">
        <f t="shared" si="7"/>
        <v>27.981814778227552</v>
      </c>
      <c r="N141">
        <v>0.2</v>
      </c>
      <c r="O141">
        <v>13.36</v>
      </c>
    </row>
    <row r="142" spans="1:15" x14ac:dyDescent="0.35">
      <c r="A142">
        <v>5</v>
      </c>
      <c r="B142">
        <v>2013</v>
      </c>
      <c r="C142">
        <v>1</v>
      </c>
      <c r="D142" t="s">
        <v>8</v>
      </c>
      <c r="E142" t="s">
        <v>9</v>
      </c>
      <c r="F142" t="s">
        <v>49</v>
      </c>
      <c r="G142" t="s">
        <v>50</v>
      </c>
      <c r="H142" s="4">
        <v>94.708029197080293</v>
      </c>
      <c r="I142" s="4">
        <f t="shared" si="8"/>
        <v>95.066453900053745</v>
      </c>
      <c r="J142" s="4">
        <f t="shared" si="6"/>
        <v>-0.3584247029734513</v>
      </c>
      <c r="K142" s="4">
        <f t="shared" si="7"/>
        <v>0.1284682677016068</v>
      </c>
      <c r="N142">
        <v>0.4</v>
      </c>
      <c r="O142">
        <v>9.1199999999999992</v>
      </c>
    </row>
    <row r="143" spans="1:15" x14ac:dyDescent="0.35">
      <c r="A143">
        <v>6</v>
      </c>
      <c r="B143">
        <v>2013</v>
      </c>
      <c r="C143">
        <v>2</v>
      </c>
      <c r="D143" t="s">
        <v>8</v>
      </c>
      <c r="E143" t="s">
        <v>9</v>
      </c>
      <c r="F143" t="s">
        <v>49</v>
      </c>
      <c r="G143" t="s">
        <v>50</v>
      </c>
      <c r="H143" s="4">
        <v>94.21641791044776</v>
      </c>
      <c r="I143" s="4">
        <f t="shared" si="8"/>
        <v>94.743871667377647</v>
      </c>
      <c r="J143" s="4">
        <f t="shared" si="6"/>
        <v>-0.52745375692988716</v>
      </c>
      <c r="K143" s="4">
        <f t="shared" si="7"/>
        <v>0.27820746569945248</v>
      </c>
      <c r="N143">
        <v>0.6</v>
      </c>
      <c r="O143">
        <v>7.83</v>
      </c>
    </row>
    <row r="144" spans="1:15" x14ac:dyDescent="0.35">
      <c r="A144">
        <v>7</v>
      </c>
      <c r="B144">
        <v>2013</v>
      </c>
      <c r="C144">
        <v>3</v>
      </c>
      <c r="D144" t="s">
        <v>8</v>
      </c>
      <c r="E144" t="s">
        <v>9</v>
      </c>
      <c r="F144" t="s">
        <v>49</v>
      </c>
      <c r="G144" t="s">
        <v>50</v>
      </c>
      <c r="H144" s="4">
        <v>95.585738539898131</v>
      </c>
      <c r="I144" s="4">
        <f t="shared" si="8"/>
        <v>94.269163286140753</v>
      </c>
      <c r="J144" s="4">
        <f t="shared" si="6"/>
        <v>1.3165752537573781</v>
      </c>
      <c r="K144" s="4">
        <f t="shared" si="7"/>
        <v>1.7333703988063045</v>
      </c>
      <c r="N144">
        <v>0.8</v>
      </c>
      <c r="O144">
        <v>7.38</v>
      </c>
    </row>
    <row r="145" spans="1:16" x14ac:dyDescent="0.35">
      <c r="A145">
        <v>8</v>
      </c>
      <c r="B145">
        <v>2013</v>
      </c>
      <c r="C145">
        <v>4</v>
      </c>
      <c r="D145" t="s">
        <v>8</v>
      </c>
      <c r="E145" t="s">
        <v>9</v>
      </c>
      <c r="F145" t="s">
        <v>49</v>
      </c>
      <c r="G145" t="s">
        <v>50</v>
      </c>
      <c r="H145" s="4">
        <v>94.38943894389439</v>
      </c>
      <c r="I145" s="4">
        <f t="shared" si="8"/>
        <v>95.454081014522387</v>
      </c>
      <c r="J145" s="4">
        <f t="shared" si="6"/>
        <v>-1.0646420706279969</v>
      </c>
      <c r="K145" s="4">
        <f t="shared" si="7"/>
        <v>1.1334627385510687</v>
      </c>
      <c r="N145">
        <v>0.9</v>
      </c>
      <c r="O145">
        <v>7.32</v>
      </c>
      <c r="P145" t="s">
        <v>26</v>
      </c>
    </row>
    <row r="146" spans="1:16" x14ac:dyDescent="0.35">
      <c r="A146">
        <v>9</v>
      </c>
      <c r="B146">
        <v>2014</v>
      </c>
      <c r="C146">
        <v>1</v>
      </c>
      <c r="D146" t="s">
        <v>8</v>
      </c>
      <c r="E146" t="s">
        <v>9</v>
      </c>
      <c r="F146" t="s">
        <v>49</v>
      </c>
      <c r="G146" t="s">
        <v>50</v>
      </c>
      <c r="H146" s="4">
        <v>90.733590733590731</v>
      </c>
      <c r="I146" s="4">
        <f t="shared" si="8"/>
        <v>94.49590315095719</v>
      </c>
      <c r="J146" s="4">
        <f t="shared" si="6"/>
        <v>-3.7623124173664593</v>
      </c>
      <c r="K146" s="4">
        <f t="shared" si="7"/>
        <v>14.15499472586985</v>
      </c>
    </row>
    <row r="147" spans="1:16" x14ac:dyDescent="0.35">
      <c r="A147">
        <v>10</v>
      </c>
      <c r="B147">
        <v>2014</v>
      </c>
      <c r="C147">
        <v>2</v>
      </c>
      <c r="D147" t="s">
        <v>8</v>
      </c>
      <c r="E147" t="s">
        <v>9</v>
      </c>
      <c r="F147" t="s">
        <v>49</v>
      </c>
      <c r="G147" t="s">
        <v>50</v>
      </c>
      <c r="H147" s="4">
        <v>92.266187050359719</v>
      </c>
      <c r="I147" s="4">
        <f t="shared" si="8"/>
        <v>91.109821975327378</v>
      </c>
      <c r="J147" s="4">
        <f t="shared" si="6"/>
        <v>1.1563650750323404</v>
      </c>
      <c r="K147" s="4">
        <f t="shared" si="7"/>
        <v>1.3371801867545503</v>
      </c>
    </row>
    <row r="148" spans="1:16" x14ac:dyDescent="0.35">
      <c r="A148">
        <v>11</v>
      </c>
      <c r="B148">
        <v>2014</v>
      </c>
      <c r="C148">
        <v>3</v>
      </c>
      <c r="D148" t="s">
        <v>8</v>
      </c>
      <c r="E148" t="s">
        <v>9</v>
      </c>
      <c r="F148" t="s">
        <v>49</v>
      </c>
      <c r="G148" t="s">
        <v>50</v>
      </c>
      <c r="H148" s="4">
        <v>94.026974951830439</v>
      </c>
      <c r="I148" s="4">
        <f t="shared" si="8"/>
        <v>92.150550542856479</v>
      </c>
      <c r="J148" s="4">
        <f t="shared" si="6"/>
        <v>1.8764244089739606</v>
      </c>
      <c r="K148" s="4">
        <f t="shared" si="7"/>
        <v>3.5209685625932772</v>
      </c>
    </row>
    <row r="149" spans="1:16" x14ac:dyDescent="0.35">
      <c r="A149">
        <v>12</v>
      </c>
      <c r="B149">
        <v>2014</v>
      </c>
      <c r="C149">
        <v>4</v>
      </c>
      <c r="D149" t="s">
        <v>8</v>
      </c>
      <c r="E149" t="s">
        <v>9</v>
      </c>
      <c r="F149" t="s">
        <v>49</v>
      </c>
      <c r="G149" t="s">
        <v>50</v>
      </c>
      <c r="H149" s="4">
        <v>93.849206349206355</v>
      </c>
      <c r="I149" s="4">
        <f t="shared" si="8"/>
        <v>93.839332510933033</v>
      </c>
      <c r="J149" s="4">
        <f t="shared" si="6"/>
        <v>9.8738382733216667E-3</v>
      </c>
      <c r="K149" s="4">
        <f t="shared" si="7"/>
        <v>9.7492682247711797E-5</v>
      </c>
    </row>
    <row r="150" spans="1:16" x14ac:dyDescent="0.35">
      <c r="A150">
        <v>13</v>
      </c>
      <c r="B150">
        <v>2015</v>
      </c>
      <c r="C150">
        <v>1</v>
      </c>
      <c r="D150" t="s">
        <v>8</v>
      </c>
      <c r="E150" t="s">
        <v>9</v>
      </c>
      <c r="F150" t="s">
        <v>49</v>
      </c>
      <c r="G150" t="s">
        <v>50</v>
      </c>
      <c r="H150" s="4">
        <v>92.427184466019412</v>
      </c>
      <c r="I150" s="4">
        <f t="shared" si="8"/>
        <v>93.848218965379019</v>
      </c>
      <c r="J150" s="4">
        <f t="shared" si="6"/>
        <v>-1.4210344993596067</v>
      </c>
      <c r="K150" s="4">
        <f t="shared" si="7"/>
        <v>2.0193390483702078</v>
      </c>
    </row>
    <row r="151" spans="1:16" x14ac:dyDescent="0.35">
      <c r="A151">
        <v>14</v>
      </c>
      <c r="B151">
        <v>2015</v>
      </c>
      <c r="C151">
        <v>2</v>
      </c>
      <c r="D151" t="s">
        <v>8</v>
      </c>
      <c r="E151" t="s">
        <v>9</v>
      </c>
      <c r="F151" t="s">
        <v>49</v>
      </c>
      <c r="G151" t="s">
        <v>50</v>
      </c>
      <c r="H151" s="4">
        <v>92.222222222222229</v>
      </c>
      <c r="I151" s="4">
        <f t="shared" si="8"/>
        <v>92.569287915955371</v>
      </c>
      <c r="J151" s="4">
        <f t="shared" si="6"/>
        <v>-0.34706569373314267</v>
      </c>
      <c r="K151" s="4">
        <f t="shared" si="7"/>
        <v>0.12045459576646758</v>
      </c>
    </row>
    <row r="152" spans="1:16" x14ac:dyDescent="0.35">
      <c r="A152">
        <v>15</v>
      </c>
      <c r="B152">
        <v>2015</v>
      </c>
      <c r="C152">
        <v>3</v>
      </c>
      <c r="D152" t="s">
        <v>8</v>
      </c>
      <c r="E152" t="s">
        <v>9</v>
      </c>
      <c r="F152" t="s">
        <v>49</v>
      </c>
      <c r="G152" t="s">
        <v>50</v>
      </c>
      <c r="H152" s="4">
        <v>92.723880597014926</v>
      </c>
      <c r="I152" s="4">
        <f t="shared" si="8"/>
        <v>92.256928791595556</v>
      </c>
      <c r="J152" s="4">
        <f t="shared" si="6"/>
        <v>0.4669518054193702</v>
      </c>
      <c r="K152" s="4">
        <f t="shared" si="7"/>
        <v>0.21804398858440938</v>
      </c>
    </row>
    <row r="153" spans="1:16" x14ac:dyDescent="0.35">
      <c r="A153">
        <v>16</v>
      </c>
      <c r="B153">
        <v>2015</v>
      </c>
      <c r="C153">
        <v>4</v>
      </c>
      <c r="D153" t="s">
        <v>8</v>
      </c>
      <c r="E153" t="s">
        <v>9</v>
      </c>
      <c r="F153" t="s">
        <v>49</v>
      </c>
      <c r="G153" t="s">
        <v>50</v>
      </c>
      <c r="H153" s="4">
        <v>91.064638783269956</v>
      </c>
      <c r="I153" s="4">
        <f t="shared" si="8"/>
        <v>92.677185416472994</v>
      </c>
      <c r="J153" s="4">
        <f t="shared" si="6"/>
        <v>-1.6125466332030385</v>
      </c>
      <c r="K153" s="4">
        <f t="shared" si="7"/>
        <v>2.6003066442544549</v>
      </c>
    </row>
    <row r="154" spans="1:16" x14ac:dyDescent="0.35">
      <c r="A154">
        <v>17</v>
      </c>
      <c r="B154">
        <v>2016</v>
      </c>
      <c r="C154">
        <v>1</v>
      </c>
      <c r="D154" t="s">
        <v>8</v>
      </c>
      <c r="E154" t="s">
        <v>9</v>
      </c>
      <c r="F154" t="s">
        <v>49</v>
      </c>
      <c r="G154" t="s">
        <v>50</v>
      </c>
      <c r="H154" s="4">
        <v>90.427698574338095</v>
      </c>
      <c r="I154" s="4">
        <f t="shared" si="8"/>
        <v>91.225893446590263</v>
      </c>
      <c r="J154" s="4">
        <f t="shared" si="6"/>
        <v>-0.7981948722521679</v>
      </c>
      <c r="K154" s="4">
        <f t="shared" si="7"/>
        <v>0.63711505408965463</v>
      </c>
    </row>
    <row r="155" spans="1:16" x14ac:dyDescent="0.35">
      <c r="A155">
        <v>18</v>
      </c>
      <c r="B155">
        <v>2016</v>
      </c>
      <c r="C155">
        <v>2</v>
      </c>
      <c r="D155" t="s">
        <v>8</v>
      </c>
      <c r="E155" t="s">
        <v>9</v>
      </c>
      <c r="F155" t="s">
        <v>49</v>
      </c>
      <c r="G155" t="s">
        <v>50</v>
      </c>
      <c r="H155" s="4">
        <v>91.452991452991455</v>
      </c>
      <c r="I155" s="4">
        <f t="shared" si="8"/>
        <v>90.507518061563303</v>
      </c>
      <c r="J155" s="4">
        <f t="shared" si="6"/>
        <v>0.9454733914281519</v>
      </c>
      <c r="K155" s="4">
        <f t="shared" si="7"/>
        <v>0.89391993389865132</v>
      </c>
    </row>
    <row r="156" spans="1:16" x14ac:dyDescent="0.35">
      <c r="A156">
        <v>19</v>
      </c>
      <c r="B156">
        <v>2016</v>
      </c>
      <c r="C156">
        <v>3</v>
      </c>
      <c r="D156" t="s">
        <v>8</v>
      </c>
      <c r="E156" t="s">
        <v>9</v>
      </c>
      <c r="F156" t="s">
        <v>49</v>
      </c>
      <c r="G156" t="s">
        <v>50</v>
      </c>
      <c r="H156" s="4">
        <v>87.449392712550605</v>
      </c>
      <c r="I156" s="4">
        <f t="shared" si="8"/>
        <v>91.358444113848634</v>
      </c>
      <c r="J156" s="4">
        <f t="shared" si="6"/>
        <v>-3.9090514012980293</v>
      </c>
      <c r="K156" s="4">
        <f t="shared" si="7"/>
        <v>15.280682857990087</v>
      </c>
    </row>
    <row r="157" spans="1:16" x14ac:dyDescent="0.35">
      <c r="A157">
        <v>20</v>
      </c>
      <c r="B157">
        <v>2016</v>
      </c>
      <c r="C157">
        <v>4</v>
      </c>
      <c r="D157" t="s">
        <v>8</v>
      </c>
      <c r="E157" t="s">
        <v>9</v>
      </c>
      <c r="F157" t="s">
        <v>49</v>
      </c>
      <c r="G157" t="s">
        <v>50</v>
      </c>
      <c r="H157" s="4">
        <v>82.592592592592595</v>
      </c>
      <c r="I157" s="4">
        <f t="shared" si="8"/>
        <v>87.840297852680408</v>
      </c>
      <c r="J157" s="4">
        <f t="shared" si="6"/>
        <v>-5.2477052600878125</v>
      </c>
      <c r="K157" s="4">
        <f t="shared" si="7"/>
        <v>27.538410496753297</v>
      </c>
    </row>
    <row r="158" spans="1:16" x14ac:dyDescent="0.35">
      <c r="A158">
        <v>21</v>
      </c>
      <c r="B158">
        <v>2017</v>
      </c>
      <c r="C158">
        <v>1</v>
      </c>
      <c r="D158" t="s">
        <v>8</v>
      </c>
      <c r="E158" t="s">
        <v>9</v>
      </c>
      <c r="F158" t="s">
        <v>49</v>
      </c>
      <c r="G158" t="s">
        <v>50</v>
      </c>
      <c r="H158" s="4">
        <v>87.620889748549331</v>
      </c>
      <c r="I158" s="4">
        <f t="shared" si="8"/>
        <v>83.117363118601389</v>
      </c>
      <c r="J158" s="4">
        <f t="shared" si="6"/>
        <v>4.5035266299479417</v>
      </c>
      <c r="K158" s="4">
        <f t="shared" si="7"/>
        <v>20.281752106650266</v>
      </c>
    </row>
    <row r="159" spans="1:16" x14ac:dyDescent="0.35">
      <c r="A159">
        <v>22</v>
      </c>
      <c r="B159">
        <v>2017</v>
      </c>
      <c r="C159">
        <v>2</v>
      </c>
      <c r="D159" t="s">
        <v>8</v>
      </c>
      <c r="E159" t="s">
        <v>9</v>
      </c>
      <c r="F159" t="s">
        <v>49</v>
      </c>
      <c r="G159" t="s">
        <v>50</v>
      </c>
      <c r="H159" s="4">
        <v>85.621970920840056</v>
      </c>
      <c r="I159" s="4">
        <f t="shared" si="8"/>
        <v>87.170537085554543</v>
      </c>
      <c r="J159" s="4">
        <f t="shared" si="6"/>
        <v>-1.5485661647144866</v>
      </c>
      <c r="K159" s="4">
        <f t="shared" si="7"/>
        <v>2.3980571664985346</v>
      </c>
    </row>
    <row r="160" spans="1:16" x14ac:dyDescent="0.35">
      <c r="A160">
        <v>23</v>
      </c>
      <c r="B160">
        <v>2017</v>
      </c>
      <c r="C160">
        <v>3</v>
      </c>
      <c r="D160" t="s">
        <v>8</v>
      </c>
      <c r="E160" t="s">
        <v>9</v>
      </c>
      <c r="F160" t="s">
        <v>49</v>
      </c>
      <c r="G160" t="s">
        <v>50</v>
      </c>
      <c r="H160" s="4">
        <v>86.542056074766364</v>
      </c>
      <c r="I160" s="4">
        <f t="shared" si="8"/>
        <v>85.776827537311505</v>
      </c>
      <c r="J160" s="4">
        <f t="shared" si="6"/>
        <v>0.76522853745485975</v>
      </c>
      <c r="K160" s="4">
        <f t="shared" si="7"/>
        <v>0.58557471453530374</v>
      </c>
    </row>
    <row r="161" spans="1:11" x14ac:dyDescent="0.35">
      <c r="A161">
        <v>24</v>
      </c>
      <c r="B161">
        <v>2017</v>
      </c>
      <c r="C161">
        <v>4</v>
      </c>
      <c r="D161" t="s">
        <v>8</v>
      </c>
      <c r="E161" t="s">
        <v>9</v>
      </c>
      <c r="F161" t="s">
        <v>49</v>
      </c>
      <c r="G161" t="s">
        <v>50</v>
      </c>
      <c r="H161" s="4">
        <v>89.303904923599319</v>
      </c>
      <c r="I161" s="4">
        <f t="shared" si="8"/>
        <v>86.465533221020877</v>
      </c>
      <c r="J161" s="4">
        <f t="shared" si="6"/>
        <v>2.8383717025784421</v>
      </c>
      <c r="K161" s="4">
        <f t="shared" si="7"/>
        <v>8.0563539219980438</v>
      </c>
    </row>
    <row r="162" spans="1:11" x14ac:dyDescent="0.35">
      <c r="A162">
        <v>25</v>
      </c>
      <c r="B162">
        <v>2018</v>
      </c>
      <c r="C162">
        <v>1</v>
      </c>
      <c r="D162" t="s">
        <v>8</v>
      </c>
      <c r="E162" t="s">
        <v>9</v>
      </c>
      <c r="F162" t="s">
        <v>49</v>
      </c>
      <c r="G162" t="s">
        <v>50</v>
      </c>
      <c r="H162" s="4">
        <v>85.027726432532347</v>
      </c>
      <c r="I162" s="4">
        <f t="shared" si="8"/>
        <v>89.020067753341465</v>
      </c>
      <c r="J162" s="4">
        <f t="shared" si="6"/>
        <v>-3.9923413208091176</v>
      </c>
      <c r="K162" s="4">
        <f t="shared" si="7"/>
        <v>15.93878922183989</v>
      </c>
    </row>
    <row r="163" spans="1:11" x14ac:dyDescent="0.35">
      <c r="A163">
        <v>26</v>
      </c>
      <c r="B163">
        <v>2018</v>
      </c>
      <c r="C163">
        <v>2</v>
      </c>
      <c r="D163" t="s">
        <v>8</v>
      </c>
      <c r="E163" t="s">
        <v>9</v>
      </c>
      <c r="F163" t="s">
        <v>49</v>
      </c>
      <c r="G163" t="s">
        <v>50</v>
      </c>
      <c r="H163" s="4">
        <v>80.769230769230774</v>
      </c>
      <c r="I163" s="4">
        <f t="shared" si="8"/>
        <v>85.426960564613253</v>
      </c>
      <c r="J163" s="4">
        <f t="shared" si="6"/>
        <v>-4.6577297953824797</v>
      </c>
      <c r="K163" s="4">
        <f t="shared" si="7"/>
        <v>21.694446846793717</v>
      </c>
    </row>
    <row r="164" spans="1:11" x14ac:dyDescent="0.35">
      <c r="A164">
        <v>27</v>
      </c>
      <c r="B164">
        <v>2018</v>
      </c>
      <c r="C164">
        <v>3</v>
      </c>
      <c r="D164" t="s">
        <v>8</v>
      </c>
      <c r="E164" t="s">
        <v>9</v>
      </c>
      <c r="F164" t="s">
        <v>49</v>
      </c>
      <c r="G164" t="s">
        <v>50</v>
      </c>
      <c r="H164" s="4">
        <v>78.703703703703709</v>
      </c>
      <c r="I164" s="4">
        <f t="shared" si="8"/>
        <v>81.235003748769017</v>
      </c>
      <c r="J164" s="4">
        <f t="shared" si="6"/>
        <v>-2.5313000450653078</v>
      </c>
      <c r="K164" s="4">
        <f t="shared" si="7"/>
        <v>6.4074799181476294</v>
      </c>
    </row>
    <row r="165" spans="1:11" x14ac:dyDescent="0.35">
      <c r="A165">
        <v>28</v>
      </c>
      <c r="B165">
        <v>2018</v>
      </c>
      <c r="C165">
        <v>4</v>
      </c>
      <c r="D165" t="s">
        <v>8</v>
      </c>
      <c r="E165" t="s">
        <v>9</v>
      </c>
      <c r="F165" t="s">
        <v>49</v>
      </c>
      <c r="G165" t="s">
        <v>50</v>
      </c>
      <c r="H165" s="4">
        <v>80.060422960725077</v>
      </c>
      <c r="I165" s="4">
        <f t="shared" si="8"/>
        <v>78.95683370821024</v>
      </c>
      <c r="J165" s="4">
        <f t="shared" si="6"/>
        <v>1.103589252514837</v>
      </c>
      <c r="K165" s="4">
        <f t="shared" si="7"/>
        <v>1.2179092382662566</v>
      </c>
    </row>
    <row r="166" spans="1:11" x14ac:dyDescent="0.35">
      <c r="A166">
        <v>29</v>
      </c>
      <c r="B166">
        <v>2019</v>
      </c>
      <c r="C166">
        <v>1</v>
      </c>
      <c r="D166" t="s">
        <v>8</v>
      </c>
      <c r="E166" t="s">
        <v>9</v>
      </c>
      <c r="F166" t="s">
        <v>49</v>
      </c>
      <c r="G166" t="s">
        <v>50</v>
      </c>
      <c r="H166" s="4">
        <v>78.13559322033899</v>
      </c>
      <c r="I166" s="4">
        <f t="shared" si="8"/>
        <v>79.950064035473588</v>
      </c>
      <c r="J166" s="4">
        <f t="shared" si="6"/>
        <v>-1.8144708151345981</v>
      </c>
      <c r="K166" s="4">
        <f t="shared" si="7"/>
        <v>3.2923043389752129</v>
      </c>
    </row>
    <row r="167" spans="1:11" x14ac:dyDescent="0.35">
      <c r="A167">
        <v>30</v>
      </c>
      <c r="B167">
        <v>2019</v>
      </c>
      <c r="C167">
        <v>2</v>
      </c>
      <c r="D167" t="s">
        <v>8</v>
      </c>
      <c r="E167" t="s">
        <v>9</v>
      </c>
      <c r="F167" t="s">
        <v>49</v>
      </c>
      <c r="G167" t="s">
        <v>50</v>
      </c>
      <c r="H167" s="4">
        <v>73.668188736681884</v>
      </c>
      <c r="I167" s="4">
        <f t="shared" si="8"/>
        <v>78.317040301852444</v>
      </c>
      <c r="J167" s="4">
        <f t="shared" si="6"/>
        <v>-4.6488515651705598</v>
      </c>
      <c r="K167" s="4">
        <f t="shared" si="7"/>
        <v>21.611820874988762</v>
      </c>
    </row>
    <row r="168" spans="1:11" x14ac:dyDescent="0.35">
      <c r="A168">
        <v>31</v>
      </c>
      <c r="B168">
        <v>2019</v>
      </c>
      <c r="C168">
        <v>3</v>
      </c>
      <c r="D168" t="s">
        <v>8</v>
      </c>
      <c r="E168" t="s">
        <v>9</v>
      </c>
      <c r="F168" t="s">
        <v>49</v>
      </c>
      <c r="G168" t="s">
        <v>50</v>
      </c>
      <c r="H168" s="4">
        <v>78.236130867709818</v>
      </c>
      <c r="I168" s="4">
        <f t="shared" si="8"/>
        <v>74.13307389319894</v>
      </c>
      <c r="J168" s="4">
        <f t="shared" si="6"/>
        <v>4.1030569745108778</v>
      </c>
      <c r="K168" s="4">
        <f t="shared" si="7"/>
        <v>16.835076536082358</v>
      </c>
    </row>
    <row r="169" spans="1:11" x14ac:dyDescent="0.35">
      <c r="A169">
        <v>32</v>
      </c>
      <c r="B169">
        <v>2019</v>
      </c>
      <c r="C169">
        <v>4</v>
      </c>
      <c r="D169" t="s">
        <v>8</v>
      </c>
      <c r="E169" t="s">
        <v>9</v>
      </c>
      <c r="F169" t="s">
        <v>49</v>
      </c>
      <c r="G169" t="s">
        <v>50</v>
      </c>
      <c r="H169" s="4">
        <v>80.277349768875197</v>
      </c>
      <c r="I169" s="4">
        <f t="shared" si="8"/>
        <v>77.825825170258739</v>
      </c>
      <c r="J169" s="4">
        <f t="shared" si="6"/>
        <v>2.4515245986164587</v>
      </c>
      <c r="K169" s="4">
        <f t="shared" si="7"/>
        <v>6.0099728576215892</v>
      </c>
    </row>
    <row r="170" spans="1:11" x14ac:dyDescent="0.35">
      <c r="A170">
        <v>33</v>
      </c>
      <c r="B170">
        <v>2021</v>
      </c>
      <c r="C170">
        <v>1</v>
      </c>
      <c r="D170" t="s">
        <v>8</v>
      </c>
      <c r="E170" t="s">
        <v>9</v>
      </c>
      <c r="F170" t="s">
        <v>49</v>
      </c>
      <c r="G170" t="s">
        <v>50</v>
      </c>
      <c r="H170" s="4">
        <v>82.736156351791536</v>
      </c>
      <c r="I170" s="4">
        <f t="shared" si="8"/>
        <v>80.032197309013554</v>
      </c>
      <c r="J170" s="4">
        <f t="shared" si="6"/>
        <v>2.7039590427779814</v>
      </c>
      <c r="K170" s="4">
        <f t="shared" si="7"/>
        <v>7.3113945050208171</v>
      </c>
    </row>
    <row r="171" spans="1:11" x14ac:dyDescent="0.35">
      <c r="A171">
        <v>34</v>
      </c>
      <c r="B171">
        <v>2021</v>
      </c>
      <c r="C171">
        <v>2</v>
      </c>
      <c r="D171" t="s">
        <v>8</v>
      </c>
      <c r="E171" t="s">
        <v>9</v>
      </c>
      <c r="F171" t="s">
        <v>49</v>
      </c>
      <c r="G171" t="s">
        <v>50</v>
      </c>
      <c r="H171" s="4">
        <v>85.348506401137982</v>
      </c>
      <c r="I171" s="4">
        <f t="shared" si="8"/>
        <v>82.46576044751373</v>
      </c>
      <c r="J171" s="4">
        <f t="shared" si="6"/>
        <v>2.8827459536242515</v>
      </c>
      <c r="K171" s="4">
        <f t="shared" si="7"/>
        <v>8.3102242331369958</v>
      </c>
    </row>
    <row r="172" spans="1:11" x14ac:dyDescent="0.35">
      <c r="A172">
        <v>35</v>
      </c>
      <c r="B172">
        <v>2021</v>
      </c>
      <c r="C172">
        <v>3</v>
      </c>
      <c r="D172" t="s">
        <v>8</v>
      </c>
      <c r="E172" t="s">
        <v>9</v>
      </c>
      <c r="F172" t="s">
        <v>49</v>
      </c>
      <c r="G172" t="s">
        <v>50</v>
      </c>
      <c r="H172" s="4">
        <v>85.126162018592296</v>
      </c>
      <c r="I172" s="4">
        <f t="shared" si="8"/>
        <v>85.060231805775544</v>
      </c>
      <c r="J172" s="4">
        <f t="shared" si="6"/>
        <v>6.5930212816752487E-2</v>
      </c>
      <c r="K172" s="4">
        <f t="shared" si="7"/>
        <v>4.346792962062274E-3</v>
      </c>
    </row>
    <row r="173" spans="1:11" x14ac:dyDescent="0.35">
      <c r="A173">
        <v>36</v>
      </c>
      <c r="B173">
        <v>2021</v>
      </c>
      <c r="C173">
        <v>4</v>
      </c>
      <c r="D173" t="s">
        <v>8</v>
      </c>
      <c r="E173" t="s">
        <v>9</v>
      </c>
      <c r="F173" t="s">
        <v>49</v>
      </c>
      <c r="G173" t="s">
        <v>50</v>
      </c>
      <c r="H173" s="4">
        <v>82.871536523929464</v>
      </c>
      <c r="I173" s="4">
        <f t="shared" si="8"/>
        <v>85.119568997310623</v>
      </c>
      <c r="J173" s="4">
        <f t="shared" si="6"/>
        <v>-2.2480324733811585</v>
      </c>
      <c r="K173" s="4">
        <f t="shared" si="7"/>
        <v>5.0536500013762096</v>
      </c>
    </row>
    <row r="174" spans="1:11" x14ac:dyDescent="0.35">
      <c r="A174">
        <v>37</v>
      </c>
      <c r="I174" s="4">
        <f t="shared" si="8"/>
        <v>83.09633977126758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26C0-7B27-4690-8862-B0D723DD6170}">
  <dimension ref="A1:I18"/>
  <sheetViews>
    <sheetView workbookViewId="0">
      <selection activeCell="A16" sqref="A16:B18"/>
    </sheetView>
  </sheetViews>
  <sheetFormatPr defaultRowHeight="14.5" x14ac:dyDescent="0.35"/>
  <sheetData>
    <row r="1" spans="1:9" x14ac:dyDescent="0.35">
      <c r="A1" t="s">
        <v>27</v>
      </c>
    </row>
    <row r="2" spans="1:9" ht="15" thickBot="1" x14ac:dyDescent="0.4"/>
    <row r="3" spans="1:9" x14ac:dyDescent="0.35">
      <c r="A3" s="7" t="s">
        <v>28</v>
      </c>
      <c r="B3" s="7"/>
    </row>
    <row r="4" spans="1:9" x14ac:dyDescent="0.35">
      <c r="A4" t="s">
        <v>29</v>
      </c>
      <c r="B4">
        <v>0.83972517095599764</v>
      </c>
    </row>
    <row r="5" spans="1:9" x14ac:dyDescent="0.35">
      <c r="A5" t="s">
        <v>30</v>
      </c>
      <c r="B5">
        <v>0.70513836273707942</v>
      </c>
    </row>
    <row r="6" spans="1:9" x14ac:dyDescent="0.35">
      <c r="A6" t="s">
        <v>31</v>
      </c>
      <c r="B6">
        <v>0.69646596164111119</v>
      </c>
    </row>
    <row r="7" spans="1:9" x14ac:dyDescent="0.35">
      <c r="A7" t="s">
        <v>32</v>
      </c>
      <c r="B7">
        <v>3.3101401535024291</v>
      </c>
    </row>
    <row r="8" spans="1:9" ht="15" thickBot="1" x14ac:dyDescent="0.4">
      <c r="A8" s="6" t="s">
        <v>33</v>
      </c>
      <c r="B8" s="6">
        <v>36</v>
      </c>
    </row>
    <row r="10" spans="1:9" ht="15" thickBot="1" x14ac:dyDescent="0.4">
      <c r="A10" t="s">
        <v>34</v>
      </c>
    </row>
    <row r="11" spans="1:9" x14ac:dyDescent="0.35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 x14ac:dyDescent="0.35">
      <c r="A12" t="s">
        <v>40</v>
      </c>
      <c r="B12">
        <v>1</v>
      </c>
      <c r="C12">
        <v>890.89752458670262</v>
      </c>
      <c r="D12">
        <v>890.89752458670262</v>
      </c>
      <c r="E12">
        <v>81.308319914411456</v>
      </c>
      <c r="F12">
        <v>1.5398105550837977E-10</v>
      </c>
    </row>
    <row r="13" spans="1:9" x14ac:dyDescent="0.35">
      <c r="A13" t="s">
        <v>41</v>
      </c>
      <c r="B13">
        <v>34</v>
      </c>
      <c r="C13">
        <v>372.53894641818886</v>
      </c>
      <c r="D13">
        <v>10.957027835829084</v>
      </c>
    </row>
    <row r="14" spans="1:9" ht="15" thickBot="1" x14ac:dyDescent="0.4">
      <c r="A14" s="6" t="s">
        <v>42</v>
      </c>
      <c r="B14" s="6">
        <v>35</v>
      </c>
      <c r="C14" s="6">
        <v>1263.4364710048915</v>
      </c>
      <c r="D14" s="6"/>
      <c r="E14" s="6"/>
      <c r="F14" s="6"/>
    </row>
    <row r="15" spans="1:9" ht="15" thickBot="1" x14ac:dyDescent="0.4"/>
    <row r="16" spans="1:9" x14ac:dyDescent="0.35">
      <c r="A16" s="5"/>
      <c r="B16" s="5" t="s">
        <v>17</v>
      </c>
      <c r="C16" s="5" t="s">
        <v>32</v>
      </c>
      <c r="D16" s="5" t="s">
        <v>43</v>
      </c>
      <c r="E16" s="5" t="s">
        <v>44</v>
      </c>
      <c r="F16" s="5" t="s">
        <v>45</v>
      </c>
      <c r="G16" s="5" t="s">
        <v>46</v>
      </c>
      <c r="H16" s="5" t="s">
        <v>47</v>
      </c>
      <c r="I16" s="5" t="s">
        <v>48</v>
      </c>
    </row>
    <row r="17" spans="1:9" x14ac:dyDescent="0.35">
      <c r="A17" t="s">
        <v>18</v>
      </c>
      <c r="B17">
        <v>96.707304207377732</v>
      </c>
      <c r="C17">
        <v>1.1267758696129857</v>
      </c>
      <c r="D17">
        <v>85.826566591804848</v>
      </c>
      <c r="E17">
        <v>2.4657856076200997E-41</v>
      </c>
      <c r="F17">
        <v>94.417420133125049</v>
      </c>
      <c r="G17">
        <v>98.997188281630415</v>
      </c>
      <c r="H17">
        <v>94.417420133125049</v>
      </c>
      <c r="I17">
        <v>98.997188281630415</v>
      </c>
    </row>
    <row r="18" spans="1:9" ht="15" thickBot="1" x14ac:dyDescent="0.4">
      <c r="A18" s="6" t="s">
        <v>0</v>
      </c>
      <c r="B18" s="6">
        <v>-0.47887080945268473</v>
      </c>
      <c r="C18" s="6">
        <v>5.3106890186530337E-2</v>
      </c>
      <c r="D18" s="6">
        <v>-9.0171126151563321</v>
      </c>
      <c r="E18" s="6">
        <v>1.5398105550837977E-10</v>
      </c>
      <c r="F18" s="6">
        <v>-0.58679699544120001</v>
      </c>
      <c r="G18" s="6">
        <v>-0.3709446234641694</v>
      </c>
      <c r="H18" s="6">
        <v>-0.58679699544120001</v>
      </c>
      <c r="I18" s="6">
        <v>-0.3709446234641694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B8A2-C6A0-4825-9DDA-E3359407B86A}">
  <dimension ref="A1:I21"/>
  <sheetViews>
    <sheetView workbookViewId="0">
      <selection activeCell="A16" sqref="A16:B21"/>
    </sheetView>
  </sheetViews>
  <sheetFormatPr defaultRowHeight="14.5" x14ac:dyDescent="0.35"/>
  <sheetData>
    <row r="1" spans="1:9" x14ac:dyDescent="0.35">
      <c r="A1" t="s">
        <v>27</v>
      </c>
    </row>
    <row r="2" spans="1:9" ht="15" thickBot="1" x14ac:dyDescent="0.4"/>
    <row r="3" spans="1:9" x14ac:dyDescent="0.35">
      <c r="A3" s="7" t="s">
        <v>28</v>
      </c>
      <c r="B3" s="7"/>
    </row>
    <row r="4" spans="1:9" x14ac:dyDescent="0.35">
      <c r="A4" t="s">
        <v>29</v>
      </c>
      <c r="B4">
        <v>0.84295664785829028</v>
      </c>
    </row>
    <row r="5" spans="1:9" x14ac:dyDescent="0.35">
      <c r="A5" t="s">
        <v>30</v>
      </c>
      <c r="B5">
        <v>0.71057591016848565</v>
      </c>
    </row>
    <row r="6" spans="1:9" x14ac:dyDescent="0.35">
      <c r="A6" t="s">
        <v>31</v>
      </c>
      <c r="B6">
        <v>0.67323086631925799</v>
      </c>
    </row>
    <row r="7" spans="1:9" x14ac:dyDescent="0.35">
      <c r="A7" t="s">
        <v>32</v>
      </c>
      <c r="B7">
        <v>3.4344974308620153</v>
      </c>
    </row>
    <row r="8" spans="1:9" ht="15" thickBot="1" x14ac:dyDescent="0.4">
      <c r="A8" s="6" t="s">
        <v>33</v>
      </c>
      <c r="B8" s="6">
        <v>36</v>
      </c>
    </row>
    <row r="10" spans="1:9" ht="15" thickBot="1" x14ac:dyDescent="0.4">
      <c r="A10" t="s">
        <v>34</v>
      </c>
    </row>
    <row r="11" spans="1:9" x14ac:dyDescent="0.35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 x14ac:dyDescent="0.35">
      <c r="A12" t="s">
        <v>40</v>
      </c>
      <c r="B12">
        <v>4</v>
      </c>
      <c r="C12">
        <v>897.76752032436025</v>
      </c>
      <c r="D12">
        <v>224.44188008109006</v>
      </c>
      <c r="E12">
        <v>19.027314923963626</v>
      </c>
      <c r="F12">
        <v>5.413429133566897E-8</v>
      </c>
    </row>
    <row r="13" spans="1:9" x14ac:dyDescent="0.35">
      <c r="A13" t="s">
        <v>41</v>
      </c>
      <c r="B13">
        <v>31</v>
      </c>
      <c r="C13">
        <v>365.66895068053128</v>
      </c>
      <c r="D13">
        <v>11.795772602597783</v>
      </c>
    </row>
    <row r="14" spans="1:9" ht="15" thickBot="1" x14ac:dyDescent="0.4">
      <c r="A14" s="6" t="s">
        <v>42</v>
      </c>
      <c r="B14" s="6">
        <v>35</v>
      </c>
      <c r="C14" s="6">
        <v>1263.4364710048915</v>
      </c>
      <c r="D14" s="6"/>
      <c r="E14" s="6"/>
      <c r="F14" s="6"/>
    </row>
    <row r="15" spans="1:9" ht="15" thickBot="1" x14ac:dyDescent="0.4"/>
    <row r="16" spans="1:9" x14ac:dyDescent="0.35">
      <c r="A16" s="5"/>
      <c r="B16" s="5" t="s">
        <v>17</v>
      </c>
      <c r="C16" s="5" t="s">
        <v>32</v>
      </c>
      <c r="D16" s="5" t="s">
        <v>43</v>
      </c>
      <c r="E16" s="5" t="s">
        <v>44</v>
      </c>
      <c r="F16" s="5" t="s">
        <v>45</v>
      </c>
      <c r="G16" s="5" t="s">
        <v>46</v>
      </c>
      <c r="H16" s="5" t="s">
        <v>47</v>
      </c>
      <c r="I16" s="5" t="s">
        <v>48</v>
      </c>
    </row>
    <row r="17" spans="1:9" x14ac:dyDescent="0.35">
      <c r="A17" t="s">
        <v>18</v>
      </c>
      <c r="B17">
        <v>97.419813831435903</v>
      </c>
      <c r="C17">
        <v>1.593539366648733</v>
      </c>
      <c r="D17">
        <v>61.134237327511435</v>
      </c>
      <c r="E17">
        <v>6.9202832140727569E-34</v>
      </c>
      <c r="F17">
        <v>94.169768865793799</v>
      </c>
      <c r="G17">
        <v>100.66985879707801</v>
      </c>
      <c r="H17">
        <v>94.169768865793799</v>
      </c>
      <c r="I17">
        <v>100.66985879707801</v>
      </c>
    </row>
    <row r="18" spans="1:9" x14ac:dyDescent="0.35">
      <c r="A18" t="s">
        <v>0</v>
      </c>
      <c r="B18">
        <v>-0.48207667409259763</v>
      </c>
      <c r="C18">
        <v>5.5423963968003101E-2</v>
      </c>
      <c r="D18">
        <v>-8.6979825977605305</v>
      </c>
      <c r="E18">
        <v>8.0258015166099602E-10</v>
      </c>
      <c r="F18">
        <v>-0.59511459385792997</v>
      </c>
      <c r="G18">
        <v>-0.36903875432726529</v>
      </c>
      <c r="H18">
        <v>-0.59511459385792997</v>
      </c>
      <c r="I18">
        <v>-0.36903875432726529</v>
      </c>
    </row>
    <row r="19" spans="1:9" x14ac:dyDescent="0.35">
      <c r="A19" t="s">
        <v>20</v>
      </c>
      <c r="B19">
        <v>-0.72898527551752645</v>
      </c>
      <c r="C19">
        <v>1.6275531151439031</v>
      </c>
      <c r="D19">
        <v>-0.44790260221588646</v>
      </c>
      <c r="E19">
        <v>0.65733812481193898</v>
      </c>
      <c r="F19">
        <v>-4.048401738577879</v>
      </c>
      <c r="G19">
        <v>2.5904311875428259</v>
      </c>
      <c r="H19">
        <v>-4.048401738577879</v>
      </c>
      <c r="I19">
        <v>2.5904311875428259</v>
      </c>
    </row>
    <row r="20" spans="1:9" x14ac:dyDescent="0.35">
      <c r="A20" t="s">
        <v>21</v>
      </c>
      <c r="B20">
        <v>-1.2322966083002851</v>
      </c>
      <c r="C20">
        <v>1.6228277985371677</v>
      </c>
      <c r="D20">
        <v>-0.75935142928355603</v>
      </c>
      <c r="E20">
        <v>0.45337825456677749</v>
      </c>
      <c r="F20">
        <v>-4.5420757246027197</v>
      </c>
      <c r="G20">
        <v>2.07748250800215</v>
      </c>
      <c r="H20">
        <v>-4.5420757246027197</v>
      </c>
      <c r="I20">
        <v>2.07748250800215</v>
      </c>
    </row>
    <row r="21" spans="1:9" ht="15" thickBot="1" x14ac:dyDescent="0.4">
      <c r="A21" s="6" t="s">
        <v>22</v>
      </c>
      <c r="B21" s="6">
        <v>-0.65152262906138658</v>
      </c>
      <c r="C21" s="6">
        <v>1.6199859926429028</v>
      </c>
      <c r="D21" s="6">
        <v>-0.40217793982185573</v>
      </c>
      <c r="E21" s="6">
        <v>0.69031276286658638</v>
      </c>
      <c r="F21" s="6">
        <v>-3.9555058440304194</v>
      </c>
      <c r="G21" s="6">
        <v>2.6524605859076464</v>
      </c>
      <c r="H21" s="6">
        <v>-3.9555058440304194</v>
      </c>
      <c r="I21" s="6">
        <v>2.6524605859076464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31B2-8EBE-4318-8881-0450E19B8930}">
  <dimension ref="A1:R172"/>
  <sheetViews>
    <sheetView workbookViewId="0">
      <selection activeCell="H12" sqref="H12"/>
    </sheetView>
  </sheetViews>
  <sheetFormatPr defaultRowHeight="14.5" x14ac:dyDescent="0.35"/>
  <cols>
    <col min="1" max="1" width="6.1796875" bestFit="1" customWidth="1"/>
    <col min="2" max="2" width="4.81640625" bestFit="1" customWidth="1"/>
    <col min="4" max="5" width="0" hidden="1" customWidth="1"/>
    <col min="6" max="6" width="9.7265625" bestFit="1" customWidth="1"/>
    <col min="7" max="7" width="31.7265625" bestFit="1" customWidth="1"/>
    <col min="8" max="8" width="27.36328125" style="4" bestFit="1" customWidth="1"/>
  </cols>
  <sheetData>
    <row r="1" spans="1:9" ht="23.5" x14ac:dyDescent="0.55000000000000004">
      <c r="A1" s="11" t="s">
        <v>82</v>
      </c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3"/>
    </row>
    <row r="3" spans="1:9" x14ac:dyDescent="0.35">
      <c r="A3">
        <v>1</v>
      </c>
      <c r="B3">
        <v>2012</v>
      </c>
      <c r="C3">
        <v>1</v>
      </c>
      <c r="D3" t="s">
        <v>8</v>
      </c>
      <c r="E3" t="s">
        <v>9</v>
      </c>
      <c r="F3" t="s">
        <v>52</v>
      </c>
      <c r="G3" t="s">
        <v>53</v>
      </c>
      <c r="H3" s="4">
        <v>95.927601809954751</v>
      </c>
    </row>
    <row r="4" spans="1:9" x14ac:dyDescent="0.35">
      <c r="A4">
        <v>2</v>
      </c>
      <c r="B4">
        <v>2012</v>
      </c>
      <c r="C4">
        <v>2</v>
      </c>
      <c r="D4" t="s">
        <v>8</v>
      </c>
      <c r="E4" t="s">
        <v>9</v>
      </c>
      <c r="F4" t="s">
        <v>52</v>
      </c>
      <c r="G4" t="s">
        <v>53</v>
      </c>
      <c r="H4" s="4">
        <v>96.832579185520359</v>
      </c>
    </row>
    <row r="5" spans="1:9" x14ac:dyDescent="0.35">
      <c r="A5">
        <v>3</v>
      </c>
      <c r="B5">
        <v>2012</v>
      </c>
      <c r="C5">
        <v>3</v>
      </c>
      <c r="D5" t="s">
        <v>8</v>
      </c>
      <c r="E5" t="s">
        <v>9</v>
      </c>
      <c r="F5" t="s">
        <v>52</v>
      </c>
      <c r="G5" t="s">
        <v>53</v>
      </c>
      <c r="H5" s="4">
        <v>95.238095238095227</v>
      </c>
    </row>
    <row r="6" spans="1:9" x14ac:dyDescent="0.35">
      <c r="A6">
        <v>4</v>
      </c>
      <c r="B6">
        <v>2012</v>
      </c>
      <c r="C6">
        <v>4</v>
      </c>
      <c r="D6" t="s">
        <v>8</v>
      </c>
      <c r="E6" t="s">
        <v>9</v>
      </c>
      <c r="F6" t="s">
        <v>52</v>
      </c>
      <c r="G6" t="s">
        <v>53</v>
      </c>
      <c r="H6" s="4">
        <v>95.544554455445535</v>
      </c>
    </row>
    <row r="7" spans="1:9" x14ac:dyDescent="0.35">
      <c r="A7">
        <v>5</v>
      </c>
      <c r="B7">
        <v>2013</v>
      </c>
      <c r="C7">
        <v>1</v>
      </c>
      <c r="D7" t="s">
        <v>8</v>
      </c>
      <c r="E7" t="s">
        <v>9</v>
      </c>
      <c r="F7" t="s">
        <v>52</v>
      </c>
      <c r="G7" t="s">
        <v>53</v>
      </c>
      <c r="H7" s="4">
        <v>93.212669683257914</v>
      </c>
    </row>
    <row r="8" spans="1:9" x14ac:dyDescent="0.35">
      <c r="A8">
        <v>6</v>
      </c>
      <c r="B8">
        <v>2013</v>
      </c>
      <c r="C8">
        <v>2</v>
      </c>
      <c r="D8" t="s">
        <v>8</v>
      </c>
      <c r="E8" t="s">
        <v>9</v>
      </c>
      <c r="F8" t="s">
        <v>52</v>
      </c>
      <c r="G8" t="s">
        <v>53</v>
      </c>
      <c r="H8" s="4">
        <v>94.468085106382986</v>
      </c>
    </row>
    <row r="9" spans="1:9" x14ac:dyDescent="0.35">
      <c r="A9">
        <v>7</v>
      </c>
      <c r="B9">
        <v>2013</v>
      </c>
      <c r="C9">
        <v>3</v>
      </c>
      <c r="D9" t="s">
        <v>8</v>
      </c>
      <c r="E9" t="s">
        <v>9</v>
      </c>
      <c r="F9" t="s">
        <v>52</v>
      </c>
      <c r="G9" t="s">
        <v>53</v>
      </c>
      <c r="H9" s="4">
        <v>96</v>
      </c>
    </row>
    <row r="10" spans="1:9" x14ac:dyDescent="0.35">
      <c r="A10">
        <v>8</v>
      </c>
      <c r="B10">
        <v>2013</v>
      </c>
      <c r="C10">
        <v>4</v>
      </c>
      <c r="D10" t="s">
        <v>8</v>
      </c>
      <c r="E10" t="s">
        <v>9</v>
      </c>
      <c r="F10" t="s">
        <v>52</v>
      </c>
      <c r="G10" t="s">
        <v>53</v>
      </c>
      <c r="H10" s="4">
        <v>90.366972477064223</v>
      </c>
    </row>
    <row r="11" spans="1:9" x14ac:dyDescent="0.35">
      <c r="A11">
        <v>9</v>
      </c>
      <c r="B11">
        <v>2014</v>
      </c>
      <c r="C11">
        <v>1</v>
      </c>
      <c r="D11" t="s">
        <v>8</v>
      </c>
      <c r="E11" t="s">
        <v>9</v>
      </c>
      <c r="F11" t="s">
        <v>52</v>
      </c>
      <c r="G11" t="s">
        <v>53</v>
      </c>
      <c r="H11" s="4">
        <v>91.079812206572768</v>
      </c>
    </row>
    <row r="12" spans="1:9" x14ac:dyDescent="0.35">
      <c r="A12">
        <v>10</v>
      </c>
      <c r="B12">
        <v>2014</v>
      </c>
      <c r="C12">
        <v>2</v>
      </c>
      <c r="D12" t="s">
        <v>8</v>
      </c>
      <c r="E12" t="s">
        <v>9</v>
      </c>
      <c r="F12" t="s">
        <v>52</v>
      </c>
      <c r="G12" t="s">
        <v>53</v>
      </c>
      <c r="H12" s="4">
        <v>94.805194805194802</v>
      </c>
    </row>
    <row r="13" spans="1:9" x14ac:dyDescent="0.35">
      <c r="A13">
        <v>11</v>
      </c>
      <c r="B13">
        <v>2014</v>
      </c>
      <c r="C13">
        <v>3</v>
      </c>
      <c r="D13" t="s">
        <v>8</v>
      </c>
      <c r="E13" t="s">
        <v>9</v>
      </c>
      <c r="F13" t="s">
        <v>52</v>
      </c>
      <c r="G13" t="s">
        <v>53</v>
      </c>
      <c r="H13" s="4">
        <v>97.787610619469021</v>
      </c>
    </row>
    <row r="14" spans="1:9" x14ac:dyDescent="0.35">
      <c r="A14">
        <v>12</v>
      </c>
      <c r="B14">
        <v>2014</v>
      </c>
      <c r="C14">
        <v>4</v>
      </c>
      <c r="D14" t="s">
        <v>8</v>
      </c>
      <c r="E14" t="s">
        <v>9</v>
      </c>
      <c r="F14" t="s">
        <v>52</v>
      </c>
      <c r="G14" t="s">
        <v>53</v>
      </c>
      <c r="H14" s="4">
        <v>96.943231441048042</v>
      </c>
    </row>
    <row r="15" spans="1:9" x14ac:dyDescent="0.35">
      <c r="A15">
        <v>13</v>
      </c>
      <c r="B15">
        <v>2015</v>
      </c>
      <c r="C15">
        <v>1</v>
      </c>
      <c r="D15" t="s">
        <v>8</v>
      </c>
      <c r="E15" t="s">
        <v>9</v>
      </c>
      <c r="F15" t="s">
        <v>52</v>
      </c>
      <c r="G15" t="s">
        <v>53</v>
      </c>
      <c r="H15" s="4">
        <v>91.709844559585491</v>
      </c>
    </row>
    <row r="16" spans="1:9" x14ac:dyDescent="0.35">
      <c r="A16">
        <v>14</v>
      </c>
      <c r="B16">
        <v>2015</v>
      </c>
      <c r="C16">
        <v>2</v>
      </c>
      <c r="D16" t="s">
        <v>8</v>
      </c>
      <c r="E16" t="s">
        <v>9</v>
      </c>
      <c r="F16" t="s">
        <v>52</v>
      </c>
      <c r="G16" t="s">
        <v>53</v>
      </c>
      <c r="H16" s="4">
        <v>92.672413793103445</v>
      </c>
    </row>
    <row r="17" spans="1:8" x14ac:dyDescent="0.35">
      <c r="A17">
        <v>15</v>
      </c>
      <c r="B17">
        <v>2015</v>
      </c>
      <c r="C17">
        <v>3</v>
      </c>
      <c r="D17" t="s">
        <v>8</v>
      </c>
      <c r="E17" t="s">
        <v>9</v>
      </c>
      <c r="F17" t="s">
        <v>52</v>
      </c>
      <c r="G17" t="s">
        <v>53</v>
      </c>
      <c r="H17" s="4">
        <v>86.142322097378283</v>
      </c>
    </row>
    <row r="18" spans="1:8" x14ac:dyDescent="0.35">
      <c r="A18">
        <v>16</v>
      </c>
      <c r="B18">
        <v>2015</v>
      </c>
      <c r="C18">
        <v>4</v>
      </c>
      <c r="D18" t="s">
        <v>8</v>
      </c>
      <c r="E18" t="s">
        <v>9</v>
      </c>
      <c r="F18" t="s">
        <v>52</v>
      </c>
      <c r="G18" t="s">
        <v>53</v>
      </c>
      <c r="H18" s="4">
        <v>88.659793814432987</v>
      </c>
    </row>
    <row r="19" spans="1:8" x14ac:dyDescent="0.35">
      <c r="A19">
        <v>17</v>
      </c>
      <c r="B19">
        <v>2016</v>
      </c>
      <c r="C19">
        <v>1</v>
      </c>
      <c r="D19" t="s">
        <v>8</v>
      </c>
      <c r="E19" t="s">
        <v>9</v>
      </c>
      <c r="F19" t="s">
        <v>52</v>
      </c>
      <c r="G19" t="s">
        <v>53</v>
      </c>
      <c r="H19" s="4">
        <v>92.410714285714292</v>
      </c>
    </row>
    <row r="20" spans="1:8" x14ac:dyDescent="0.35">
      <c r="A20">
        <v>18</v>
      </c>
      <c r="B20">
        <v>2016</v>
      </c>
      <c r="C20">
        <v>2</v>
      </c>
      <c r="D20" t="s">
        <v>8</v>
      </c>
      <c r="E20" t="s">
        <v>9</v>
      </c>
      <c r="F20" t="s">
        <v>52</v>
      </c>
      <c r="G20" t="s">
        <v>53</v>
      </c>
      <c r="H20" s="4">
        <v>89.610389610389603</v>
      </c>
    </row>
    <row r="21" spans="1:8" x14ac:dyDescent="0.35">
      <c r="A21">
        <v>19</v>
      </c>
      <c r="B21">
        <v>2016</v>
      </c>
      <c r="C21">
        <v>3</v>
      </c>
      <c r="D21" t="s">
        <v>8</v>
      </c>
      <c r="E21" t="s">
        <v>9</v>
      </c>
      <c r="F21" t="s">
        <v>52</v>
      </c>
      <c r="G21" t="s">
        <v>53</v>
      </c>
      <c r="H21" s="4">
        <v>82.969432314410483</v>
      </c>
    </row>
    <row r="22" spans="1:8" x14ac:dyDescent="0.35">
      <c r="A22">
        <v>20</v>
      </c>
      <c r="B22">
        <v>2016</v>
      </c>
      <c r="C22">
        <v>4</v>
      </c>
      <c r="D22" t="s">
        <v>8</v>
      </c>
      <c r="E22" t="s">
        <v>9</v>
      </c>
      <c r="F22" t="s">
        <v>52</v>
      </c>
      <c r="G22" t="s">
        <v>53</v>
      </c>
      <c r="H22" s="4">
        <v>87.169811320754718</v>
      </c>
    </row>
    <row r="23" spans="1:8" x14ac:dyDescent="0.35">
      <c r="A23">
        <v>21</v>
      </c>
      <c r="B23">
        <v>2017</v>
      </c>
      <c r="C23">
        <v>1</v>
      </c>
      <c r="D23" t="s">
        <v>8</v>
      </c>
      <c r="E23" t="s">
        <v>9</v>
      </c>
      <c r="F23" t="s">
        <v>52</v>
      </c>
      <c r="G23" t="s">
        <v>53</v>
      </c>
      <c r="H23" s="4">
        <v>89.88326848249028</v>
      </c>
    </row>
    <row r="24" spans="1:8" x14ac:dyDescent="0.35">
      <c r="A24">
        <v>22</v>
      </c>
      <c r="B24">
        <v>2017</v>
      </c>
      <c r="C24">
        <v>2</v>
      </c>
      <c r="D24" t="s">
        <v>8</v>
      </c>
      <c r="E24" t="s">
        <v>9</v>
      </c>
      <c r="F24" t="s">
        <v>52</v>
      </c>
      <c r="G24" t="s">
        <v>53</v>
      </c>
      <c r="H24" s="4">
        <v>90.34749034749035</v>
      </c>
    </row>
    <row r="25" spans="1:8" x14ac:dyDescent="0.35">
      <c r="A25">
        <v>23</v>
      </c>
      <c r="B25">
        <v>2017</v>
      </c>
      <c r="C25">
        <v>3</v>
      </c>
      <c r="D25" t="s">
        <v>8</v>
      </c>
      <c r="E25" t="s">
        <v>9</v>
      </c>
      <c r="F25" t="s">
        <v>52</v>
      </c>
      <c r="G25" t="s">
        <v>53</v>
      </c>
      <c r="H25" s="4">
        <v>89.642857142857153</v>
      </c>
    </row>
    <row r="26" spans="1:8" x14ac:dyDescent="0.35">
      <c r="A26">
        <v>24</v>
      </c>
      <c r="B26">
        <v>2017</v>
      </c>
      <c r="C26">
        <v>4</v>
      </c>
      <c r="D26" t="s">
        <v>8</v>
      </c>
      <c r="E26" t="s">
        <v>9</v>
      </c>
      <c r="F26" t="s">
        <v>52</v>
      </c>
      <c r="G26" t="s">
        <v>53</v>
      </c>
      <c r="H26" s="4">
        <v>89.400921658986178</v>
      </c>
    </row>
    <row r="27" spans="1:8" x14ac:dyDescent="0.35">
      <c r="A27">
        <v>25</v>
      </c>
      <c r="B27">
        <v>2018</v>
      </c>
      <c r="C27">
        <v>1</v>
      </c>
      <c r="D27" t="s">
        <v>8</v>
      </c>
      <c r="E27" t="s">
        <v>9</v>
      </c>
      <c r="F27" t="s">
        <v>52</v>
      </c>
      <c r="G27" t="s">
        <v>53</v>
      </c>
      <c r="H27" s="4">
        <v>86.419753086419746</v>
      </c>
    </row>
    <row r="28" spans="1:8" x14ac:dyDescent="0.35">
      <c r="A28">
        <v>26</v>
      </c>
      <c r="B28">
        <v>2018</v>
      </c>
      <c r="C28">
        <v>2</v>
      </c>
      <c r="D28" t="s">
        <v>8</v>
      </c>
      <c r="E28" t="s">
        <v>9</v>
      </c>
      <c r="F28" t="s">
        <v>52</v>
      </c>
      <c r="G28" t="s">
        <v>53</v>
      </c>
      <c r="H28" s="4">
        <v>87.931034482758619</v>
      </c>
    </row>
    <row r="29" spans="1:8" x14ac:dyDescent="0.35">
      <c r="A29">
        <v>27</v>
      </c>
      <c r="B29">
        <v>2018</v>
      </c>
      <c r="C29">
        <v>3</v>
      </c>
      <c r="D29" t="s">
        <v>8</v>
      </c>
      <c r="E29" t="s">
        <v>9</v>
      </c>
      <c r="F29" t="s">
        <v>52</v>
      </c>
      <c r="G29" t="s">
        <v>53</v>
      </c>
      <c r="H29" s="4">
        <v>83.467741935483872</v>
      </c>
    </row>
    <row r="30" spans="1:8" x14ac:dyDescent="0.35">
      <c r="A30">
        <v>28</v>
      </c>
      <c r="B30">
        <v>2018</v>
      </c>
      <c r="C30">
        <v>4</v>
      </c>
      <c r="D30" t="s">
        <v>8</v>
      </c>
      <c r="E30" t="s">
        <v>9</v>
      </c>
      <c r="F30" t="s">
        <v>52</v>
      </c>
      <c r="G30" t="s">
        <v>53</v>
      </c>
      <c r="H30" s="4">
        <v>82.926829268292678</v>
      </c>
    </row>
    <row r="31" spans="1:8" x14ac:dyDescent="0.35">
      <c r="A31">
        <v>29</v>
      </c>
      <c r="B31">
        <v>2019</v>
      </c>
      <c r="C31">
        <v>1</v>
      </c>
      <c r="D31" t="s">
        <v>8</v>
      </c>
      <c r="E31" t="s">
        <v>9</v>
      </c>
      <c r="F31" t="s">
        <v>52</v>
      </c>
      <c r="G31" t="s">
        <v>53</v>
      </c>
      <c r="H31" s="4">
        <v>88.60759493670885</v>
      </c>
    </row>
    <row r="32" spans="1:8" x14ac:dyDescent="0.35">
      <c r="A32">
        <v>30</v>
      </c>
      <c r="B32">
        <v>2019</v>
      </c>
      <c r="C32">
        <v>2</v>
      </c>
      <c r="D32" t="s">
        <v>8</v>
      </c>
      <c r="E32" t="s">
        <v>9</v>
      </c>
      <c r="F32" t="s">
        <v>52</v>
      </c>
      <c r="G32" t="s">
        <v>53</v>
      </c>
      <c r="H32" s="4">
        <v>89.523809523809533</v>
      </c>
    </row>
    <row r="33" spans="1:14" x14ac:dyDescent="0.35">
      <c r="A33">
        <v>31</v>
      </c>
      <c r="B33">
        <v>2019</v>
      </c>
      <c r="C33">
        <v>3</v>
      </c>
      <c r="D33" t="s">
        <v>8</v>
      </c>
      <c r="E33" t="s">
        <v>9</v>
      </c>
      <c r="F33" t="s">
        <v>52</v>
      </c>
      <c r="G33" t="s">
        <v>53</v>
      </c>
      <c r="H33" s="4">
        <v>95.238095238095227</v>
      </c>
    </row>
    <row r="34" spans="1:14" x14ac:dyDescent="0.35">
      <c r="A34">
        <v>32</v>
      </c>
      <c r="B34">
        <v>2019</v>
      </c>
      <c r="C34">
        <v>4</v>
      </c>
      <c r="D34" t="s">
        <v>8</v>
      </c>
      <c r="E34" t="s">
        <v>9</v>
      </c>
      <c r="F34" t="s">
        <v>52</v>
      </c>
      <c r="G34" t="s">
        <v>53</v>
      </c>
      <c r="H34" s="4">
        <v>94.930875576036868</v>
      </c>
    </row>
    <row r="35" spans="1:14" x14ac:dyDescent="0.35">
      <c r="A35">
        <v>33</v>
      </c>
      <c r="B35">
        <v>2021</v>
      </c>
      <c r="C35">
        <v>1</v>
      </c>
      <c r="D35" t="s">
        <v>8</v>
      </c>
      <c r="E35" t="s">
        <v>9</v>
      </c>
      <c r="F35" t="s">
        <v>52</v>
      </c>
      <c r="G35" t="s">
        <v>53</v>
      </c>
      <c r="H35" s="4">
        <v>93.782383419689126</v>
      </c>
    </row>
    <row r="36" spans="1:14" x14ac:dyDescent="0.35">
      <c r="A36">
        <v>34</v>
      </c>
      <c r="B36">
        <v>2021</v>
      </c>
      <c r="C36">
        <v>2</v>
      </c>
      <c r="D36" t="s">
        <v>8</v>
      </c>
      <c r="E36" t="s">
        <v>9</v>
      </c>
      <c r="F36" t="s">
        <v>52</v>
      </c>
      <c r="G36" t="s">
        <v>53</v>
      </c>
      <c r="H36" s="4">
        <v>90.909090909090907</v>
      </c>
    </row>
    <row r="37" spans="1:14" x14ac:dyDescent="0.35">
      <c r="A37">
        <v>35</v>
      </c>
      <c r="B37">
        <v>2021</v>
      </c>
      <c r="C37">
        <v>3</v>
      </c>
      <c r="D37" t="s">
        <v>8</v>
      </c>
      <c r="E37" t="s">
        <v>9</v>
      </c>
      <c r="F37" t="s">
        <v>52</v>
      </c>
      <c r="G37" t="s">
        <v>53</v>
      </c>
      <c r="H37" s="4">
        <v>92.857142857142861</v>
      </c>
    </row>
    <row r="38" spans="1:14" x14ac:dyDescent="0.35">
      <c r="A38">
        <v>36</v>
      </c>
      <c r="B38">
        <v>2021</v>
      </c>
      <c r="C38">
        <v>4</v>
      </c>
      <c r="D38" t="s">
        <v>8</v>
      </c>
      <c r="E38" t="s">
        <v>9</v>
      </c>
      <c r="F38" t="s">
        <v>52</v>
      </c>
      <c r="G38" t="s">
        <v>53</v>
      </c>
      <c r="H38" s="4">
        <v>88.185654008438817</v>
      </c>
    </row>
    <row r="41" spans="1:14" x14ac:dyDescent="0.35">
      <c r="A41" t="s">
        <v>54</v>
      </c>
    </row>
    <row r="42" spans="1:14" x14ac:dyDescent="0.3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2" t="s">
        <v>7</v>
      </c>
      <c r="I42" s="1" t="s">
        <v>13</v>
      </c>
      <c r="J42" s="1" t="s">
        <v>14</v>
      </c>
      <c r="K42" s="1" t="s">
        <v>15</v>
      </c>
      <c r="M42" s="1" t="s">
        <v>16</v>
      </c>
      <c r="N42" s="4">
        <f>AVERAGE(K43:K78)</f>
        <v>12.37015158281716</v>
      </c>
    </row>
    <row r="43" spans="1:14" x14ac:dyDescent="0.35">
      <c r="A43">
        <v>1</v>
      </c>
      <c r="B43">
        <v>2012</v>
      </c>
      <c r="C43">
        <v>1</v>
      </c>
      <c r="D43" t="s">
        <v>8</v>
      </c>
      <c r="E43" t="s">
        <v>9</v>
      </c>
      <c r="F43" t="s">
        <v>52</v>
      </c>
      <c r="G43" t="s">
        <v>53</v>
      </c>
      <c r="H43" s="4">
        <v>95.927601809954751</v>
      </c>
      <c r="I43" s="4">
        <f t="shared" ref="I43:I78" si="0">$I$81+$I$82*A43</f>
        <v>94.318225133850021</v>
      </c>
      <c r="J43" s="4">
        <f>H43-I43</f>
        <v>1.6093766761047306</v>
      </c>
      <c r="K43" s="4">
        <f>J43*J43</f>
        <v>2.5900932855899108</v>
      </c>
    </row>
    <row r="44" spans="1:14" x14ac:dyDescent="0.35">
      <c r="A44">
        <v>2</v>
      </c>
      <c r="B44">
        <v>2012</v>
      </c>
      <c r="C44">
        <v>2</v>
      </c>
      <c r="D44" t="s">
        <v>8</v>
      </c>
      <c r="E44" t="s">
        <v>9</v>
      </c>
      <c r="F44" t="s">
        <v>52</v>
      </c>
      <c r="G44" t="s">
        <v>53</v>
      </c>
      <c r="H44" s="4">
        <v>96.832579185520359</v>
      </c>
      <c r="I44" s="4">
        <f t="shared" si="0"/>
        <v>94.140684763816637</v>
      </c>
      <c r="J44" s="4">
        <f t="shared" ref="J44:J78" si="1">H44-I44</f>
        <v>2.6918944217037222</v>
      </c>
      <c r="K44" s="4">
        <f t="shared" ref="K44:K78" si="2">J44*J44</f>
        <v>7.246295577599617</v>
      </c>
    </row>
    <row r="45" spans="1:14" x14ac:dyDescent="0.35">
      <c r="A45">
        <v>3</v>
      </c>
      <c r="B45">
        <v>2012</v>
      </c>
      <c r="C45">
        <v>3</v>
      </c>
      <c r="D45" t="s">
        <v>8</v>
      </c>
      <c r="E45" t="s">
        <v>9</v>
      </c>
      <c r="F45" t="s">
        <v>52</v>
      </c>
      <c r="G45" t="s">
        <v>53</v>
      </c>
      <c r="H45" s="4">
        <v>95.238095238095227</v>
      </c>
      <c r="I45" s="4">
        <f t="shared" si="0"/>
        <v>93.963144393783239</v>
      </c>
      <c r="J45" s="4">
        <f t="shared" si="1"/>
        <v>1.2749508443119879</v>
      </c>
      <c r="K45" s="4">
        <f t="shared" si="2"/>
        <v>1.6254996554118508</v>
      </c>
    </row>
    <row r="46" spans="1:14" x14ac:dyDescent="0.35">
      <c r="A46">
        <v>4</v>
      </c>
      <c r="B46">
        <v>2012</v>
      </c>
      <c r="C46">
        <v>4</v>
      </c>
      <c r="D46" t="s">
        <v>8</v>
      </c>
      <c r="E46" t="s">
        <v>9</v>
      </c>
      <c r="F46" t="s">
        <v>52</v>
      </c>
      <c r="G46" t="s">
        <v>53</v>
      </c>
      <c r="H46" s="4">
        <v>95.544554455445535</v>
      </c>
      <c r="I46" s="4">
        <f t="shared" si="0"/>
        <v>93.785604023749855</v>
      </c>
      <c r="J46" s="4">
        <f t="shared" si="1"/>
        <v>1.7589504316956805</v>
      </c>
      <c r="K46" s="4">
        <f t="shared" si="2"/>
        <v>3.0939066211624211</v>
      </c>
    </row>
    <row r="47" spans="1:14" x14ac:dyDescent="0.35">
      <c r="A47">
        <v>5</v>
      </c>
      <c r="B47">
        <v>2013</v>
      </c>
      <c r="C47">
        <v>1</v>
      </c>
      <c r="D47" t="s">
        <v>8</v>
      </c>
      <c r="E47" t="s">
        <v>9</v>
      </c>
      <c r="F47" t="s">
        <v>52</v>
      </c>
      <c r="G47" t="s">
        <v>53</v>
      </c>
      <c r="H47" s="4">
        <v>93.212669683257914</v>
      </c>
      <c r="I47" s="4">
        <f t="shared" si="0"/>
        <v>93.608063653716471</v>
      </c>
      <c r="J47" s="4">
        <f t="shared" si="1"/>
        <v>-0.39539397045855651</v>
      </c>
      <c r="K47" s="4">
        <f t="shared" si="2"/>
        <v>0.15633639187498186</v>
      </c>
    </row>
    <row r="48" spans="1:14" x14ac:dyDescent="0.35">
      <c r="A48">
        <v>6</v>
      </c>
      <c r="B48">
        <v>2013</v>
      </c>
      <c r="C48">
        <v>2</v>
      </c>
      <c r="D48" t="s">
        <v>8</v>
      </c>
      <c r="E48" t="s">
        <v>9</v>
      </c>
      <c r="F48" t="s">
        <v>52</v>
      </c>
      <c r="G48" t="s">
        <v>53</v>
      </c>
      <c r="H48" s="4">
        <v>94.468085106382986</v>
      </c>
      <c r="I48" s="4">
        <f t="shared" si="0"/>
        <v>93.430523283683087</v>
      </c>
      <c r="J48" s="4">
        <f t="shared" si="1"/>
        <v>1.0375618226998995</v>
      </c>
      <c r="K48" s="4">
        <f t="shared" si="2"/>
        <v>1.0765345359243377</v>
      </c>
    </row>
    <row r="49" spans="1:11" x14ac:dyDescent="0.35">
      <c r="A49">
        <v>7</v>
      </c>
      <c r="B49">
        <v>2013</v>
      </c>
      <c r="C49">
        <v>3</v>
      </c>
      <c r="D49" t="s">
        <v>8</v>
      </c>
      <c r="E49" t="s">
        <v>9</v>
      </c>
      <c r="F49" t="s">
        <v>52</v>
      </c>
      <c r="G49" t="s">
        <v>53</v>
      </c>
      <c r="H49" s="4">
        <v>96</v>
      </c>
      <c r="I49" s="4">
        <f t="shared" si="0"/>
        <v>93.252982913649689</v>
      </c>
      <c r="J49" s="4">
        <f t="shared" si="1"/>
        <v>2.7470170863503114</v>
      </c>
      <c r="K49" s="4">
        <f t="shared" si="2"/>
        <v>7.5461028727005539</v>
      </c>
    </row>
    <row r="50" spans="1:11" x14ac:dyDescent="0.35">
      <c r="A50">
        <v>8</v>
      </c>
      <c r="B50">
        <v>2013</v>
      </c>
      <c r="C50">
        <v>4</v>
      </c>
      <c r="D50" t="s">
        <v>8</v>
      </c>
      <c r="E50" t="s">
        <v>9</v>
      </c>
      <c r="F50" t="s">
        <v>52</v>
      </c>
      <c r="G50" t="s">
        <v>53</v>
      </c>
      <c r="H50" s="4">
        <v>90.366972477064223</v>
      </c>
      <c r="I50" s="4">
        <f t="shared" si="0"/>
        <v>93.075442543616305</v>
      </c>
      <c r="J50" s="4">
        <f t="shared" si="1"/>
        <v>-2.7084700665520813</v>
      </c>
      <c r="K50" s="4">
        <f t="shared" si="2"/>
        <v>7.3358101014086357</v>
      </c>
    </row>
    <row r="51" spans="1:11" x14ac:dyDescent="0.35">
      <c r="A51">
        <v>9</v>
      </c>
      <c r="B51">
        <v>2014</v>
      </c>
      <c r="C51">
        <v>1</v>
      </c>
      <c r="D51" t="s">
        <v>8</v>
      </c>
      <c r="E51" t="s">
        <v>9</v>
      </c>
      <c r="F51" t="s">
        <v>52</v>
      </c>
      <c r="G51" t="s">
        <v>53</v>
      </c>
      <c r="H51" s="4">
        <v>91.079812206572768</v>
      </c>
      <c r="I51" s="4">
        <f t="shared" si="0"/>
        <v>92.897902173582921</v>
      </c>
      <c r="J51" s="4">
        <f t="shared" si="1"/>
        <v>-1.8180899670101525</v>
      </c>
      <c r="K51" s="4">
        <f t="shared" si="2"/>
        <v>3.3054511281429773</v>
      </c>
    </row>
    <row r="52" spans="1:11" x14ac:dyDescent="0.35">
      <c r="A52">
        <v>10</v>
      </c>
      <c r="B52">
        <v>2014</v>
      </c>
      <c r="C52">
        <v>2</v>
      </c>
      <c r="D52" t="s">
        <v>8</v>
      </c>
      <c r="E52" t="s">
        <v>9</v>
      </c>
      <c r="F52" t="s">
        <v>52</v>
      </c>
      <c r="G52" t="s">
        <v>53</v>
      </c>
      <c r="H52" s="4">
        <v>94.805194805194802</v>
      </c>
      <c r="I52" s="4">
        <f t="shared" si="0"/>
        <v>92.720361803549537</v>
      </c>
      <c r="J52" s="4">
        <f t="shared" si="1"/>
        <v>2.084833001645265</v>
      </c>
      <c r="K52" s="4">
        <f t="shared" si="2"/>
        <v>4.3465286447492053</v>
      </c>
    </row>
    <row r="53" spans="1:11" x14ac:dyDescent="0.35">
      <c r="A53">
        <v>11</v>
      </c>
      <c r="B53">
        <v>2014</v>
      </c>
      <c r="C53">
        <v>3</v>
      </c>
      <c r="D53" t="s">
        <v>8</v>
      </c>
      <c r="E53" t="s">
        <v>9</v>
      </c>
      <c r="F53" t="s">
        <v>52</v>
      </c>
      <c r="G53" t="s">
        <v>53</v>
      </c>
      <c r="H53" s="4">
        <v>97.787610619469021</v>
      </c>
      <c r="I53" s="4">
        <f t="shared" si="0"/>
        <v>92.542821433516153</v>
      </c>
      <c r="J53" s="4">
        <f t="shared" si="1"/>
        <v>5.2447891859528681</v>
      </c>
      <c r="K53" s="4">
        <f t="shared" si="2"/>
        <v>27.507813605088149</v>
      </c>
    </row>
    <row r="54" spans="1:11" x14ac:dyDescent="0.35">
      <c r="A54">
        <v>12</v>
      </c>
      <c r="B54">
        <v>2014</v>
      </c>
      <c r="C54">
        <v>4</v>
      </c>
      <c r="D54" t="s">
        <v>8</v>
      </c>
      <c r="E54" t="s">
        <v>9</v>
      </c>
      <c r="F54" t="s">
        <v>52</v>
      </c>
      <c r="G54" t="s">
        <v>53</v>
      </c>
      <c r="H54" s="4">
        <v>96.943231441048042</v>
      </c>
      <c r="I54" s="4">
        <f t="shared" si="0"/>
        <v>92.365281063482755</v>
      </c>
      <c r="J54" s="4">
        <f t="shared" si="1"/>
        <v>4.577950377565287</v>
      </c>
      <c r="K54" s="4">
        <f t="shared" si="2"/>
        <v>20.957629659450152</v>
      </c>
    </row>
    <row r="55" spans="1:11" x14ac:dyDescent="0.35">
      <c r="A55">
        <v>13</v>
      </c>
      <c r="B55">
        <v>2015</v>
      </c>
      <c r="C55">
        <v>1</v>
      </c>
      <c r="D55" t="s">
        <v>8</v>
      </c>
      <c r="E55" t="s">
        <v>9</v>
      </c>
      <c r="F55" t="s">
        <v>52</v>
      </c>
      <c r="G55" t="s">
        <v>53</v>
      </c>
      <c r="H55" s="4">
        <v>91.709844559585491</v>
      </c>
      <c r="I55" s="4">
        <f t="shared" si="0"/>
        <v>92.187740693449371</v>
      </c>
      <c r="J55" s="4">
        <f t="shared" si="1"/>
        <v>-0.47789613386387941</v>
      </c>
      <c r="K55" s="4">
        <f t="shared" si="2"/>
        <v>0.22838471476204295</v>
      </c>
    </row>
    <row r="56" spans="1:11" x14ac:dyDescent="0.35">
      <c r="A56">
        <v>14</v>
      </c>
      <c r="B56">
        <v>2015</v>
      </c>
      <c r="C56">
        <v>2</v>
      </c>
      <c r="D56" t="s">
        <v>8</v>
      </c>
      <c r="E56" t="s">
        <v>9</v>
      </c>
      <c r="F56" t="s">
        <v>52</v>
      </c>
      <c r="G56" t="s">
        <v>53</v>
      </c>
      <c r="H56" s="4">
        <v>92.672413793103445</v>
      </c>
      <c r="I56" s="4">
        <f t="shared" si="0"/>
        <v>92.010200323415987</v>
      </c>
      <c r="J56" s="4">
        <f t="shared" si="1"/>
        <v>0.6622134696874582</v>
      </c>
      <c r="K56" s="4">
        <f t="shared" si="2"/>
        <v>0.43852667943550211</v>
      </c>
    </row>
    <row r="57" spans="1:11" x14ac:dyDescent="0.35">
      <c r="A57">
        <v>15</v>
      </c>
      <c r="B57">
        <v>2015</v>
      </c>
      <c r="C57">
        <v>3</v>
      </c>
      <c r="D57" t="s">
        <v>8</v>
      </c>
      <c r="E57" t="s">
        <v>9</v>
      </c>
      <c r="F57" t="s">
        <v>52</v>
      </c>
      <c r="G57" t="s">
        <v>53</v>
      </c>
      <c r="H57" s="4">
        <v>86.142322097378283</v>
      </c>
      <c r="I57" s="4">
        <f t="shared" si="0"/>
        <v>91.832659953382603</v>
      </c>
      <c r="J57" s="4">
        <f t="shared" si="1"/>
        <v>-5.6903378560043194</v>
      </c>
      <c r="K57" s="4">
        <f t="shared" si="2"/>
        <v>32.379944915475832</v>
      </c>
    </row>
    <row r="58" spans="1:11" x14ac:dyDescent="0.35">
      <c r="A58">
        <v>16</v>
      </c>
      <c r="B58">
        <v>2015</v>
      </c>
      <c r="C58">
        <v>4</v>
      </c>
      <c r="D58" t="s">
        <v>8</v>
      </c>
      <c r="E58" t="s">
        <v>9</v>
      </c>
      <c r="F58" t="s">
        <v>52</v>
      </c>
      <c r="G58" t="s">
        <v>53</v>
      </c>
      <c r="H58" s="4">
        <v>88.659793814432987</v>
      </c>
      <c r="I58" s="4">
        <f t="shared" si="0"/>
        <v>91.655119583349205</v>
      </c>
      <c r="J58" s="4">
        <f t="shared" si="1"/>
        <v>-2.9953257689162172</v>
      </c>
      <c r="K58" s="4">
        <f t="shared" si="2"/>
        <v>8.9719764619335276</v>
      </c>
    </row>
    <row r="59" spans="1:11" x14ac:dyDescent="0.35">
      <c r="A59">
        <v>17</v>
      </c>
      <c r="B59">
        <v>2016</v>
      </c>
      <c r="C59">
        <v>1</v>
      </c>
      <c r="D59" t="s">
        <v>8</v>
      </c>
      <c r="E59" t="s">
        <v>9</v>
      </c>
      <c r="F59" t="s">
        <v>52</v>
      </c>
      <c r="G59" t="s">
        <v>53</v>
      </c>
      <c r="H59" s="4">
        <v>92.410714285714292</v>
      </c>
      <c r="I59" s="4">
        <f t="shared" si="0"/>
        <v>91.477579213315821</v>
      </c>
      <c r="J59" s="4">
        <f t="shared" si="1"/>
        <v>0.93313507239847127</v>
      </c>
      <c r="K59" s="4">
        <f t="shared" si="2"/>
        <v>0.87074106334010026</v>
      </c>
    </row>
    <row r="60" spans="1:11" x14ac:dyDescent="0.35">
      <c r="A60">
        <v>18</v>
      </c>
      <c r="B60">
        <v>2016</v>
      </c>
      <c r="C60">
        <v>2</v>
      </c>
      <c r="D60" t="s">
        <v>8</v>
      </c>
      <c r="E60" t="s">
        <v>9</v>
      </c>
      <c r="F60" t="s">
        <v>52</v>
      </c>
      <c r="G60" t="s">
        <v>53</v>
      </c>
      <c r="H60" s="4">
        <v>89.610389610389603</v>
      </c>
      <c r="I60" s="4">
        <f t="shared" si="0"/>
        <v>91.300038843282437</v>
      </c>
      <c r="J60" s="4">
        <f t="shared" si="1"/>
        <v>-1.6896492328928332</v>
      </c>
      <c r="K60" s="4">
        <f t="shared" si="2"/>
        <v>2.8549145302153396</v>
      </c>
    </row>
    <row r="61" spans="1:11" x14ac:dyDescent="0.35">
      <c r="A61">
        <v>19</v>
      </c>
      <c r="B61">
        <v>2016</v>
      </c>
      <c r="C61">
        <v>3</v>
      </c>
      <c r="D61" t="s">
        <v>8</v>
      </c>
      <c r="E61" t="s">
        <v>9</v>
      </c>
      <c r="F61" t="s">
        <v>52</v>
      </c>
      <c r="G61" t="s">
        <v>53</v>
      </c>
      <c r="H61" s="4">
        <v>82.969432314410483</v>
      </c>
      <c r="I61" s="4">
        <f t="shared" si="0"/>
        <v>91.122498473249053</v>
      </c>
      <c r="J61" s="4">
        <f t="shared" si="1"/>
        <v>-8.1530661588385698</v>
      </c>
      <c r="K61" s="4">
        <f t="shared" si="2"/>
        <v>66.472487790398716</v>
      </c>
    </row>
    <row r="62" spans="1:11" x14ac:dyDescent="0.35">
      <c r="A62">
        <v>20</v>
      </c>
      <c r="B62">
        <v>2016</v>
      </c>
      <c r="C62">
        <v>4</v>
      </c>
      <c r="D62" t="s">
        <v>8</v>
      </c>
      <c r="E62" t="s">
        <v>9</v>
      </c>
      <c r="F62" t="s">
        <v>52</v>
      </c>
      <c r="G62" t="s">
        <v>53</v>
      </c>
      <c r="H62" s="4">
        <v>87.169811320754718</v>
      </c>
      <c r="I62" s="4">
        <f t="shared" si="0"/>
        <v>90.944958103215669</v>
      </c>
      <c r="J62" s="4">
        <f t="shared" si="1"/>
        <v>-3.7751467824609506</v>
      </c>
      <c r="K62" s="4">
        <f t="shared" si="2"/>
        <v>14.251733229125268</v>
      </c>
    </row>
    <row r="63" spans="1:11" x14ac:dyDescent="0.35">
      <c r="A63">
        <v>21</v>
      </c>
      <c r="B63">
        <v>2017</v>
      </c>
      <c r="C63">
        <v>1</v>
      </c>
      <c r="D63" t="s">
        <v>8</v>
      </c>
      <c r="E63" t="s">
        <v>9</v>
      </c>
      <c r="F63" t="s">
        <v>52</v>
      </c>
      <c r="G63" t="s">
        <v>53</v>
      </c>
      <c r="H63" s="4">
        <v>89.88326848249028</v>
      </c>
      <c r="I63" s="4">
        <f t="shared" si="0"/>
        <v>90.76741773318227</v>
      </c>
      <c r="J63" s="4">
        <f t="shared" si="1"/>
        <v>-0.88414925069199057</v>
      </c>
      <c r="K63" s="4">
        <f t="shared" si="2"/>
        <v>0.78171989749920845</v>
      </c>
    </row>
    <row r="64" spans="1:11" x14ac:dyDescent="0.35">
      <c r="A64">
        <v>22</v>
      </c>
      <c r="B64">
        <v>2017</v>
      </c>
      <c r="C64">
        <v>2</v>
      </c>
      <c r="D64" t="s">
        <v>8</v>
      </c>
      <c r="E64" t="s">
        <v>9</v>
      </c>
      <c r="F64" t="s">
        <v>52</v>
      </c>
      <c r="G64" t="s">
        <v>53</v>
      </c>
      <c r="H64" s="4">
        <v>90.34749034749035</v>
      </c>
      <c r="I64" s="4">
        <f t="shared" si="0"/>
        <v>90.589877363148887</v>
      </c>
      <c r="J64" s="4">
        <f t="shared" si="1"/>
        <v>-0.2423870156585366</v>
      </c>
      <c r="K64" s="4">
        <f t="shared" si="2"/>
        <v>5.8751465359851665E-2</v>
      </c>
    </row>
    <row r="65" spans="1:11" x14ac:dyDescent="0.35">
      <c r="A65">
        <v>23</v>
      </c>
      <c r="B65">
        <v>2017</v>
      </c>
      <c r="C65">
        <v>3</v>
      </c>
      <c r="D65" t="s">
        <v>8</v>
      </c>
      <c r="E65" t="s">
        <v>9</v>
      </c>
      <c r="F65" t="s">
        <v>52</v>
      </c>
      <c r="G65" t="s">
        <v>53</v>
      </c>
      <c r="H65" s="4">
        <v>89.642857142857153</v>
      </c>
      <c r="I65" s="4">
        <f t="shared" si="0"/>
        <v>90.412336993115503</v>
      </c>
      <c r="J65" s="4">
        <f t="shared" si="1"/>
        <v>-0.76947985025834953</v>
      </c>
      <c r="K65" s="4">
        <f t="shared" si="2"/>
        <v>0.59209923995361202</v>
      </c>
    </row>
    <row r="66" spans="1:11" x14ac:dyDescent="0.35">
      <c r="A66">
        <v>24</v>
      </c>
      <c r="B66">
        <v>2017</v>
      </c>
      <c r="C66">
        <v>4</v>
      </c>
      <c r="D66" t="s">
        <v>8</v>
      </c>
      <c r="E66" t="s">
        <v>9</v>
      </c>
      <c r="F66" t="s">
        <v>52</v>
      </c>
      <c r="G66" t="s">
        <v>53</v>
      </c>
      <c r="H66" s="4">
        <v>89.400921658986178</v>
      </c>
      <c r="I66" s="4">
        <f t="shared" si="0"/>
        <v>90.234796623082119</v>
      </c>
      <c r="J66" s="4">
        <f t="shared" si="1"/>
        <v>-0.83387496409594064</v>
      </c>
      <c r="K66" s="4">
        <f t="shared" si="2"/>
        <v>0.69534745574600632</v>
      </c>
    </row>
    <row r="67" spans="1:11" x14ac:dyDescent="0.35">
      <c r="A67">
        <v>25</v>
      </c>
      <c r="B67">
        <v>2018</v>
      </c>
      <c r="C67">
        <v>1</v>
      </c>
      <c r="D67" t="s">
        <v>8</v>
      </c>
      <c r="E67" t="s">
        <v>9</v>
      </c>
      <c r="F67" t="s">
        <v>52</v>
      </c>
      <c r="G67" t="s">
        <v>53</v>
      </c>
      <c r="H67" s="4">
        <v>86.419753086419746</v>
      </c>
      <c r="I67" s="4">
        <f t="shared" si="0"/>
        <v>90.05725625304872</v>
      </c>
      <c r="J67" s="4">
        <f t="shared" si="1"/>
        <v>-3.6375031666289743</v>
      </c>
      <c r="K67" s="4">
        <f t="shared" si="2"/>
        <v>13.231429287235816</v>
      </c>
    </row>
    <row r="68" spans="1:11" x14ac:dyDescent="0.35">
      <c r="A68">
        <v>26</v>
      </c>
      <c r="B68">
        <v>2018</v>
      </c>
      <c r="C68">
        <v>2</v>
      </c>
      <c r="D68" t="s">
        <v>8</v>
      </c>
      <c r="E68" t="s">
        <v>9</v>
      </c>
      <c r="F68" t="s">
        <v>52</v>
      </c>
      <c r="G68" t="s">
        <v>53</v>
      </c>
      <c r="H68" s="4">
        <v>87.931034482758619</v>
      </c>
      <c r="I68" s="4">
        <f t="shared" si="0"/>
        <v>89.879715883015336</v>
      </c>
      <c r="J68" s="4">
        <f t="shared" si="1"/>
        <v>-1.9486814002567172</v>
      </c>
      <c r="K68" s="4">
        <f t="shared" si="2"/>
        <v>3.7973591997064799</v>
      </c>
    </row>
    <row r="69" spans="1:11" x14ac:dyDescent="0.35">
      <c r="A69">
        <v>27</v>
      </c>
      <c r="B69">
        <v>2018</v>
      </c>
      <c r="C69">
        <v>3</v>
      </c>
      <c r="D69" t="s">
        <v>8</v>
      </c>
      <c r="E69" t="s">
        <v>9</v>
      </c>
      <c r="F69" t="s">
        <v>52</v>
      </c>
      <c r="G69" t="s">
        <v>53</v>
      </c>
      <c r="H69" s="4">
        <v>83.467741935483872</v>
      </c>
      <c r="I69" s="4">
        <f t="shared" si="0"/>
        <v>89.702175512981952</v>
      </c>
      <c r="J69" s="4">
        <f t="shared" si="1"/>
        <v>-6.2344335774980806</v>
      </c>
      <c r="K69" s="4">
        <f t="shared" si="2"/>
        <v>38.868162032235517</v>
      </c>
    </row>
    <row r="70" spans="1:11" x14ac:dyDescent="0.35">
      <c r="A70">
        <v>28</v>
      </c>
      <c r="B70">
        <v>2018</v>
      </c>
      <c r="C70">
        <v>4</v>
      </c>
      <c r="D70" t="s">
        <v>8</v>
      </c>
      <c r="E70" t="s">
        <v>9</v>
      </c>
      <c r="F70" t="s">
        <v>52</v>
      </c>
      <c r="G70" t="s">
        <v>53</v>
      </c>
      <c r="H70" s="4">
        <v>82.926829268292678</v>
      </c>
      <c r="I70" s="4">
        <f t="shared" si="0"/>
        <v>89.524635142948569</v>
      </c>
      <c r="J70" s="4">
        <f t="shared" si="1"/>
        <v>-6.5978058746558901</v>
      </c>
      <c r="K70" s="4">
        <f t="shared" si="2"/>
        <v>43.531042359643777</v>
      </c>
    </row>
    <row r="71" spans="1:11" x14ac:dyDescent="0.35">
      <c r="A71">
        <v>29</v>
      </c>
      <c r="B71">
        <v>2019</v>
      </c>
      <c r="C71">
        <v>1</v>
      </c>
      <c r="D71" t="s">
        <v>8</v>
      </c>
      <c r="E71" t="s">
        <v>9</v>
      </c>
      <c r="F71" t="s">
        <v>52</v>
      </c>
      <c r="G71" t="s">
        <v>53</v>
      </c>
      <c r="H71" s="4">
        <v>88.60759493670885</v>
      </c>
      <c r="I71" s="4">
        <f t="shared" si="0"/>
        <v>89.347094772915185</v>
      </c>
      <c r="J71" s="4">
        <f t="shared" si="1"/>
        <v>-0.73949983620633475</v>
      </c>
      <c r="K71" s="4">
        <f t="shared" si="2"/>
        <v>0.54686000774919596</v>
      </c>
    </row>
    <row r="72" spans="1:11" x14ac:dyDescent="0.35">
      <c r="A72">
        <v>30</v>
      </c>
      <c r="B72">
        <v>2019</v>
      </c>
      <c r="C72">
        <v>2</v>
      </c>
      <c r="D72" t="s">
        <v>8</v>
      </c>
      <c r="E72" t="s">
        <v>9</v>
      </c>
      <c r="F72" t="s">
        <v>52</v>
      </c>
      <c r="G72" t="s">
        <v>53</v>
      </c>
      <c r="H72" s="4">
        <v>89.523809523809533</v>
      </c>
      <c r="I72" s="4">
        <f t="shared" si="0"/>
        <v>89.169554402881786</v>
      </c>
      <c r="J72" s="4">
        <f t="shared" si="1"/>
        <v>0.35425512092774625</v>
      </c>
      <c r="K72" s="4">
        <f t="shared" si="2"/>
        <v>0.12549669070353212</v>
      </c>
    </row>
    <row r="73" spans="1:11" x14ac:dyDescent="0.35">
      <c r="A73">
        <v>31</v>
      </c>
      <c r="B73">
        <v>2019</v>
      </c>
      <c r="C73">
        <v>3</v>
      </c>
      <c r="D73" t="s">
        <v>8</v>
      </c>
      <c r="E73" t="s">
        <v>9</v>
      </c>
      <c r="F73" t="s">
        <v>52</v>
      </c>
      <c r="G73" t="s">
        <v>53</v>
      </c>
      <c r="H73" s="4">
        <v>95.238095238095227</v>
      </c>
      <c r="I73" s="4">
        <f t="shared" si="0"/>
        <v>88.992014032848402</v>
      </c>
      <c r="J73" s="4">
        <f t="shared" si="1"/>
        <v>6.2460812052468242</v>
      </c>
      <c r="K73" s="4">
        <f t="shared" si="2"/>
        <v>39.01353042253762</v>
      </c>
    </row>
    <row r="74" spans="1:11" x14ac:dyDescent="0.35">
      <c r="A74">
        <v>32</v>
      </c>
      <c r="B74">
        <v>2019</v>
      </c>
      <c r="C74">
        <v>4</v>
      </c>
      <c r="D74" t="s">
        <v>8</v>
      </c>
      <c r="E74" t="s">
        <v>9</v>
      </c>
      <c r="F74" t="s">
        <v>52</v>
      </c>
      <c r="G74" t="s">
        <v>53</v>
      </c>
      <c r="H74" s="4">
        <v>94.930875576036868</v>
      </c>
      <c r="I74" s="4">
        <f t="shared" si="0"/>
        <v>88.814473662815018</v>
      </c>
      <c r="J74" s="4">
        <f t="shared" si="1"/>
        <v>6.1164019132218499</v>
      </c>
      <c r="K74" s="4">
        <f t="shared" si="2"/>
        <v>37.410372364063903</v>
      </c>
    </row>
    <row r="75" spans="1:11" x14ac:dyDescent="0.35">
      <c r="A75">
        <v>33</v>
      </c>
      <c r="B75">
        <v>2021</v>
      </c>
      <c r="C75">
        <v>1</v>
      </c>
      <c r="D75" t="s">
        <v>8</v>
      </c>
      <c r="E75" t="s">
        <v>9</v>
      </c>
      <c r="F75" t="s">
        <v>52</v>
      </c>
      <c r="G75" t="s">
        <v>53</v>
      </c>
      <c r="H75" s="4">
        <v>93.782383419689126</v>
      </c>
      <c r="I75" s="4">
        <f t="shared" si="0"/>
        <v>88.636933292781634</v>
      </c>
      <c r="J75" s="4">
        <f t="shared" si="1"/>
        <v>5.145450126907491</v>
      </c>
      <c r="K75" s="4">
        <f t="shared" si="2"/>
        <v>26.475657008492316</v>
      </c>
    </row>
    <row r="76" spans="1:11" x14ac:dyDescent="0.35">
      <c r="A76">
        <v>34</v>
      </c>
      <c r="B76">
        <v>2021</v>
      </c>
      <c r="C76">
        <v>2</v>
      </c>
      <c r="D76" t="s">
        <v>8</v>
      </c>
      <c r="E76" t="s">
        <v>9</v>
      </c>
      <c r="F76" t="s">
        <v>52</v>
      </c>
      <c r="G76" t="s">
        <v>53</v>
      </c>
      <c r="H76" s="4">
        <v>90.909090909090907</v>
      </c>
      <c r="I76" s="4">
        <f t="shared" si="0"/>
        <v>88.459392922748236</v>
      </c>
      <c r="J76" s="4">
        <f t="shared" si="1"/>
        <v>2.4496979863426702</v>
      </c>
      <c r="K76" s="4">
        <f t="shared" si="2"/>
        <v>6.0010202242913335</v>
      </c>
    </row>
    <row r="77" spans="1:11" x14ac:dyDescent="0.35">
      <c r="A77">
        <v>35</v>
      </c>
      <c r="B77">
        <v>2021</v>
      </c>
      <c r="C77">
        <v>3</v>
      </c>
      <c r="D77" t="s">
        <v>8</v>
      </c>
      <c r="E77" t="s">
        <v>9</v>
      </c>
      <c r="F77" t="s">
        <v>52</v>
      </c>
      <c r="G77" t="s">
        <v>53</v>
      </c>
      <c r="H77" s="4">
        <v>92.857142857142861</v>
      </c>
      <c r="I77" s="4">
        <f t="shared" si="0"/>
        <v>88.281852552714852</v>
      </c>
      <c r="J77" s="4">
        <f t="shared" si="1"/>
        <v>4.5752903044280089</v>
      </c>
      <c r="K77" s="4">
        <f t="shared" si="2"/>
        <v>20.933281369792944</v>
      </c>
    </row>
    <row r="78" spans="1:11" x14ac:dyDescent="0.35">
      <c r="A78">
        <v>36</v>
      </c>
      <c r="B78">
        <v>2021</v>
      </c>
      <c r="C78">
        <v>4</v>
      </c>
      <c r="D78" t="s">
        <v>8</v>
      </c>
      <c r="E78" t="s">
        <v>9</v>
      </c>
      <c r="F78" t="s">
        <v>52</v>
      </c>
      <c r="G78" t="s">
        <v>53</v>
      </c>
      <c r="H78" s="4">
        <v>88.185654008438817</v>
      </c>
      <c r="I78" s="4">
        <f t="shared" si="0"/>
        <v>88.104312182681468</v>
      </c>
      <c r="J78" s="4">
        <f t="shared" si="1"/>
        <v>8.1341825757348829E-2</v>
      </c>
      <c r="K78" s="4">
        <f t="shared" si="2"/>
        <v>6.6164926175388975E-3</v>
      </c>
    </row>
    <row r="79" spans="1:11" ht="15" thickBot="1" x14ac:dyDescent="0.4"/>
    <row r="80" spans="1:11" x14ac:dyDescent="0.35">
      <c r="H80" s="5"/>
      <c r="I80" s="5" t="s">
        <v>17</v>
      </c>
    </row>
    <row r="81" spans="1:18" x14ac:dyDescent="0.35">
      <c r="H81" t="s">
        <v>18</v>
      </c>
      <c r="I81">
        <v>94.495765503883405</v>
      </c>
    </row>
    <row r="82" spans="1:18" ht="15" thickBot="1" x14ac:dyDescent="0.4">
      <c r="H82" s="6" t="s">
        <v>0</v>
      </c>
      <c r="I82" s="6">
        <v>-0.17754037003338713</v>
      </c>
    </row>
    <row r="84" spans="1:18" x14ac:dyDescent="0.35">
      <c r="A84" t="s">
        <v>19</v>
      </c>
    </row>
    <row r="85" spans="1:18" x14ac:dyDescent="0.3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0</v>
      </c>
      <c r="I85" s="1" t="s">
        <v>20</v>
      </c>
      <c r="J85" s="1" t="s">
        <v>21</v>
      </c>
      <c r="K85" s="1" t="s">
        <v>22</v>
      </c>
      <c r="L85" s="2" t="s">
        <v>7</v>
      </c>
      <c r="M85" s="1" t="s">
        <v>13</v>
      </c>
      <c r="N85" s="1" t="s">
        <v>14</v>
      </c>
      <c r="O85" s="1" t="s">
        <v>15</v>
      </c>
      <c r="Q85" s="1" t="s">
        <v>16</v>
      </c>
      <c r="R85" s="4">
        <f>AVERAGE(O86:O121)</f>
        <v>12.670648912237615</v>
      </c>
    </row>
    <row r="86" spans="1:18" x14ac:dyDescent="0.35">
      <c r="A86">
        <v>1</v>
      </c>
      <c r="B86">
        <v>2012</v>
      </c>
      <c r="C86">
        <v>1</v>
      </c>
      <c r="D86" t="s">
        <v>8</v>
      </c>
      <c r="E86" t="s">
        <v>9</v>
      </c>
      <c r="F86" t="s">
        <v>52</v>
      </c>
      <c r="G86" t="s">
        <v>53</v>
      </c>
      <c r="H86">
        <v>1</v>
      </c>
      <c r="I86">
        <v>1</v>
      </c>
      <c r="J86">
        <v>0</v>
      </c>
      <c r="K86">
        <v>0</v>
      </c>
      <c r="L86" s="4">
        <v>95.927601809954751</v>
      </c>
      <c r="M86" s="4">
        <f t="shared" ref="M86:M121" si="3">$I$128+$I$129*H86+$I$130*I86+$I$131*J86+$I$132*K86</f>
        <v>93.943264287483842</v>
      </c>
      <c r="N86" s="4">
        <f>L86-M86</f>
        <v>1.9843375224709092</v>
      </c>
      <c r="O86" s="4">
        <f>N86*N86</f>
        <v>3.9375954030859863</v>
      </c>
    </row>
    <row r="87" spans="1:18" x14ac:dyDescent="0.35">
      <c r="A87">
        <v>2</v>
      </c>
      <c r="B87">
        <v>2012</v>
      </c>
      <c r="C87">
        <v>2</v>
      </c>
      <c r="D87" t="s">
        <v>8</v>
      </c>
      <c r="E87" t="s">
        <v>9</v>
      </c>
      <c r="F87" t="s">
        <v>52</v>
      </c>
      <c r="G87" t="s">
        <v>53</v>
      </c>
      <c r="H87">
        <v>2</v>
      </c>
      <c r="I87">
        <v>0</v>
      </c>
      <c r="J87">
        <v>1</v>
      </c>
      <c r="K87">
        <v>0</v>
      </c>
      <c r="L87" s="4">
        <v>96.832579185520359</v>
      </c>
      <c r="M87" s="4">
        <f t="shared" si="3"/>
        <v>94.395091542300236</v>
      </c>
      <c r="N87" s="4">
        <f t="shared" ref="N87:N121" si="4">L87-M87</f>
        <v>2.4374876432201233</v>
      </c>
      <c r="O87" s="4">
        <f t="shared" ref="O87:O121" si="5">N87*N87</f>
        <v>5.9413460108507916</v>
      </c>
    </row>
    <row r="88" spans="1:18" x14ac:dyDescent="0.35">
      <c r="A88">
        <v>3</v>
      </c>
      <c r="B88">
        <v>2012</v>
      </c>
      <c r="C88">
        <v>3</v>
      </c>
      <c r="D88" t="s">
        <v>8</v>
      </c>
      <c r="E88" t="s">
        <v>9</v>
      </c>
      <c r="F88" t="s">
        <v>52</v>
      </c>
      <c r="G88" t="s">
        <v>53</v>
      </c>
      <c r="H88">
        <v>3</v>
      </c>
      <c r="I88">
        <v>0</v>
      </c>
      <c r="J88">
        <v>0</v>
      </c>
      <c r="K88">
        <v>1</v>
      </c>
      <c r="L88" s="4">
        <v>95.238095238095227</v>
      </c>
      <c r="M88" s="4">
        <f t="shared" si="3"/>
        <v>93.533225951099283</v>
      </c>
      <c r="N88" s="4">
        <f t="shared" si="4"/>
        <v>1.7048692869959439</v>
      </c>
      <c r="O88" s="4">
        <f t="shared" si="5"/>
        <v>2.9065792857420578</v>
      </c>
    </row>
    <row r="89" spans="1:18" x14ac:dyDescent="0.35">
      <c r="A89">
        <v>4</v>
      </c>
      <c r="B89">
        <v>2012</v>
      </c>
      <c r="C89">
        <v>4</v>
      </c>
      <c r="D89" t="s">
        <v>8</v>
      </c>
      <c r="E89" t="s">
        <v>9</v>
      </c>
      <c r="F89" t="s">
        <v>52</v>
      </c>
      <c r="G89" t="s">
        <v>53</v>
      </c>
      <c r="H89">
        <v>4</v>
      </c>
      <c r="I89">
        <v>0</v>
      </c>
      <c r="J89">
        <v>0</v>
      </c>
      <c r="K89">
        <v>0</v>
      </c>
      <c r="L89" s="4">
        <v>95.544554455445535</v>
      </c>
      <c r="M89" s="4">
        <f t="shared" si="3"/>
        <v>92.953820015273493</v>
      </c>
      <c r="N89" s="4">
        <f t="shared" si="4"/>
        <v>2.5907344401720422</v>
      </c>
      <c r="O89" s="4">
        <f t="shared" si="5"/>
        <v>6.7119049394935448</v>
      </c>
    </row>
    <row r="90" spans="1:18" x14ac:dyDescent="0.35">
      <c r="A90">
        <v>5</v>
      </c>
      <c r="B90">
        <v>2013</v>
      </c>
      <c r="C90">
        <v>1</v>
      </c>
      <c r="D90" t="s">
        <v>8</v>
      </c>
      <c r="E90" t="s">
        <v>9</v>
      </c>
      <c r="F90" t="s">
        <v>52</v>
      </c>
      <c r="G90" t="s">
        <v>53</v>
      </c>
      <c r="H90">
        <v>5</v>
      </c>
      <c r="I90">
        <v>1</v>
      </c>
      <c r="J90">
        <v>0</v>
      </c>
      <c r="K90">
        <v>0</v>
      </c>
      <c r="L90" s="4">
        <v>93.212669683257914</v>
      </c>
      <c r="M90" s="4">
        <f t="shared" si="3"/>
        <v>93.33635250053895</v>
      </c>
      <c r="N90" s="4">
        <f t="shared" si="4"/>
        <v>-0.12368281728103625</v>
      </c>
      <c r="O90" s="4">
        <f t="shared" si="5"/>
        <v>1.52974392905742E-2</v>
      </c>
    </row>
    <row r="91" spans="1:18" x14ac:dyDescent="0.35">
      <c r="A91">
        <v>6</v>
      </c>
      <c r="B91">
        <v>2013</v>
      </c>
      <c r="C91">
        <v>2</v>
      </c>
      <c r="D91" t="s">
        <v>8</v>
      </c>
      <c r="E91" t="s">
        <v>9</v>
      </c>
      <c r="F91" t="s">
        <v>52</v>
      </c>
      <c r="G91" t="s">
        <v>53</v>
      </c>
      <c r="H91">
        <v>6</v>
      </c>
      <c r="I91">
        <v>0</v>
      </c>
      <c r="J91">
        <v>1</v>
      </c>
      <c r="K91">
        <v>0</v>
      </c>
      <c r="L91" s="4">
        <v>94.468085106382986</v>
      </c>
      <c r="M91" s="4">
        <f t="shared" si="3"/>
        <v>93.78817975535533</v>
      </c>
      <c r="N91" s="4">
        <f t="shared" si="4"/>
        <v>0.67990535102765648</v>
      </c>
      <c r="O91" s="4">
        <f t="shared" si="5"/>
        <v>0.46227128635604076</v>
      </c>
    </row>
    <row r="92" spans="1:18" x14ac:dyDescent="0.35">
      <c r="A92">
        <v>7</v>
      </c>
      <c r="B92">
        <v>2013</v>
      </c>
      <c r="C92">
        <v>3</v>
      </c>
      <c r="D92" t="s">
        <v>8</v>
      </c>
      <c r="E92" t="s">
        <v>9</v>
      </c>
      <c r="F92" t="s">
        <v>52</v>
      </c>
      <c r="G92" t="s">
        <v>53</v>
      </c>
      <c r="H92">
        <v>7</v>
      </c>
      <c r="I92">
        <v>0</v>
      </c>
      <c r="J92">
        <v>0</v>
      </c>
      <c r="K92">
        <v>1</v>
      </c>
      <c r="L92" s="4">
        <v>96</v>
      </c>
      <c r="M92" s="4">
        <f t="shared" si="3"/>
        <v>92.926314164154377</v>
      </c>
      <c r="N92" s="4">
        <f t="shared" si="4"/>
        <v>3.0736858358456232</v>
      </c>
      <c r="O92" s="4">
        <f t="shared" si="5"/>
        <v>9.4475446174780071</v>
      </c>
    </row>
    <row r="93" spans="1:18" x14ac:dyDescent="0.35">
      <c r="A93">
        <v>8</v>
      </c>
      <c r="B93">
        <v>2013</v>
      </c>
      <c r="C93">
        <v>4</v>
      </c>
      <c r="D93" t="s">
        <v>8</v>
      </c>
      <c r="E93" t="s">
        <v>9</v>
      </c>
      <c r="F93" t="s">
        <v>52</v>
      </c>
      <c r="G93" t="s">
        <v>53</v>
      </c>
      <c r="H93">
        <v>8</v>
      </c>
      <c r="I93">
        <v>0</v>
      </c>
      <c r="J93">
        <v>0</v>
      </c>
      <c r="K93">
        <v>0</v>
      </c>
      <c r="L93" s="4">
        <v>90.366972477064223</v>
      </c>
      <c r="M93" s="4">
        <f t="shared" si="3"/>
        <v>92.346908228328601</v>
      </c>
      <c r="N93" s="4">
        <f t="shared" si="4"/>
        <v>-1.979935751264378</v>
      </c>
      <c r="O93" s="4">
        <f t="shared" si="5"/>
        <v>3.9201455791348372</v>
      </c>
    </row>
    <row r="94" spans="1:18" x14ac:dyDescent="0.35">
      <c r="A94">
        <v>9</v>
      </c>
      <c r="B94">
        <v>2014</v>
      </c>
      <c r="C94">
        <v>1</v>
      </c>
      <c r="D94" t="s">
        <v>8</v>
      </c>
      <c r="E94" t="s">
        <v>9</v>
      </c>
      <c r="F94" t="s">
        <v>52</v>
      </c>
      <c r="G94" t="s">
        <v>53</v>
      </c>
      <c r="H94">
        <v>9</v>
      </c>
      <c r="I94">
        <v>1</v>
      </c>
      <c r="J94">
        <v>0</v>
      </c>
      <c r="K94">
        <v>0</v>
      </c>
      <c r="L94" s="4">
        <v>91.079812206572768</v>
      </c>
      <c r="M94" s="4">
        <f t="shared" si="3"/>
        <v>92.729440713594045</v>
      </c>
      <c r="N94" s="4">
        <f t="shared" si="4"/>
        <v>-1.6496285070212764</v>
      </c>
      <c r="O94" s="4">
        <f t="shared" si="5"/>
        <v>2.7212742111772452</v>
      </c>
    </row>
    <row r="95" spans="1:18" x14ac:dyDescent="0.35">
      <c r="A95">
        <v>10</v>
      </c>
      <c r="B95">
        <v>2014</v>
      </c>
      <c r="C95">
        <v>2</v>
      </c>
      <c r="D95" t="s">
        <v>8</v>
      </c>
      <c r="E95" t="s">
        <v>9</v>
      </c>
      <c r="F95" t="s">
        <v>52</v>
      </c>
      <c r="G95" t="s">
        <v>53</v>
      </c>
      <c r="H95">
        <v>10</v>
      </c>
      <c r="I95">
        <v>0</v>
      </c>
      <c r="J95">
        <v>1</v>
      </c>
      <c r="K95">
        <v>0</v>
      </c>
      <c r="L95" s="4">
        <v>94.805194805194802</v>
      </c>
      <c r="M95" s="4">
        <f t="shared" si="3"/>
        <v>93.181267968410424</v>
      </c>
      <c r="N95" s="4">
        <f t="shared" si="4"/>
        <v>1.6239268367843778</v>
      </c>
      <c r="O95" s="4">
        <f t="shared" si="5"/>
        <v>2.6371383712285152</v>
      </c>
    </row>
    <row r="96" spans="1:18" x14ac:dyDescent="0.35">
      <c r="A96">
        <v>11</v>
      </c>
      <c r="B96">
        <v>2014</v>
      </c>
      <c r="C96">
        <v>3</v>
      </c>
      <c r="D96" t="s">
        <v>8</v>
      </c>
      <c r="E96" t="s">
        <v>9</v>
      </c>
      <c r="F96" t="s">
        <v>52</v>
      </c>
      <c r="G96" t="s">
        <v>53</v>
      </c>
      <c r="H96">
        <v>11</v>
      </c>
      <c r="I96">
        <v>0</v>
      </c>
      <c r="J96">
        <v>0</v>
      </c>
      <c r="K96">
        <v>1</v>
      </c>
      <c r="L96" s="4">
        <v>97.787610619469021</v>
      </c>
      <c r="M96" s="4">
        <f t="shared" si="3"/>
        <v>92.319402377209485</v>
      </c>
      <c r="N96" s="4">
        <f t="shared" si="4"/>
        <v>5.4682082422595357</v>
      </c>
      <c r="O96" s="4">
        <f t="shared" si="5"/>
        <v>29.901301380715122</v>
      </c>
    </row>
    <row r="97" spans="1:15" x14ac:dyDescent="0.35">
      <c r="A97">
        <v>12</v>
      </c>
      <c r="B97">
        <v>2014</v>
      </c>
      <c r="C97">
        <v>4</v>
      </c>
      <c r="D97" t="s">
        <v>8</v>
      </c>
      <c r="E97" t="s">
        <v>9</v>
      </c>
      <c r="F97" t="s">
        <v>52</v>
      </c>
      <c r="G97" t="s">
        <v>53</v>
      </c>
      <c r="H97">
        <v>12</v>
      </c>
      <c r="I97">
        <v>0</v>
      </c>
      <c r="J97">
        <v>0</v>
      </c>
      <c r="K97">
        <v>0</v>
      </c>
      <c r="L97" s="4">
        <v>96.943231441048042</v>
      </c>
      <c r="M97" s="4">
        <f t="shared" si="3"/>
        <v>91.739996441383695</v>
      </c>
      <c r="N97" s="4">
        <f t="shared" si="4"/>
        <v>5.2032349996643461</v>
      </c>
      <c r="O97" s="4">
        <f t="shared" si="5"/>
        <v>27.073654461732026</v>
      </c>
    </row>
    <row r="98" spans="1:15" x14ac:dyDescent="0.35">
      <c r="A98">
        <v>13</v>
      </c>
      <c r="B98">
        <v>2015</v>
      </c>
      <c r="C98">
        <v>1</v>
      </c>
      <c r="D98" t="s">
        <v>8</v>
      </c>
      <c r="E98" t="s">
        <v>9</v>
      </c>
      <c r="F98" t="s">
        <v>52</v>
      </c>
      <c r="G98" t="s">
        <v>53</v>
      </c>
      <c r="H98">
        <v>13</v>
      </c>
      <c r="I98">
        <v>1</v>
      </c>
      <c r="J98">
        <v>0</v>
      </c>
      <c r="K98">
        <v>0</v>
      </c>
      <c r="L98" s="4">
        <v>91.709844559585491</v>
      </c>
      <c r="M98" s="4">
        <f t="shared" si="3"/>
        <v>92.122528926649139</v>
      </c>
      <c r="N98" s="4">
        <f t="shared" si="4"/>
        <v>-0.41268436706364753</v>
      </c>
      <c r="O98" s="4">
        <f t="shared" si="5"/>
        <v>0.17030838681872337</v>
      </c>
    </row>
    <row r="99" spans="1:15" x14ac:dyDescent="0.35">
      <c r="A99">
        <v>14</v>
      </c>
      <c r="B99">
        <v>2015</v>
      </c>
      <c r="C99">
        <v>2</v>
      </c>
      <c r="D99" t="s">
        <v>8</v>
      </c>
      <c r="E99" t="s">
        <v>9</v>
      </c>
      <c r="F99" t="s">
        <v>52</v>
      </c>
      <c r="G99" t="s">
        <v>53</v>
      </c>
      <c r="H99">
        <v>14</v>
      </c>
      <c r="I99">
        <v>0</v>
      </c>
      <c r="J99">
        <v>1</v>
      </c>
      <c r="K99">
        <v>0</v>
      </c>
      <c r="L99" s="4">
        <v>92.672413793103445</v>
      </c>
      <c r="M99" s="4">
        <f t="shared" si="3"/>
        <v>92.574356181465532</v>
      </c>
      <c r="N99" s="4">
        <f t="shared" si="4"/>
        <v>9.8057611637912601E-2</v>
      </c>
      <c r="O99" s="4">
        <f t="shared" si="5"/>
        <v>9.6152952001316919E-3</v>
      </c>
    </row>
    <row r="100" spans="1:15" x14ac:dyDescent="0.35">
      <c r="A100">
        <v>15</v>
      </c>
      <c r="B100">
        <v>2015</v>
      </c>
      <c r="C100">
        <v>3</v>
      </c>
      <c r="D100" t="s">
        <v>8</v>
      </c>
      <c r="E100" t="s">
        <v>9</v>
      </c>
      <c r="F100" t="s">
        <v>52</v>
      </c>
      <c r="G100" t="s">
        <v>53</v>
      </c>
      <c r="H100">
        <v>15</v>
      </c>
      <c r="I100">
        <v>0</v>
      </c>
      <c r="J100">
        <v>0</v>
      </c>
      <c r="K100">
        <v>1</v>
      </c>
      <c r="L100" s="4">
        <v>86.142322097378283</v>
      </c>
      <c r="M100" s="4">
        <f t="shared" si="3"/>
        <v>91.712490590264579</v>
      </c>
      <c r="N100" s="4">
        <f t="shared" si="4"/>
        <v>-5.570168492886296</v>
      </c>
      <c r="O100" s="4">
        <f t="shared" si="5"/>
        <v>31.026777039143191</v>
      </c>
    </row>
    <row r="101" spans="1:15" x14ac:dyDescent="0.35">
      <c r="A101">
        <v>16</v>
      </c>
      <c r="B101">
        <v>2015</v>
      </c>
      <c r="C101">
        <v>4</v>
      </c>
      <c r="D101" t="s">
        <v>8</v>
      </c>
      <c r="E101" t="s">
        <v>9</v>
      </c>
      <c r="F101" t="s">
        <v>52</v>
      </c>
      <c r="G101" t="s">
        <v>53</v>
      </c>
      <c r="H101">
        <v>16</v>
      </c>
      <c r="I101">
        <v>0</v>
      </c>
      <c r="J101">
        <v>0</v>
      </c>
      <c r="K101">
        <v>0</v>
      </c>
      <c r="L101" s="4">
        <v>88.659793814432987</v>
      </c>
      <c r="M101" s="4">
        <f t="shared" si="3"/>
        <v>91.13308465443879</v>
      </c>
      <c r="N101" s="4">
        <f t="shared" si="4"/>
        <v>-2.4732908400058022</v>
      </c>
      <c r="O101" s="4">
        <f t="shared" si="5"/>
        <v>6.1171675792566065</v>
      </c>
    </row>
    <row r="102" spans="1:15" x14ac:dyDescent="0.35">
      <c r="A102">
        <v>17</v>
      </c>
      <c r="B102">
        <v>2016</v>
      </c>
      <c r="C102">
        <v>1</v>
      </c>
      <c r="D102" t="s">
        <v>8</v>
      </c>
      <c r="E102" t="s">
        <v>9</v>
      </c>
      <c r="F102" t="s">
        <v>52</v>
      </c>
      <c r="G102" t="s">
        <v>53</v>
      </c>
      <c r="H102">
        <v>17</v>
      </c>
      <c r="I102">
        <v>1</v>
      </c>
      <c r="J102">
        <v>0</v>
      </c>
      <c r="K102">
        <v>0</v>
      </c>
      <c r="L102" s="4">
        <v>92.410714285714292</v>
      </c>
      <c r="M102" s="4">
        <f t="shared" si="3"/>
        <v>91.515617139704233</v>
      </c>
      <c r="N102" s="4">
        <f t="shared" si="4"/>
        <v>0.89509714601005896</v>
      </c>
      <c r="O102" s="4">
        <f t="shared" si="5"/>
        <v>0.80119890079535283</v>
      </c>
    </row>
    <row r="103" spans="1:15" x14ac:dyDescent="0.35">
      <c r="A103">
        <v>18</v>
      </c>
      <c r="B103">
        <v>2016</v>
      </c>
      <c r="C103">
        <v>2</v>
      </c>
      <c r="D103" t="s">
        <v>8</v>
      </c>
      <c r="E103" t="s">
        <v>9</v>
      </c>
      <c r="F103" t="s">
        <v>52</v>
      </c>
      <c r="G103" t="s">
        <v>53</v>
      </c>
      <c r="H103">
        <v>18</v>
      </c>
      <c r="I103">
        <v>0</v>
      </c>
      <c r="J103">
        <v>1</v>
      </c>
      <c r="K103">
        <v>0</v>
      </c>
      <c r="L103" s="4">
        <v>89.610389610389603</v>
      </c>
      <c r="M103" s="4">
        <f t="shared" si="3"/>
        <v>91.967444394520626</v>
      </c>
      <c r="N103" s="4">
        <f t="shared" si="4"/>
        <v>-2.357054784131023</v>
      </c>
      <c r="O103" s="4">
        <f t="shared" si="5"/>
        <v>5.5557072553949434</v>
      </c>
    </row>
    <row r="104" spans="1:15" x14ac:dyDescent="0.35">
      <c r="A104">
        <v>19</v>
      </c>
      <c r="B104">
        <v>2016</v>
      </c>
      <c r="C104">
        <v>3</v>
      </c>
      <c r="D104" t="s">
        <v>8</v>
      </c>
      <c r="E104" t="s">
        <v>9</v>
      </c>
      <c r="F104" t="s">
        <v>52</v>
      </c>
      <c r="G104" t="s">
        <v>53</v>
      </c>
      <c r="H104">
        <v>19</v>
      </c>
      <c r="I104">
        <v>0</v>
      </c>
      <c r="J104">
        <v>0</v>
      </c>
      <c r="K104">
        <v>1</v>
      </c>
      <c r="L104" s="4">
        <v>82.969432314410483</v>
      </c>
      <c r="M104" s="4">
        <f t="shared" si="3"/>
        <v>91.105578803319673</v>
      </c>
      <c r="N104" s="4">
        <f t="shared" si="4"/>
        <v>-8.1361464889091906</v>
      </c>
      <c r="O104" s="4">
        <f t="shared" si="5"/>
        <v>66.196879688989355</v>
      </c>
    </row>
    <row r="105" spans="1:15" x14ac:dyDescent="0.35">
      <c r="A105">
        <v>20</v>
      </c>
      <c r="B105">
        <v>2016</v>
      </c>
      <c r="C105">
        <v>4</v>
      </c>
      <c r="D105" t="s">
        <v>8</v>
      </c>
      <c r="E105" t="s">
        <v>9</v>
      </c>
      <c r="F105" t="s">
        <v>52</v>
      </c>
      <c r="G105" t="s">
        <v>53</v>
      </c>
      <c r="H105">
        <v>20</v>
      </c>
      <c r="I105">
        <v>0</v>
      </c>
      <c r="J105">
        <v>0</v>
      </c>
      <c r="K105">
        <v>0</v>
      </c>
      <c r="L105" s="4">
        <v>87.169811320754718</v>
      </c>
      <c r="M105" s="4">
        <f t="shared" si="3"/>
        <v>90.526172867493884</v>
      </c>
      <c r="N105" s="4">
        <f t="shared" si="4"/>
        <v>-3.3563615467391656</v>
      </c>
      <c r="O105" s="4">
        <f t="shared" si="5"/>
        <v>11.265162832429324</v>
      </c>
    </row>
    <row r="106" spans="1:15" x14ac:dyDescent="0.35">
      <c r="A106">
        <v>21</v>
      </c>
      <c r="B106">
        <v>2017</v>
      </c>
      <c r="C106">
        <v>1</v>
      </c>
      <c r="D106" t="s">
        <v>8</v>
      </c>
      <c r="E106" t="s">
        <v>9</v>
      </c>
      <c r="F106" t="s">
        <v>52</v>
      </c>
      <c r="G106" t="s">
        <v>53</v>
      </c>
      <c r="H106">
        <v>21</v>
      </c>
      <c r="I106">
        <v>1</v>
      </c>
      <c r="J106">
        <v>0</v>
      </c>
      <c r="K106">
        <v>0</v>
      </c>
      <c r="L106" s="4">
        <v>89.88326848249028</v>
      </c>
      <c r="M106" s="4">
        <f t="shared" si="3"/>
        <v>90.908705352759341</v>
      </c>
      <c r="N106" s="4">
        <f t="shared" si="4"/>
        <v>-1.0254368702690613</v>
      </c>
      <c r="O106" s="4">
        <f t="shared" si="5"/>
        <v>1.0515207749072075</v>
      </c>
    </row>
    <row r="107" spans="1:15" x14ac:dyDescent="0.35">
      <c r="A107">
        <v>22</v>
      </c>
      <c r="B107">
        <v>2017</v>
      </c>
      <c r="C107">
        <v>2</v>
      </c>
      <c r="D107" t="s">
        <v>8</v>
      </c>
      <c r="E107" t="s">
        <v>9</v>
      </c>
      <c r="F107" t="s">
        <v>52</v>
      </c>
      <c r="G107" t="s">
        <v>53</v>
      </c>
      <c r="H107">
        <v>22</v>
      </c>
      <c r="I107">
        <v>0</v>
      </c>
      <c r="J107">
        <v>1</v>
      </c>
      <c r="K107">
        <v>0</v>
      </c>
      <c r="L107" s="4">
        <v>90.34749034749035</v>
      </c>
      <c r="M107" s="4">
        <f t="shared" si="3"/>
        <v>91.36053260757572</v>
      </c>
      <c r="N107" s="4">
        <f t="shared" si="4"/>
        <v>-1.0130422600853706</v>
      </c>
      <c r="O107" s="4">
        <f t="shared" si="5"/>
        <v>1.0262546207188756</v>
      </c>
    </row>
    <row r="108" spans="1:15" x14ac:dyDescent="0.35">
      <c r="A108">
        <v>23</v>
      </c>
      <c r="B108">
        <v>2017</v>
      </c>
      <c r="C108">
        <v>3</v>
      </c>
      <c r="D108" t="s">
        <v>8</v>
      </c>
      <c r="E108" t="s">
        <v>9</v>
      </c>
      <c r="F108" t="s">
        <v>52</v>
      </c>
      <c r="G108" t="s">
        <v>53</v>
      </c>
      <c r="H108">
        <v>23</v>
      </c>
      <c r="I108">
        <v>0</v>
      </c>
      <c r="J108">
        <v>0</v>
      </c>
      <c r="K108">
        <v>1</v>
      </c>
      <c r="L108" s="4">
        <v>89.642857142857153</v>
      </c>
      <c r="M108" s="4">
        <f t="shared" si="3"/>
        <v>90.498667016374768</v>
      </c>
      <c r="N108" s="4">
        <f t="shared" si="4"/>
        <v>-0.85580987351761451</v>
      </c>
      <c r="O108" s="4">
        <f t="shared" si="5"/>
        <v>0.73241053961023539</v>
      </c>
    </row>
    <row r="109" spans="1:15" x14ac:dyDescent="0.35">
      <c r="A109">
        <v>24</v>
      </c>
      <c r="B109">
        <v>2017</v>
      </c>
      <c r="C109">
        <v>4</v>
      </c>
      <c r="D109" t="s">
        <v>8</v>
      </c>
      <c r="E109" t="s">
        <v>9</v>
      </c>
      <c r="F109" t="s">
        <v>52</v>
      </c>
      <c r="G109" t="s">
        <v>53</v>
      </c>
      <c r="H109">
        <v>24</v>
      </c>
      <c r="I109">
        <v>0</v>
      </c>
      <c r="J109">
        <v>0</v>
      </c>
      <c r="K109">
        <v>0</v>
      </c>
      <c r="L109" s="4">
        <v>89.400921658986178</v>
      </c>
      <c r="M109" s="4">
        <f t="shared" si="3"/>
        <v>89.919261080548992</v>
      </c>
      <c r="N109" s="4">
        <f t="shared" si="4"/>
        <v>-0.5183394215628141</v>
      </c>
      <c r="O109" s="4">
        <f t="shared" si="5"/>
        <v>0.26867575594607268</v>
      </c>
    </row>
    <row r="110" spans="1:15" x14ac:dyDescent="0.35">
      <c r="A110">
        <v>25</v>
      </c>
      <c r="B110">
        <v>2018</v>
      </c>
      <c r="C110">
        <v>1</v>
      </c>
      <c r="D110" t="s">
        <v>8</v>
      </c>
      <c r="E110" t="s">
        <v>9</v>
      </c>
      <c r="F110" t="s">
        <v>52</v>
      </c>
      <c r="G110" t="s">
        <v>53</v>
      </c>
      <c r="H110">
        <v>25</v>
      </c>
      <c r="I110">
        <v>1</v>
      </c>
      <c r="J110">
        <v>0</v>
      </c>
      <c r="K110">
        <v>0</v>
      </c>
      <c r="L110" s="4">
        <v>86.419753086419746</v>
      </c>
      <c r="M110" s="4">
        <f t="shared" si="3"/>
        <v>90.301793565814435</v>
      </c>
      <c r="N110" s="4">
        <f t="shared" si="4"/>
        <v>-3.8820404793946892</v>
      </c>
      <c r="O110" s="4">
        <f t="shared" si="5"/>
        <v>15.070238283658949</v>
      </c>
    </row>
    <row r="111" spans="1:15" x14ac:dyDescent="0.35">
      <c r="A111">
        <v>26</v>
      </c>
      <c r="B111">
        <v>2018</v>
      </c>
      <c r="C111">
        <v>2</v>
      </c>
      <c r="D111" t="s">
        <v>8</v>
      </c>
      <c r="E111" t="s">
        <v>9</v>
      </c>
      <c r="F111" t="s">
        <v>52</v>
      </c>
      <c r="G111" t="s">
        <v>53</v>
      </c>
      <c r="H111">
        <v>26</v>
      </c>
      <c r="I111">
        <v>0</v>
      </c>
      <c r="J111">
        <v>1</v>
      </c>
      <c r="K111">
        <v>0</v>
      </c>
      <c r="L111" s="4">
        <v>87.931034482758619</v>
      </c>
      <c r="M111" s="4">
        <f t="shared" si="3"/>
        <v>90.753620820630815</v>
      </c>
      <c r="N111" s="4">
        <f t="shared" si="4"/>
        <v>-2.8225863378721954</v>
      </c>
      <c r="O111" s="4">
        <f t="shared" si="5"/>
        <v>7.9669936347427708</v>
      </c>
    </row>
    <row r="112" spans="1:15" x14ac:dyDescent="0.35">
      <c r="A112">
        <v>27</v>
      </c>
      <c r="B112">
        <v>2018</v>
      </c>
      <c r="C112">
        <v>3</v>
      </c>
      <c r="D112" t="s">
        <v>8</v>
      </c>
      <c r="E112" t="s">
        <v>9</v>
      </c>
      <c r="F112" t="s">
        <v>52</v>
      </c>
      <c r="G112" t="s">
        <v>53</v>
      </c>
      <c r="H112">
        <v>27</v>
      </c>
      <c r="I112">
        <v>0</v>
      </c>
      <c r="J112">
        <v>0</v>
      </c>
      <c r="K112">
        <v>1</v>
      </c>
      <c r="L112" s="4">
        <v>83.467741935483872</v>
      </c>
      <c r="M112" s="4">
        <f t="shared" si="3"/>
        <v>89.891755229429876</v>
      </c>
      <c r="N112" s="4">
        <f t="shared" si="4"/>
        <v>-6.424013293946004</v>
      </c>
      <c r="O112" s="4">
        <f t="shared" si="5"/>
        <v>41.267946800794988</v>
      </c>
    </row>
    <row r="113" spans="1:15" x14ac:dyDescent="0.35">
      <c r="A113">
        <v>28</v>
      </c>
      <c r="B113">
        <v>2018</v>
      </c>
      <c r="C113">
        <v>4</v>
      </c>
      <c r="D113" t="s">
        <v>8</v>
      </c>
      <c r="E113" t="s">
        <v>9</v>
      </c>
      <c r="F113" t="s">
        <v>52</v>
      </c>
      <c r="G113" t="s">
        <v>53</v>
      </c>
      <c r="H113">
        <v>28</v>
      </c>
      <c r="I113">
        <v>0</v>
      </c>
      <c r="J113">
        <v>0</v>
      </c>
      <c r="K113">
        <v>0</v>
      </c>
      <c r="L113" s="4">
        <v>82.926829268292678</v>
      </c>
      <c r="M113" s="4">
        <f t="shared" si="3"/>
        <v>89.312349293604086</v>
      </c>
      <c r="N113" s="4">
        <f t="shared" si="4"/>
        <v>-6.3855200253114077</v>
      </c>
      <c r="O113" s="4">
        <f t="shared" si="5"/>
        <v>40.774865993653002</v>
      </c>
    </row>
    <row r="114" spans="1:15" x14ac:dyDescent="0.35">
      <c r="A114">
        <v>29</v>
      </c>
      <c r="B114">
        <v>2019</v>
      </c>
      <c r="C114">
        <v>1</v>
      </c>
      <c r="D114" t="s">
        <v>8</v>
      </c>
      <c r="E114" t="s">
        <v>9</v>
      </c>
      <c r="F114" t="s">
        <v>52</v>
      </c>
      <c r="G114" t="s">
        <v>53</v>
      </c>
      <c r="H114">
        <v>29</v>
      </c>
      <c r="I114">
        <v>1</v>
      </c>
      <c r="J114">
        <v>0</v>
      </c>
      <c r="K114">
        <v>0</v>
      </c>
      <c r="L114" s="4">
        <v>88.60759493670885</v>
      </c>
      <c r="M114" s="4">
        <f t="shared" si="3"/>
        <v>89.694881778869529</v>
      </c>
      <c r="N114" s="4">
        <f t="shared" si="4"/>
        <v>-1.0872868421606796</v>
      </c>
      <c r="O114" s="4">
        <f t="shared" si="5"/>
        <v>1.1821926771357427</v>
      </c>
    </row>
    <row r="115" spans="1:15" x14ac:dyDescent="0.35">
      <c r="A115">
        <v>30</v>
      </c>
      <c r="B115">
        <v>2019</v>
      </c>
      <c r="C115">
        <v>2</v>
      </c>
      <c r="D115" t="s">
        <v>8</v>
      </c>
      <c r="E115" t="s">
        <v>9</v>
      </c>
      <c r="F115" t="s">
        <v>52</v>
      </c>
      <c r="G115" t="s">
        <v>53</v>
      </c>
      <c r="H115">
        <v>30</v>
      </c>
      <c r="I115">
        <v>0</v>
      </c>
      <c r="J115">
        <v>1</v>
      </c>
      <c r="K115">
        <v>0</v>
      </c>
      <c r="L115" s="4">
        <v>89.523809523809533</v>
      </c>
      <c r="M115" s="4">
        <f t="shared" si="3"/>
        <v>90.146709033685923</v>
      </c>
      <c r="N115" s="4">
        <f t="shared" si="4"/>
        <v>-0.62289950987639031</v>
      </c>
      <c r="O115" s="4">
        <f t="shared" si="5"/>
        <v>0.38800379940424728</v>
      </c>
    </row>
    <row r="116" spans="1:15" x14ac:dyDescent="0.35">
      <c r="A116">
        <v>31</v>
      </c>
      <c r="B116">
        <v>2019</v>
      </c>
      <c r="C116">
        <v>3</v>
      </c>
      <c r="D116" t="s">
        <v>8</v>
      </c>
      <c r="E116" t="s">
        <v>9</v>
      </c>
      <c r="F116" t="s">
        <v>52</v>
      </c>
      <c r="G116" t="s">
        <v>53</v>
      </c>
      <c r="H116">
        <v>31</v>
      </c>
      <c r="I116">
        <v>0</v>
      </c>
      <c r="J116">
        <v>0</v>
      </c>
      <c r="K116">
        <v>1</v>
      </c>
      <c r="L116" s="4">
        <v>95.238095238095227</v>
      </c>
      <c r="M116" s="4">
        <f t="shared" si="3"/>
        <v>89.28484344248497</v>
      </c>
      <c r="N116" s="4">
        <f t="shared" si="4"/>
        <v>5.9532517956102566</v>
      </c>
      <c r="O116" s="4">
        <f t="shared" si="5"/>
        <v>35.441206941936748</v>
      </c>
    </row>
    <row r="117" spans="1:15" x14ac:dyDescent="0.35">
      <c r="A117">
        <v>32</v>
      </c>
      <c r="B117">
        <v>2019</v>
      </c>
      <c r="C117">
        <v>4</v>
      </c>
      <c r="D117" t="s">
        <v>8</v>
      </c>
      <c r="E117" t="s">
        <v>9</v>
      </c>
      <c r="F117" t="s">
        <v>52</v>
      </c>
      <c r="G117" t="s">
        <v>53</v>
      </c>
      <c r="H117">
        <v>32</v>
      </c>
      <c r="I117">
        <v>0</v>
      </c>
      <c r="J117">
        <v>0</v>
      </c>
      <c r="K117">
        <v>0</v>
      </c>
      <c r="L117" s="4">
        <v>94.930875576036868</v>
      </c>
      <c r="M117" s="4">
        <f t="shared" si="3"/>
        <v>88.70543750665918</v>
      </c>
      <c r="N117" s="4">
        <f t="shared" si="4"/>
        <v>6.2254380693776881</v>
      </c>
      <c r="O117" s="4">
        <f t="shared" si="5"/>
        <v>38.756079155656998</v>
      </c>
    </row>
    <row r="118" spans="1:15" x14ac:dyDescent="0.35">
      <c r="A118">
        <v>33</v>
      </c>
      <c r="B118">
        <v>2021</v>
      </c>
      <c r="C118">
        <v>1</v>
      </c>
      <c r="D118" t="s">
        <v>8</v>
      </c>
      <c r="E118" t="s">
        <v>9</v>
      </c>
      <c r="F118" t="s">
        <v>52</v>
      </c>
      <c r="G118" t="s">
        <v>53</v>
      </c>
      <c r="H118">
        <v>37</v>
      </c>
      <c r="I118">
        <v>1</v>
      </c>
      <c r="J118">
        <v>0</v>
      </c>
      <c r="K118">
        <v>0</v>
      </c>
      <c r="L118" s="4">
        <v>93.782383419689126</v>
      </c>
      <c r="M118" s="4">
        <f t="shared" si="3"/>
        <v>88.481058204979732</v>
      </c>
      <c r="N118" s="4">
        <f t="shared" si="4"/>
        <v>5.3013252147093937</v>
      </c>
      <c r="O118" s="4">
        <f t="shared" si="5"/>
        <v>28.104049032113601</v>
      </c>
    </row>
    <row r="119" spans="1:15" x14ac:dyDescent="0.35">
      <c r="A119">
        <v>34</v>
      </c>
      <c r="B119">
        <v>2021</v>
      </c>
      <c r="C119">
        <v>2</v>
      </c>
      <c r="D119" t="s">
        <v>8</v>
      </c>
      <c r="E119" t="s">
        <v>9</v>
      </c>
      <c r="F119" t="s">
        <v>52</v>
      </c>
      <c r="G119" t="s">
        <v>53</v>
      </c>
      <c r="H119">
        <v>38</v>
      </c>
      <c r="I119">
        <v>0</v>
      </c>
      <c r="J119">
        <v>1</v>
      </c>
      <c r="K119">
        <v>0</v>
      </c>
      <c r="L119" s="4">
        <v>90.909090909090907</v>
      </c>
      <c r="M119" s="4">
        <f t="shared" si="3"/>
        <v>88.932885459796111</v>
      </c>
      <c r="N119" s="4">
        <f t="shared" si="4"/>
        <v>1.9762054492947954</v>
      </c>
      <c r="O119" s="4">
        <f t="shared" si="5"/>
        <v>3.9053879778224441</v>
      </c>
    </row>
    <row r="120" spans="1:15" x14ac:dyDescent="0.35">
      <c r="A120">
        <v>35</v>
      </c>
      <c r="B120">
        <v>2021</v>
      </c>
      <c r="C120">
        <v>3</v>
      </c>
      <c r="D120" t="s">
        <v>8</v>
      </c>
      <c r="E120" t="s">
        <v>9</v>
      </c>
      <c r="F120" t="s">
        <v>52</v>
      </c>
      <c r="G120" t="s">
        <v>53</v>
      </c>
      <c r="H120">
        <v>39</v>
      </c>
      <c r="I120">
        <v>0</v>
      </c>
      <c r="J120">
        <v>0</v>
      </c>
      <c r="K120">
        <v>1</v>
      </c>
      <c r="L120" s="4">
        <v>92.857142857142861</v>
      </c>
      <c r="M120" s="4">
        <f t="shared" si="3"/>
        <v>88.071019868595172</v>
      </c>
      <c r="N120" s="4">
        <f t="shared" si="4"/>
        <v>4.7861229885476888</v>
      </c>
      <c r="O120" s="4">
        <f t="shared" si="5"/>
        <v>22.90697326150466</v>
      </c>
    </row>
    <row r="121" spans="1:15" x14ac:dyDescent="0.35">
      <c r="A121">
        <v>36</v>
      </c>
      <c r="B121">
        <v>2021</v>
      </c>
      <c r="C121">
        <v>4</v>
      </c>
      <c r="D121" t="s">
        <v>8</v>
      </c>
      <c r="E121" t="s">
        <v>9</v>
      </c>
      <c r="F121" t="s">
        <v>52</v>
      </c>
      <c r="G121" t="s">
        <v>53</v>
      </c>
      <c r="H121">
        <v>40</v>
      </c>
      <c r="I121">
        <v>0</v>
      </c>
      <c r="J121">
        <v>0</v>
      </c>
      <c r="K121">
        <v>0</v>
      </c>
      <c r="L121" s="4">
        <v>88.185654008438817</v>
      </c>
      <c r="M121" s="4">
        <f t="shared" si="3"/>
        <v>87.491613932769383</v>
      </c>
      <c r="N121" s="4">
        <f t="shared" si="4"/>
        <v>0.69404007566943449</v>
      </c>
      <c r="O121" s="4">
        <f t="shared" si="5"/>
        <v>0.48169162663523435</v>
      </c>
    </row>
    <row r="122" spans="1:15" x14ac:dyDescent="0.35">
      <c r="H122">
        <v>41</v>
      </c>
      <c r="I122">
        <v>1</v>
      </c>
      <c r="J122">
        <v>0</v>
      </c>
      <c r="K122">
        <v>0</v>
      </c>
      <c r="L122" s="4"/>
      <c r="M122" s="4">
        <f t="shared" ref="M122:M125" si="6">$I$128+$I$129*H122+$I$130*I122+$I$131*J122+$I$132*K122</f>
        <v>87.874146418034826</v>
      </c>
      <c r="N122" s="4"/>
      <c r="O122" s="4"/>
    </row>
    <row r="123" spans="1:15" x14ac:dyDescent="0.35">
      <c r="H123">
        <v>42</v>
      </c>
      <c r="I123">
        <v>0</v>
      </c>
      <c r="J123">
        <v>1</v>
      </c>
      <c r="K123">
        <v>0</v>
      </c>
      <c r="L123" s="4"/>
      <c r="M123" s="4">
        <f t="shared" si="6"/>
        <v>88.325973672851219</v>
      </c>
      <c r="N123" s="4"/>
      <c r="O123" s="4"/>
    </row>
    <row r="124" spans="1:15" x14ac:dyDescent="0.35">
      <c r="H124">
        <v>43</v>
      </c>
      <c r="I124">
        <v>0</v>
      </c>
      <c r="J124">
        <v>0</v>
      </c>
      <c r="K124">
        <v>1</v>
      </c>
      <c r="L124" s="4"/>
      <c r="M124" s="4">
        <f t="shared" si="6"/>
        <v>87.464108081650267</v>
      </c>
      <c r="N124" s="4"/>
      <c r="O124" s="4"/>
    </row>
    <row r="125" spans="1:15" x14ac:dyDescent="0.35">
      <c r="H125">
        <v>44</v>
      </c>
      <c r="I125">
        <v>0</v>
      </c>
      <c r="J125">
        <v>0</v>
      </c>
      <c r="K125">
        <v>0</v>
      </c>
      <c r="L125" s="4"/>
      <c r="M125" s="4">
        <f t="shared" si="6"/>
        <v>86.884702145824477</v>
      </c>
      <c r="N125" s="4"/>
      <c r="O125" s="4"/>
    </row>
    <row r="126" spans="1:15" ht="15" thickBot="1" x14ac:dyDescent="0.4"/>
    <row r="127" spans="1:15" x14ac:dyDescent="0.35">
      <c r="H127" s="5"/>
      <c r="I127" s="5" t="s">
        <v>17</v>
      </c>
    </row>
    <row r="128" spans="1:15" x14ac:dyDescent="0.35">
      <c r="H128" t="s">
        <v>18</v>
      </c>
      <c r="I128">
        <v>93.560731802218399</v>
      </c>
    </row>
    <row r="129" spans="1:15" x14ac:dyDescent="0.35">
      <c r="H129" t="s">
        <v>0</v>
      </c>
      <c r="I129">
        <v>-0.15172794673622544</v>
      </c>
    </row>
    <row r="130" spans="1:15" x14ac:dyDescent="0.35">
      <c r="H130" t="s">
        <v>20</v>
      </c>
      <c r="I130">
        <v>0.53426043200167461</v>
      </c>
    </row>
    <row r="131" spans="1:15" x14ac:dyDescent="0.35">
      <c r="H131" t="s">
        <v>21</v>
      </c>
      <c r="I131">
        <v>1.1378156335542771</v>
      </c>
    </row>
    <row r="132" spans="1:15" ht="15" thickBot="1" x14ac:dyDescent="0.4">
      <c r="H132" s="6" t="s">
        <v>22</v>
      </c>
      <c r="I132" s="6">
        <v>0.42767798908956123</v>
      </c>
    </row>
    <row r="133" spans="1:15" x14ac:dyDescent="0.35">
      <c r="H133"/>
    </row>
    <row r="134" spans="1:15" x14ac:dyDescent="0.35">
      <c r="A134" t="s">
        <v>23</v>
      </c>
      <c r="G134" t="s">
        <v>55</v>
      </c>
      <c r="H134" s="4">
        <v>0.7</v>
      </c>
    </row>
    <row r="135" spans="1:15" x14ac:dyDescent="0.3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  <c r="G135" s="1" t="s">
        <v>6</v>
      </c>
      <c r="H135" s="2" t="s">
        <v>7</v>
      </c>
      <c r="I135" s="1" t="s">
        <v>13</v>
      </c>
      <c r="J135" s="1" t="s">
        <v>14</v>
      </c>
      <c r="K135" s="1" t="s">
        <v>15</v>
      </c>
      <c r="M135" s="1" t="s">
        <v>16</v>
      </c>
      <c r="N135" s="4">
        <f>AVERAGE(K137:K171)</f>
        <v>10.371182338134913</v>
      </c>
    </row>
    <row r="136" spans="1:15" x14ac:dyDescent="0.35">
      <c r="A136">
        <v>1</v>
      </c>
      <c r="B136">
        <v>2012</v>
      </c>
      <c r="C136">
        <v>1</v>
      </c>
      <c r="D136" t="s">
        <v>8</v>
      </c>
      <c r="E136" t="s">
        <v>9</v>
      </c>
      <c r="F136" t="s">
        <v>52</v>
      </c>
      <c r="G136" t="s">
        <v>53</v>
      </c>
      <c r="H136" s="4">
        <v>95.927601809954751</v>
      </c>
      <c r="I136" s="4"/>
      <c r="J136" s="4"/>
      <c r="K136" s="4"/>
    </row>
    <row r="137" spans="1:15" x14ac:dyDescent="0.35">
      <c r="A137">
        <v>2</v>
      </c>
      <c r="B137">
        <v>2012</v>
      </c>
      <c r="C137">
        <v>2</v>
      </c>
      <c r="D137" t="s">
        <v>8</v>
      </c>
      <c r="E137" t="s">
        <v>9</v>
      </c>
      <c r="F137" t="s">
        <v>52</v>
      </c>
      <c r="G137" t="s">
        <v>53</v>
      </c>
      <c r="H137" s="4">
        <v>96.832579185520359</v>
      </c>
      <c r="I137" s="4">
        <f>H136</f>
        <v>95.927601809954751</v>
      </c>
      <c r="J137" s="4">
        <f t="shared" ref="J137:J171" si="7">H137-I137</f>
        <v>0.90497737556560764</v>
      </c>
      <c r="K137" s="4">
        <f t="shared" ref="K137:K171" si="8">J137*J137</f>
        <v>0.81898405028561483</v>
      </c>
    </row>
    <row r="138" spans="1:15" x14ac:dyDescent="0.35">
      <c r="A138">
        <v>3</v>
      </c>
      <c r="B138">
        <v>2012</v>
      </c>
      <c r="C138">
        <v>3</v>
      </c>
      <c r="D138" t="s">
        <v>8</v>
      </c>
      <c r="E138" t="s">
        <v>9</v>
      </c>
      <c r="F138" t="s">
        <v>52</v>
      </c>
      <c r="G138" t="s">
        <v>53</v>
      </c>
      <c r="H138" s="4">
        <v>95.238095238095227</v>
      </c>
      <c r="I138" s="4">
        <f>$H$134*H137+(1-$H$134)*I137</f>
        <v>96.561085972850663</v>
      </c>
      <c r="J138" s="4">
        <f t="shared" si="7"/>
        <v>-1.3229907347554359</v>
      </c>
      <c r="K138" s="4">
        <f t="shared" si="8"/>
        <v>1.7503044842487283</v>
      </c>
      <c r="M138" t="s">
        <v>25</v>
      </c>
      <c r="N138" t="s">
        <v>16</v>
      </c>
    </row>
    <row r="139" spans="1:15" x14ac:dyDescent="0.35">
      <c r="A139">
        <v>4</v>
      </c>
      <c r="B139">
        <v>2012</v>
      </c>
      <c r="C139">
        <v>4</v>
      </c>
      <c r="D139" t="s">
        <v>8</v>
      </c>
      <c r="E139" t="s">
        <v>9</v>
      </c>
      <c r="F139" t="s">
        <v>52</v>
      </c>
      <c r="G139" t="s">
        <v>53</v>
      </c>
      <c r="H139" s="4">
        <v>95.544554455445535</v>
      </c>
      <c r="I139" s="4">
        <f t="shared" ref="I139:I172" si="9">$H$134*H138+(1-$H$134)*I138</f>
        <v>95.634992458521864</v>
      </c>
      <c r="J139" s="4">
        <f t="shared" si="7"/>
        <v>-9.043800307632921E-2</v>
      </c>
      <c r="K139" s="4">
        <f t="shared" si="8"/>
        <v>8.1790324004341313E-3</v>
      </c>
      <c r="M139">
        <v>0.2</v>
      </c>
      <c r="N139">
        <v>13.34</v>
      </c>
    </row>
    <row r="140" spans="1:15" x14ac:dyDescent="0.35">
      <c r="A140">
        <v>5</v>
      </c>
      <c r="B140">
        <v>2013</v>
      </c>
      <c r="C140">
        <v>1</v>
      </c>
      <c r="D140" t="s">
        <v>8</v>
      </c>
      <c r="E140" t="s">
        <v>9</v>
      </c>
      <c r="F140" t="s">
        <v>52</v>
      </c>
      <c r="G140" t="s">
        <v>53</v>
      </c>
      <c r="H140" s="4">
        <v>93.212669683257914</v>
      </c>
      <c r="I140" s="4">
        <f t="shared" si="9"/>
        <v>95.571685856368447</v>
      </c>
      <c r="J140" s="4">
        <f t="shared" si="7"/>
        <v>-2.3590161731105326</v>
      </c>
      <c r="K140" s="4">
        <f t="shared" si="8"/>
        <v>5.564957304997062</v>
      </c>
      <c r="M140">
        <v>0.4</v>
      </c>
      <c r="N140">
        <v>11.9</v>
      </c>
    </row>
    <row r="141" spans="1:15" x14ac:dyDescent="0.35">
      <c r="A141">
        <v>6</v>
      </c>
      <c r="B141">
        <v>2013</v>
      </c>
      <c r="C141">
        <v>2</v>
      </c>
      <c r="D141" t="s">
        <v>8</v>
      </c>
      <c r="E141" t="s">
        <v>9</v>
      </c>
      <c r="F141" t="s">
        <v>52</v>
      </c>
      <c r="G141" t="s">
        <v>53</v>
      </c>
      <c r="H141" s="4">
        <v>94.468085106382986</v>
      </c>
      <c r="I141" s="4">
        <f t="shared" si="9"/>
        <v>93.920374535191073</v>
      </c>
      <c r="J141" s="4">
        <f t="shared" si="7"/>
        <v>0.54771057119191369</v>
      </c>
      <c r="K141" s="4">
        <f t="shared" si="8"/>
        <v>0.29998686979537237</v>
      </c>
      <c r="M141">
        <v>0.6</v>
      </c>
      <c r="N141">
        <v>11.59</v>
      </c>
    </row>
    <row r="142" spans="1:15" x14ac:dyDescent="0.35">
      <c r="A142">
        <v>7</v>
      </c>
      <c r="B142">
        <v>2013</v>
      </c>
      <c r="C142">
        <v>3</v>
      </c>
      <c r="D142" t="s">
        <v>8</v>
      </c>
      <c r="E142" t="s">
        <v>9</v>
      </c>
      <c r="F142" t="s">
        <v>52</v>
      </c>
      <c r="G142" t="s">
        <v>53</v>
      </c>
      <c r="H142" s="4">
        <v>96</v>
      </c>
      <c r="I142" s="4">
        <f t="shared" si="9"/>
        <v>94.303771935025409</v>
      </c>
      <c r="J142" s="4">
        <f t="shared" si="7"/>
        <v>1.6962280649745907</v>
      </c>
      <c r="K142" s="4">
        <f t="shared" si="8"/>
        <v>2.8771896484074442</v>
      </c>
      <c r="M142">
        <v>0.8</v>
      </c>
      <c r="N142">
        <v>11.63</v>
      </c>
    </row>
    <row r="143" spans="1:15" x14ac:dyDescent="0.35">
      <c r="A143">
        <v>8</v>
      </c>
      <c r="B143">
        <v>2013</v>
      </c>
      <c r="C143">
        <v>4</v>
      </c>
      <c r="D143" t="s">
        <v>8</v>
      </c>
      <c r="E143" t="s">
        <v>9</v>
      </c>
      <c r="F143" t="s">
        <v>52</v>
      </c>
      <c r="G143" t="s">
        <v>53</v>
      </c>
      <c r="H143" s="4">
        <v>90.366972477064223</v>
      </c>
      <c r="I143" s="4">
        <f t="shared" si="9"/>
        <v>95.491131580507613</v>
      </c>
      <c r="J143" s="4">
        <f t="shared" si="7"/>
        <v>-5.1241591034433895</v>
      </c>
      <c r="K143" s="4">
        <f t="shared" si="8"/>
        <v>26.257006517401763</v>
      </c>
      <c r="M143">
        <v>0.7</v>
      </c>
      <c r="N143">
        <v>11.58</v>
      </c>
      <c r="O143" t="s">
        <v>26</v>
      </c>
    </row>
    <row r="144" spans="1:15" x14ac:dyDescent="0.35">
      <c r="A144">
        <v>9</v>
      </c>
      <c r="B144">
        <v>2014</v>
      </c>
      <c r="C144">
        <v>1</v>
      </c>
      <c r="D144" t="s">
        <v>8</v>
      </c>
      <c r="E144" t="s">
        <v>9</v>
      </c>
      <c r="F144" t="s">
        <v>52</v>
      </c>
      <c r="G144" t="s">
        <v>53</v>
      </c>
      <c r="H144" s="4">
        <v>91.079812206572768</v>
      </c>
      <c r="I144" s="4">
        <f t="shared" si="9"/>
        <v>91.904220208097243</v>
      </c>
      <c r="J144" s="4">
        <f t="shared" si="7"/>
        <v>-0.8244080015244748</v>
      </c>
      <c r="K144" s="4">
        <f t="shared" si="8"/>
        <v>0.67964855297757842</v>
      </c>
    </row>
    <row r="145" spans="1:11" x14ac:dyDescent="0.35">
      <c r="A145">
        <v>10</v>
      </c>
      <c r="B145">
        <v>2014</v>
      </c>
      <c r="C145">
        <v>2</v>
      </c>
      <c r="D145" t="s">
        <v>8</v>
      </c>
      <c r="E145" t="s">
        <v>9</v>
      </c>
      <c r="F145" t="s">
        <v>52</v>
      </c>
      <c r="G145" t="s">
        <v>53</v>
      </c>
      <c r="H145" s="4">
        <v>94.805194805194802</v>
      </c>
      <c r="I145" s="4">
        <f t="shared" si="9"/>
        <v>91.327134607030118</v>
      </c>
      <c r="J145" s="4">
        <f t="shared" si="7"/>
        <v>3.4780601981646839</v>
      </c>
      <c r="K145" s="4">
        <f t="shared" si="8"/>
        <v>12.09690274205736</v>
      </c>
    </row>
    <row r="146" spans="1:11" x14ac:dyDescent="0.35">
      <c r="A146">
        <v>11</v>
      </c>
      <c r="B146">
        <v>2014</v>
      </c>
      <c r="C146">
        <v>3</v>
      </c>
      <c r="D146" t="s">
        <v>8</v>
      </c>
      <c r="E146" t="s">
        <v>9</v>
      </c>
      <c r="F146" t="s">
        <v>52</v>
      </c>
      <c r="G146" t="s">
        <v>53</v>
      </c>
      <c r="H146" s="4">
        <v>97.787610619469021</v>
      </c>
      <c r="I146" s="4">
        <f t="shared" si="9"/>
        <v>93.761776745745408</v>
      </c>
      <c r="J146" s="4">
        <f t="shared" si="7"/>
        <v>4.025833873723613</v>
      </c>
      <c r="K146" s="4">
        <f t="shared" si="8"/>
        <v>16.20733837882047</v>
      </c>
    </row>
    <row r="147" spans="1:11" x14ac:dyDescent="0.35">
      <c r="A147">
        <v>12</v>
      </c>
      <c r="B147">
        <v>2014</v>
      </c>
      <c r="C147">
        <v>4</v>
      </c>
      <c r="D147" t="s">
        <v>8</v>
      </c>
      <c r="E147" t="s">
        <v>9</v>
      </c>
      <c r="F147" t="s">
        <v>52</v>
      </c>
      <c r="G147" t="s">
        <v>53</v>
      </c>
      <c r="H147" s="4">
        <v>96.943231441048042</v>
      </c>
      <c r="I147" s="4">
        <f t="shared" si="9"/>
        <v>96.579860457351941</v>
      </c>
      <c r="J147" s="4">
        <f t="shared" si="7"/>
        <v>0.36337098369610032</v>
      </c>
      <c r="K147" s="4">
        <f t="shared" si="8"/>
        <v>0.1320384717922716</v>
      </c>
    </row>
    <row r="148" spans="1:11" x14ac:dyDescent="0.35">
      <c r="A148">
        <v>13</v>
      </c>
      <c r="B148">
        <v>2015</v>
      </c>
      <c r="C148">
        <v>1</v>
      </c>
      <c r="D148" t="s">
        <v>8</v>
      </c>
      <c r="E148" t="s">
        <v>9</v>
      </c>
      <c r="F148" t="s">
        <v>52</v>
      </c>
      <c r="G148" t="s">
        <v>53</v>
      </c>
      <c r="H148" s="4">
        <v>91.709844559585491</v>
      </c>
      <c r="I148" s="4">
        <f t="shared" si="9"/>
        <v>96.834220145939213</v>
      </c>
      <c r="J148" s="4">
        <f t="shared" si="7"/>
        <v>-5.1243755863537217</v>
      </c>
      <c r="K148" s="4">
        <f t="shared" si="8"/>
        <v>26.25922515001805</v>
      </c>
    </row>
    <row r="149" spans="1:11" x14ac:dyDescent="0.35">
      <c r="A149">
        <v>14</v>
      </c>
      <c r="B149">
        <v>2015</v>
      </c>
      <c r="C149">
        <v>2</v>
      </c>
      <c r="D149" t="s">
        <v>8</v>
      </c>
      <c r="E149" t="s">
        <v>9</v>
      </c>
      <c r="F149" t="s">
        <v>52</v>
      </c>
      <c r="G149" t="s">
        <v>53</v>
      </c>
      <c r="H149" s="4">
        <v>92.672413793103445</v>
      </c>
      <c r="I149" s="4">
        <f t="shared" si="9"/>
        <v>93.247157235491613</v>
      </c>
      <c r="J149" s="4">
        <f t="shared" si="7"/>
        <v>-0.57474344238816855</v>
      </c>
      <c r="K149" s="4">
        <f t="shared" si="8"/>
        <v>0.33033002456820204</v>
      </c>
    </row>
    <row r="150" spans="1:11" x14ac:dyDescent="0.35">
      <c r="A150">
        <v>15</v>
      </c>
      <c r="B150">
        <v>2015</v>
      </c>
      <c r="C150">
        <v>3</v>
      </c>
      <c r="D150" t="s">
        <v>8</v>
      </c>
      <c r="E150" t="s">
        <v>9</v>
      </c>
      <c r="F150" t="s">
        <v>52</v>
      </c>
      <c r="G150" t="s">
        <v>53</v>
      </c>
      <c r="H150" s="4">
        <v>86.142322097378283</v>
      </c>
      <c r="I150" s="4">
        <f t="shared" si="9"/>
        <v>92.844836825819897</v>
      </c>
      <c r="J150" s="4">
        <f t="shared" si="7"/>
        <v>-6.7025147284416136</v>
      </c>
      <c r="K150" s="4">
        <f t="shared" si="8"/>
        <v>44.923703684976758</v>
      </c>
    </row>
    <row r="151" spans="1:11" x14ac:dyDescent="0.35">
      <c r="A151">
        <v>16</v>
      </c>
      <c r="B151">
        <v>2015</v>
      </c>
      <c r="C151">
        <v>4</v>
      </c>
      <c r="D151" t="s">
        <v>8</v>
      </c>
      <c r="E151" t="s">
        <v>9</v>
      </c>
      <c r="F151" t="s">
        <v>52</v>
      </c>
      <c r="G151" t="s">
        <v>53</v>
      </c>
      <c r="H151" s="4">
        <v>88.659793814432987</v>
      </c>
      <c r="I151" s="4">
        <f t="shared" si="9"/>
        <v>88.153076515910769</v>
      </c>
      <c r="J151" s="4">
        <f t="shared" si="7"/>
        <v>0.50671729852221858</v>
      </c>
      <c r="K151" s="4">
        <f t="shared" si="8"/>
        <v>0.25676242062165516</v>
      </c>
    </row>
    <row r="152" spans="1:11" x14ac:dyDescent="0.35">
      <c r="A152">
        <v>17</v>
      </c>
      <c r="B152">
        <v>2016</v>
      </c>
      <c r="C152">
        <v>1</v>
      </c>
      <c r="D152" t="s">
        <v>8</v>
      </c>
      <c r="E152" t="s">
        <v>9</v>
      </c>
      <c r="F152" t="s">
        <v>52</v>
      </c>
      <c r="G152" t="s">
        <v>53</v>
      </c>
      <c r="H152" s="4">
        <v>92.410714285714292</v>
      </c>
      <c r="I152" s="4">
        <f t="shared" si="9"/>
        <v>88.507778624876323</v>
      </c>
      <c r="J152" s="4">
        <f t="shared" si="7"/>
        <v>3.9029356608379686</v>
      </c>
      <c r="K152" s="4">
        <f t="shared" si="8"/>
        <v>15.23290677264071</v>
      </c>
    </row>
    <row r="153" spans="1:11" x14ac:dyDescent="0.35">
      <c r="A153">
        <v>18</v>
      </c>
      <c r="B153">
        <v>2016</v>
      </c>
      <c r="C153">
        <v>2</v>
      </c>
      <c r="D153" t="s">
        <v>8</v>
      </c>
      <c r="E153" t="s">
        <v>9</v>
      </c>
      <c r="F153" t="s">
        <v>52</v>
      </c>
      <c r="G153" t="s">
        <v>53</v>
      </c>
      <c r="H153" s="4">
        <v>89.610389610389603</v>
      </c>
      <c r="I153" s="4">
        <f t="shared" si="9"/>
        <v>91.239833587462897</v>
      </c>
      <c r="J153" s="4">
        <f t="shared" si="7"/>
        <v>-1.6294439770732936</v>
      </c>
      <c r="K153" s="4">
        <f t="shared" si="8"/>
        <v>2.6550876744204319</v>
      </c>
    </row>
    <row r="154" spans="1:11" x14ac:dyDescent="0.35">
      <c r="A154">
        <v>19</v>
      </c>
      <c r="B154">
        <v>2016</v>
      </c>
      <c r="C154">
        <v>3</v>
      </c>
      <c r="D154" t="s">
        <v>8</v>
      </c>
      <c r="E154" t="s">
        <v>9</v>
      </c>
      <c r="F154" t="s">
        <v>52</v>
      </c>
      <c r="G154" t="s">
        <v>53</v>
      </c>
      <c r="H154" s="4">
        <v>82.969432314410483</v>
      </c>
      <c r="I154" s="4">
        <f t="shared" si="9"/>
        <v>90.099222803511594</v>
      </c>
      <c r="J154" s="4">
        <f t="shared" si="7"/>
        <v>-7.1297904891011115</v>
      </c>
      <c r="K154" s="4">
        <f t="shared" si="8"/>
        <v>50.833912418476665</v>
      </c>
    </row>
    <row r="155" spans="1:11" x14ac:dyDescent="0.35">
      <c r="A155">
        <v>20</v>
      </c>
      <c r="B155">
        <v>2016</v>
      </c>
      <c r="C155">
        <v>4</v>
      </c>
      <c r="D155" t="s">
        <v>8</v>
      </c>
      <c r="E155" t="s">
        <v>9</v>
      </c>
      <c r="F155" t="s">
        <v>52</v>
      </c>
      <c r="G155" t="s">
        <v>53</v>
      </c>
      <c r="H155" s="4">
        <v>87.169811320754718</v>
      </c>
      <c r="I155" s="4">
        <f t="shared" si="9"/>
        <v>85.108369461140811</v>
      </c>
      <c r="J155" s="4">
        <f t="shared" si="7"/>
        <v>2.0614418596139075</v>
      </c>
      <c r="K155" s="4">
        <f t="shared" si="8"/>
        <v>4.249542540568445</v>
      </c>
    </row>
    <row r="156" spans="1:11" x14ac:dyDescent="0.35">
      <c r="A156">
        <v>21</v>
      </c>
      <c r="B156">
        <v>2017</v>
      </c>
      <c r="C156">
        <v>1</v>
      </c>
      <c r="D156" t="s">
        <v>8</v>
      </c>
      <c r="E156" t="s">
        <v>9</v>
      </c>
      <c r="F156" t="s">
        <v>52</v>
      </c>
      <c r="G156" t="s">
        <v>53</v>
      </c>
      <c r="H156" s="4">
        <v>89.88326848249028</v>
      </c>
      <c r="I156" s="4">
        <f t="shared" si="9"/>
        <v>86.551378762870542</v>
      </c>
      <c r="J156" s="4">
        <f t="shared" si="7"/>
        <v>3.3318897196197383</v>
      </c>
      <c r="K156" s="4">
        <f t="shared" si="8"/>
        <v>11.101489103707699</v>
      </c>
    </row>
    <row r="157" spans="1:11" x14ac:dyDescent="0.35">
      <c r="A157">
        <v>22</v>
      </c>
      <c r="B157">
        <v>2017</v>
      </c>
      <c r="C157">
        <v>2</v>
      </c>
      <c r="D157" t="s">
        <v>8</v>
      </c>
      <c r="E157" t="s">
        <v>9</v>
      </c>
      <c r="F157" t="s">
        <v>52</v>
      </c>
      <c r="G157" t="s">
        <v>53</v>
      </c>
      <c r="H157" s="4">
        <v>90.34749034749035</v>
      </c>
      <c r="I157" s="4">
        <f t="shared" si="9"/>
        <v>88.883701566604358</v>
      </c>
      <c r="J157" s="4">
        <f t="shared" si="7"/>
        <v>1.4637887808859915</v>
      </c>
      <c r="K157" s="4">
        <f t="shared" si="8"/>
        <v>2.1426775950476973</v>
      </c>
    </row>
    <row r="158" spans="1:11" x14ac:dyDescent="0.35">
      <c r="A158">
        <v>23</v>
      </c>
      <c r="B158">
        <v>2017</v>
      </c>
      <c r="C158">
        <v>3</v>
      </c>
      <c r="D158" t="s">
        <v>8</v>
      </c>
      <c r="E158" t="s">
        <v>9</v>
      </c>
      <c r="F158" t="s">
        <v>52</v>
      </c>
      <c r="G158" t="s">
        <v>53</v>
      </c>
      <c r="H158" s="4">
        <v>89.642857142857153</v>
      </c>
      <c r="I158" s="4">
        <f t="shared" si="9"/>
        <v>89.908353713224557</v>
      </c>
      <c r="J158" s="4">
        <f t="shared" si="7"/>
        <v>-0.26549657036740371</v>
      </c>
      <c r="K158" s="4">
        <f t="shared" si="8"/>
        <v>7.0488428876853748E-2</v>
      </c>
    </row>
    <row r="159" spans="1:11" x14ac:dyDescent="0.35">
      <c r="A159">
        <v>24</v>
      </c>
      <c r="B159">
        <v>2017</v>
      </c>
      <c r="C159">
        <v>4</v>
      </c>
      <c r="D159" t="s">
        <v>8</v>
      </c>
      <c r="E159" t="s">
        <v>9</v>
      </c>
      <c r="F159" t="s">
        <v>52</v>
      </c>
      <c r="G159" t="s">
        <v>53</v>
      </c>
      <c r="H159" s="4">
        <v>89.400921658986178</v>
      </c>
      <c r="I159" s="4">
        <f t="shared" si="9"/>
        <v>89.72250611396737</v>
      </c>
      <c r="J159" s="4">
        <f t="shared" si="7"/>
        <v>-0.32158445498119193</v>
      </c>
      <c r="K159" s="4">
        <f t="shared" si="8"/>
        <v>0.10341656168555026</v>
      </c>
    </row>
    <row r="160" spans="1:11" x14ac:dyDescent="0.35">
      <c r="A160">
        <v>25</v>
      </c>
      <c r="B160">
        <v>2018</v>
      </c>
      <c r="C160">
        <v>1</v>
      </c>
      <c r="D160" t="s">
        <v>8</v>
      </c>
      <c r="E160" t="s">
        <v>9</v>
      </c>
      <c r="F160" t="s">
        <v>52</v>
      </c>
      <c r="G160" t="s">
        <v>53</v>
      </c>
      <c r="H160" s="4">
        <v>86.419753086419746</v>
      </c>
      <c r="I160" s="4">
        <f t="shared" si="9"/>
        <v>89.497396995480528</v>
      </c>
      <c r="J160" s="4">
        <f t="shared" si="7"/>
        <v>-3.0776439090607823</v>
      </c>
      <c r="K160" s="4">
        <f t="shared" si="8"/>
        <v>9.4718920309789336</v>
      </c>
    </row>
    <row r="161" spans="1:11" x14ac:dyDescent="0.35">
      <c r="A161">
        <v>26</v>
      </c>
      <c r="B161">
        <v>2018</v>
      </c>
      <c r="C161">
        <v>2</v>
      </c>
      <c r="D161" t="s">
        <v>8</v>
      </c>
      <c r="E161" t="s">
        <v>9</v>
      </c>
      <c r="F161" t="s">
        <v>52</v>
      </c>
      <c r="G161" t="s">
        <v>53</v>
      </c>
      <c r="H161" s="4">
        <v>87.931034482758619</v>
      </c>
      <c r="I161" s="4">
        <f t="shared" si="9"/>
        <v>87.343046259137978</v>
      </c>
      <c r="J161" s="4">
        <f t="shared" si="7"/>
        <v>0.58798822362064129</v>
      </c>
      <c r="K161" s="4">
        <f t="shared" si="8"/>
        <v>0.34573015111655725</v>
      </c>
    </row>
    <row r="162" spans="1:11" x14ac:dyDescent="0.35">
      <c r="A162">
        <v>27</v>
      </c>
      <c r="B162">
        <v>2018</v>
      </c>
      <c r="C162">
        <v>3</v>
      </c>
      <c r="D162" t="s">
        <v>8</v>
      </c>
      <c r="E162" t="s">
        <v>9</v>
      </c>
      <c r="F162" t="s">
        <v>52</v>
      </c>
      <c r="G162" t="s">
        <v>53</v>
      </c>
      <c r="H162" s="4">
        <v>83.467741935483872</v>
      </c>
      <c r="I162" s="4">
        <f t="shared" si="9"/>
        <v>87.754638015672427</v>
      </c>
      <c r="J162" s="4">
        <f t="shared" si="7"/>
        <v>-4.2868960801885549</v>
      </c>
      <c r="K162" s="4">
        <f t="shared" si="8"/>
        <v>18.377478002335998</v>
      </c>
    </row>
    <row r="163" spans="1:11" x14ac:dyDescent="0.35">
      <c r="A163">
        <v>28</v>
      </c>
      <c r="B163">
        <v>2018</v>
      </c>
      <c r="C163">
        <v>4</v>
      </c>
      <c r="D163" t="s">
        <v>8</v>
      </c>
      <c r="E163" t="s">
        <v>9</v>
      </c>
      <c r="F163" t="s">
        <v>52</v>
      </c>
      <c r="G163" t="s">
        <v>53</v>
      </c>
      <c r="H163" s="4">
        <v>82.926829268292678</v>
      </c>
      <c r="I163" s="4">
        <f t="shared" si="9"/>
        <v>84.753810759540443</v>
      </c>
      <c r="J163" s="4">
        <f t="shared" si="7"/>
        <v>-1.8269814912477642</v>
      </c>
      <c r="K163" s="4">
        <f t="shared" si="8"/>
        <v>3.3378613693619044</v>
      </c>
    </row>
    <row r="164" spans="1:11" x14ac:dyDescent="0.35">
      <c r="A164">
        <v>29</v>
      </c>
      <c r="B164">
        <v>2019</v>
      </c>
      <c r="C164">
        <v>1</v>
      </c>
      <c r="D164" t="s">
        <v>8</v>
      </c>
      <c r="E164" t="s">
        <v>9</v>
      </c>
      <c r="F164" t="s">
        <v>52</v>
      </c>
      <c r="G164" t="s">
        <v>53</v>
      </c>
      <c r="H164" s="4">
        <v>88.60759493670885</v>
      </c>
      <c r="I164" s="4">
        <f t="shared" si="9"/>
        <v>83.474923715667003</v>
      </c>
      <c r="J164" s="4">
        <f t="shared" si="7"/>
        <v>5.1326712210418464</v>
      </c>
      <c r="K164" s="4">
        <f t="shared" si="8"/>
        <v>26.344313863311196</v>
      </c>
    </row>
    <row r="165" spans="1:11" x14ac:dyDescent="0.35">
      <c r="A165">
        <v>30</v>
      </c>
      <c r="B165">
        <v>2019</v>
      </c>
      <c r="C165">
        <v>2</v>
      </c>
      <c r="D165" t="s">
        <v>8</v>
      </c>
      <c r="E165" t="s">
        <v>9</v>
      </c>
      <c r="F165" t="s">
        <v>52</v>
      </c>
      <c r="G165" t="s">
        <v>53</v>
      </c>
      <c r="H165" s="4">
        <v>89.523809523809533</v>
      </c>
      <c r="I165" s="4">
        <f t="shared" si="9"/>
        <v>87.067793570396304</v>
      </c>
      <c r="J165" s="4">
        <f t="shared" si="7"/>
        <v>2.4560159534132282</v>
      </c>
      <c r="K165" s="4">
        <f t="shared" si="8"/>
        <v>6.0320143634202887</v>
      </c>
    </row>
    <row r="166" spans="1:11" x14ac:dyDescent="0.35">
      <c r="A166">
        <v>31</v>
      </c>
      <c r="B166">
        <v>2019</v>
      </c>
      <c r="C166">
        <v>3</v>
      </c>
      <c r="D166" t="s">
        <v>8</v>
      </c>
      <c r="E166" t="s">
        <v>9</v>
      </c>
      <c r="F166" t="s">
        <v>52</v>
      </c>
      <c r="G166" t="s">
        <v>53</v>
      </c>
      <c r="H166" s="4">
        <v>95.238095238095227</v>
      </c>
      <c r="I166" s="4">
        <f t="shared" si="9"/>
        <v>88.787004737785566</v>
      </c>
      <c r="J166" s="4">
        <f t="shared" si="7"/>
        <v>6.451090500309661</v>
      </c>
      <c r="K166" s="4">
        <f t="shared" si="8"/>
        <v>41.616568643185552</v>
      </c>
    </row>
    <row r="167" spans="1:11" x14ac:dyDescent="0.35">
      <c r="A167">
        <v>32</v>
      </c>
      <c r="B167">
        <v>2019</v>
      </c>
      <c r="C167">
        <v>4</v>
      </c>
      <c r="D167" t="s">
        <v>8</v>
      </c>
      <c r="E167" t="s">
        <v>9</v>
      </c>
      <c r="F167" t="s">
        <v>52</v>
      </c>
      <c r="G167" t="s">
        <v>53</v>
      </c>
      <c r="H167" s="4">
        <v>94.930875576036868</v>
      </c>
      <c r="I167" s="4">
        <f t="shared" si="9"/>
        <v>93.302768088002324</v>
      </c>
      <c r="J167" s="4">
        <f t="shared" si="7"/>
        <v>1.6281074880345443</v>
      </c>
      <c r="K167" s="4">
        <f t="shared" si="8"/>
        <v>2.6507339925941538</v>
      </c>
    </row>
    <row r="168" spans="1:11" x14ac:dyDescent="0.35">
      <c r="A168">
        <v>33</v>
      </c>
      <c r="B168">
        <v>2021</v>
      </c>
      <c r="C168">
        <v>1</v>
      </c>
      <c r="D168" t="s">
        <v>8</v>
      </c>
      <c r="E168" t="s">
        <v>9</v>
      </c>
      <c r="F168" t="s">
        <v>52</v>
      </c>
      <c r="G168" t="s">
        <v>53</v>
      </c>
      <c r="H168" s="4">
        <v>93.782383419689126</v>
      </c>
      <c r="I168" s="4">
        <f t="shared" si="9"/>
        <v>94.442443329626514</v>
      </c>
      <c r="J168" s="4">
        <f t="shared" si="7"/>
        <v>-0.66005990993738806</v>
      </c>
      <c r="K168" s="4">
        <f t="shared" si="8"/>
        <v>0.43567908470655281</v>
      </c>
    </row>
    <row r="169" spans="1:11" x14ac:dyDescent="0.35">
      <c r="A169">
        <v>34</v>
      </c>
      <c r="B169">
        <v>2021</v>
      </c>
      <c r="C169">
        <v>2</v>
      </c>
      <c r="D169" t="s">
        <v>8</v>
      </c>
      <c r="E169" t="s">
        <v>9</v>
      </c>
      <c r="F169" t="s">
        <v>52</v>
      </c>
      <c r="G169" t="s">
        <v>53</v>
      </c>
      <c r="H169" s="4">
        <v>90.909090909090907</v>
      </c>
      <c r="I169" s="4">
        <f t="shared" si="9"/>
        <v>93.980401392670345</v>
      </c>
      <c r="J169" s="4">
        <f t="shared" si="7"/>
        <v>-3.0713104835794383</v>
      </c>
      <c r="K169" s="4">
        <f t="shared" si="8"/>
        <v>9.4329480865449629</v>
      </c>
    </row>
    <row r="170" spans="1:11" x14ac:dyDescent="0.35">
      <c r="A170">
        <v>35</v>
      </c>
      <c r="B170">
        <v>2021</v>
      </c>
      <c r="C170">
        <v>3</v>
      </c>
      <c r="D170" t="s">
        <v>8</v>
      </c>
      <c r="E170" t="s">
        <v>9</v>
      </c>
      <c r="F170" t="s">
        <v>52</v>
      </c>
      <c r="G170" t="s">
        <v>53</v>
      </c>
      <c r="H170" s="4">
        <v>92.857142857142861</v>
      </c>
      <c r="I170" s="4">
        <f t="shared" si="9"/>
        <v>91.830484054164742</v>
      </c>
      <c r="J170" s="4">
        <f t="shared" si="7"/>
        <v>1.026658802978119</v>
      </c>
      <c r="K170" s="4">
        <f t="shared" si="8"/>
        <v>1.054028297732464</v>
      </c>
    </row>
    <row r="171" spans="1:11" x14ac:dyDescent="0.35">
      <c r="A171">
        <v>36</v>
      </c>
      <c r="B171">
        <v>2021</v>
      </c>
      <c r="C171">
        <v>4</v>
      </c>
      <c r="D171" t="s">
        <v>8</v>
      </c>
      <c r="E171" t="s">
        <v>9</v>
      </c>
      <c r="F171" t="s">
        <v>52</v>
      </c>
      <c r="G171" t="s">
        <v>53</v>
      </c>
      <c r="H171" s="4">
        <v>88.185654008438817</v>
      </c>
      <c r="I171" s="4">
        <f t="shared" si="9"/>
        <v>92.549145216249428</v>
      </c>
      <c r="J171" s="4">
        <f t="shared" si="7"/>
        <v>-4.3634912078106112</v>
      </c>
      <c r="K171" s="4">
        <f t="shared" si="8"/>
        <v>19.040055520640507</v>
      </c>
    </row>
    <row r="172" spans="1:11" x14ac:dyDescent="0.35">
      <c r="A172">
        <v>37</v>
      </c>
      <c r="I172" s="4">
        <f t="shared" si="9"/>
        <v>89.494701370781996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BC10-676F-4E19-84E6-C278F1AEDC7B}">
  <dimension ref="A1:I18"/>
  <sheetViews>
    <sheetView workbookViewId="0">
      <selection activeCell="A16" sqref="A16:B18"/>
    </sheetView>
  </sheetViews>
  <sheetFormatPr defaultRowHeight="14.5" x14ac:dyDescent="0.35"/>
  <sheetData>
    <row r="1" spans="1:9" x14ac:dyDescent="0.35">
      <c r="A1" t="s">
        <v>27</v>
      </c>
    </row>
    <row r="2" spans="1:9" ht="15" thickBot="1" x14ac:dyDescent="0.4"/>
    <row r="3" spans="1:9" x14ac:dyDescent="0.35">
      <c r="A3" s="7" t="s">
        <v>28</v>
      </c>
      <c r="B3" s="7"/>
    </row>
    <row r="4" spans="1:9" x14ac:dyDescent="0.35">
      <c r="A4" t="s">
        <v>29</v>
      </c>
      <c r="B4">
        <v>0.4644099004067696</v>
      </c>
    </row>
    <row r="5" spans="1:9" x14ac:dyDescent="0.35">
      <c r="A5" t="s">
        <v>30</v>
      </c>
      <c r="B5">
        <v>0.21567655559582566</v>
      </c>
    </row>
    <row r="6" spans="1:9" x14ac:dyDescent="0.35">
      <c r="A6" t="s">
        <v>31</v>
      </c>
      <c r="B6">
        <v>0.19260821899570288</v>
      </c>
    </row>
    <row r="7" spans="1:9" x14ac:dyDescent="0.35">
      <c r="A7" t="s">
        <v>32</v>
      </c>
      <c r="B7">
        <v>3.6190893272033215</v>
      </c>
    </row>
    <row r="8" spans="1:9" ht="15" thickBot="1" x14ac:dyDescent="0.4">
      <c r="A8" s="6" t="s">
        <v>33</v>
      </c>
      <c r="B8" s="6">
        <v>36</v>
      </c>
    </row>
    <row r="10" spans="1:9" ht="15" thickBot="1" x14ac:dyDescent="0.4">
      <c r="A10" t="s">
        <v>34</v>
      </c>
    </row>
    <row r="11" spans="1:9" x14ac:dyDescent="0.35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 x14ac:dyDescent="0.35">
      <c r="A12" t="s">
        <v>40</v>
      </c>
      <c r="B12">
        <v>1</v>
      </c>
      <c r="C12">
        <v>122.45746492233508</v>
      </c>
      <c r="D12">
        <v>122.45746492233508</v>
      </c>
      <c r="E12">
        <v>9.3494628301321807</v>
      </c>
      <c r="F12">
        <v>4.3260051239046729E-3</v>
      </c>
    </row>
    <row r="13" spans="1:9" x14ac:dyDescent="0.35">
      <c r="A13" t="s">
        <v>41</v>
      </c>
      <c r="B13">
        <v>34</v>
      </c>
      <c r="C13">
        <v>445.32545698141774</v>
      </c>
      <c r="D13">
        <v>13.097807558276992</v>
      </c>
    </row>
    <row r="14" spans="1:9" ht="15" thickBot="1" x14ac:dyDescent="0.4">
      <c r="A14" s="6" t="s">
        <v>42</v>
      </c>
      <c r="B14" s="6">
        <v>35</v>
      </c>
      <c r="C14" s="6">
        <v>567.78292190375282</v>
      </c>
      <c r="D14" s="6"/>
      <c r="E14" s="6"/>
      <c r="F14" s="6"/>
    </row>
    <row r="15" spans="1:9" ht="15" thickBot="1" x14ac:dyDescent="0.4"/>
    <row r="16" spans="1:9" x14ac:dyDescent="0.35">
      <c r="A16" s="5"/>
      <c r="B16" s="5" t="s">
        <v>17</v>
      </c>
      <c r="C16" s="5" t="s">
        <v>32</v>
      </c>
      <c r="D16" s="5" t="s">
        <v>43</v>
      </c>
      <c r="E16" s="5" t="s">
        <v>44</v>
      </c>
      <c r="F16" s="5" t="s">
        <v>45</v>
      </c>
      <c r="G16" s="5" t="s">
        <v>46</v>
      </c>
      <c r="H16" s="5" t="s">
        <v>47</v>
      </c>
      <c r="I16" s="5" t="s">
        <v>48</v>
      </c>
    </row>
    <row r="17" spans="1:9" x14ac:dyDescent="0.35">
      <c r="A17" t="s">
        <v>18</v>
      </c>
      <c r="B17">
        <v>94.495765503883405</v>
      </c>
      <c r="C17">
        <v>1.2319425567379094</v>
      </c>
      <c r="D17">
        <v>76.704684798048561</v>
      </c>
      <c r="E17">
        <v>1.1036839859059321E-39</v>
      </c>
      <c r="F17">
        <v>91.992157007157957</v>
      </c>
      <c r="G17">
        <v>96.999374000608853</v>
      </c>
      <c r="H17">
        <v>91.992157007157957</v>
      </c>
      <c r="I17">
        <v>96.999374000608853</v>
      </c>
    </row>
    <row r="18" spans="1:9" ht="15" thickBot="1" x14ac:dyDescent="0.4">
      <c r="A18" s="6" t="s">
        <v>0</v>
      </c>
      <c r="B18" s="6">
        <v>-0.17754037003338713</v>
      </c>
      <c r="C18" s="6">
        <v>5.8063577541170641E-2</v>
      </c>
      <c r="D18" s="6">
        <v>-3.0576891323566846</v>
      </c>
      <c r="E18" s="6">
        <v>4.3260051239046877E-3</v>
      </c>
      <c r="F18" s="6">
        <v>-0.29553975668277477</v>
      </c>
      <c r="G18" s="6">
        <v>-5.9540983383999463E-2</v>
      </c>
      <c r="H18" s="6">
        <v>-0.29553975668277477</v>
      </c>
      <c r="I18" s="6">
        <v>-5.9540983383999463E-2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4AD6-7486-413F-88B0-A85BD566D52A}">
  <dimension ref="A1:I21"/>
  <sheetViews>
    <sheetView topLeftCell="A6" workbookViewId="0">
      <selection activeCell="L15" sqref="L15"/>
    </sheetView>
  </sheetViews>
  <sheetFormatPr defaultRowHeight="14.5" x14ac:dyDescent="0.35"/>
  <sheetData>
    <row r="1" spans="1:9" x14ac:dyDescent="0.35">
      <c r="A1" t="s">
        <v>27</v>
      </c>
    </row>
    <row r="2" spans="1:9" ht="15" thickBot="1" x14ac:dyDescent="0.4"/>
    <row r="3" spans="1:9" x14ac:dyDescent="0.35">
      <c r="A3" s="7" t="s">
        <v>28</v>
      </c>
      <c r="B3" s="7"/>
    </row>
    <row r="4" spans="1:9" x14ac:dyDescent="0.35">
      <c r="A4" t="s">
        <v>29</v>
      </c>
      <c r="B4">
        <v>0.4434226748628054</v>
      </c>
    </row>
    <row r="5" spans="1:9" x14ac:dyDescent="0.35">
      <c r="A5" t="s">
        <v>30</v>
      </c>
      <c r="B5">
        <v>0.19662366858248523</v>
      </c>
    </row>
    <row r="6" spans="1:9" x14ac:dyDescent="0.35">
      <c r="A6" t="s">
        <v>31</v>
      </c>
      <c r="B6">
        <v>9.2962206464096211E-2</v>
      </c>
    </row>
    <row r="7" spans="1:9" x14ac:dyDescent="0.35">
      <c r="A7" t="s">
        <v>32</v>
      </c>
      <c r="B7">
        <v>3.8359225699430541</v>
      </c>
    </row>
    <row r="8" spans="1:9" ht="15" thickBot="1" x14ac:dyDescent="0.4">
      <c r="A8" s="6" t="s">
        <v>33</v>
      </c>
      <c r="B8" s="6">
        <v>36</v>
      </c>
    </row>
    <row r="10" spans="1:9" ht="15" thickBot="1" x14ac:dyDescent="0.4">
      <c r="A10" t="s">
        <v>34</v>
      </c>
    </row>
    <row r="11" spans="1:9" x14ac:dyDescent="0.35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 x14ac:dyDescent="0.35">
      <c r="A12" t="s">
        <v>40</v>
      </c>
      <c r="B12">
        <v>4</v>
      </c>
      <c r="C12">
        <v>111.63956106319858</v>
      </c>
      <c r="D12">
        <v>27.909890265799646</v>
      </c>
      <c r="E12">
        <v>1.8967865643060924</v>
      </c>
      <c r="F12">
        <v>0.13597208831771285</v>
      </c>
    </row>
    <row r="13" spans="1:9" x14ac:dyDescent="0.35">
      <c r="A13" t="s">
        <v>41</v>
      </c>
      <c r="B13">
        <v>31</v>
      </c>
      <c r="C13">
        <v>456.14336084055424</v>
      </c>
      <c r="D13">
        <v>14.714301962598524</v>
      </c>
    </row>
    <row r="14" spans="1:9" ht="15" thickBot="1" x14ac:dyDescent="0.4">
      <c r="A14" s="6" t="s">
        <v>42</v>
      </c>
      <c r="B14" s="6">
        <v>35</v>
      </c>
      <c r="C14" s="6">
        <v>567.78292190375282</v>
      </c>
      <c r="D14" s="6"/>
      <c r="E14" s="6"/>
      <c r="F14" s="6"/>
    </row>
    <row r="15" spans="1:9" ht="15" thickBot="1" x14ac:dyDescent="0.4"/>
    <row r="16" spans="1:9" x14ac:dyDescent="0.35">
      <c r="A16" s="5"/>
      <c r="B16" s="5" t="s">
        <v>17</v>
      </c>
      <c r="C16" s="5" t="s">
        <v>32</v>
      </c>
      <c r="D16" s="5" t="s">
        <v>43</v>
      </c>
      <c r="E16" s="5" t="s">
        <v>44</v>
      </c>
      <c r="F16" s="5" t="s">
        <v>45</v>
      </c>
      <c r="G16" s="5" t="s">
        <v>46</v>
      </c>
      <c r="H16" s="5" t="s">
        <v>47</v>
      </c>
      <c r="I16" s="5" t="s">
        <v>48</v>
      </c>
    </row>
    <row r="17" spans="1:9" x14ac:dyDescent="0.35">
      <c r="A17" t="s">
        <v>18</v>
      </c>
      <c r="B17">
        <v>93.560731802218399</v>
      </c>
      <c r="C17">
        <v>1.7406551806402981</v>
      </c>
      <c r="D17">
        <v>53.750296349792947</v>
      </c>
      <c r="E17">
        <v>3.6090130788167528E-32</v>
      </c>
      <c r="F17">
        <v>90.010642155762937</v>
      </c>
      <c r="G17">
        <v>97.11082144867386</v>
      </c>
      <c r="H17">
        <v>90.010642155762937</v>
      </c>
      <c r="I17">
        <v>97.11082144867386</v>
      </c>
    </row>
    <row r="18" spans="1:9" x14ac:dyDescent="0.35">
      <c r="A18" t="s">
        <v>0</v>
      </c>
      <c r="B18">
        <v>-0.15172794673622544</v>
      </c>
      <c r="C18">
        <v>5.7770384106592645E-2</v>
      </c>
      <c r="D18">
        <v>-2.6263967097097862</v>
      </c>
      <c r="E18">
        <v>1.3288732990718569E-2</v>
      </c>
      <c r="F18">
        <v>-0.2695514219251065</v>
      </c>
      <c r="G18">
        <v>-3.3904471547344397E-2</v>
      </c>
      <c r="H18">
        <v>-0.2695514219251065</v>
      </c>
      <c r="I18">
        <v>-3.3904471547344397E-2</v>
      </c>
    </row>
    <row r="19" spans="1:9" x14ac:dyDescent="0.35">
      <c r="A19" t="s">
        <v>20</v>
      </c>
      <c r="B19">
        <v>0.53426043200167461</v>
      </c>
      <c r="C19">
        <v>1.8165576335739688</v>
      </c>
      <c r="D19">
        <v>0.29410596290883934</v>
      </c>
      <c r="E19">
        <v>0.77063725753995327</v>
      </c>
      <c r="F19">
        <v>-3.1706332878264742</v>
      </c>
      <c r="G19">
        <v>4.2391541518298235</v>
      </c>
      <c r="H19">
        <v>-3.1706332878264742</v>
      </c>
      <c r="I19">
        <v>4.2391541518298235</v>
      </c>
    </row>
    <row r="20" spans="1:9" x14ac:dyDescent="0.35">
      <c r="A20" t="s">
        <v>21</v>
      </c>
      <c r="B20">
        <v>1.1378156335542771</v>
      </c>
      <c r="C20">
        <v>1.8119587604845597</v>
      </c>
      <c r="D20">
        <v>0.62794786413902648</v>
      </c>
      <c r="E20">
        <v>0.53463708621983508</v>
      </c>
      <c r="F20">
        <v>-2.5576986227697516</v>
      </c>
      <c r="G20">
        <v>4.8333298898783053</v>
      </c>
      <c r="H20">
        <v>-2.5576986227697516</v>
      </c>
      <c r="I20">
        <v>4.8333298898783053</v>
      </c>
    </row>
    <row r="21" spans="1:9" ht="15" thickBot="1" x14ac:dyDescent="0.4">
      <c r="A21" s="6" t="s">
        <v>22</v>
      </c>
      <c r="B21" s="6">
        <v>0.42767798908956123</v>
      </c>
      <c r="C21" s="6">
        <v>1.8091938253977302</v>
      </c>
      <c r="D21" s="6">
        <v>0.23639147065712607</v>
      </c>
      <c r="E21" s="6">
        <v>0.81468393055786814</v>
      </c>
      <c r="F21" s="6">
        <v>-3.2621971449464651</v>
      </c>
      <c r="G21" s="6">
        <v>4.117553123125588</v>
      </c>
      <c r="H21" s="6">
        <v>-3.2621971449464651</v>
      </c>
      <c r="I21" s="6">
        <v>4.117553123125588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Final_CancerWaitingTime</vt:lpstr>
      <vt:lpstr>Summary</vt:lpstr>
      <vt:lpstr>S08000020_Grampian20x</vt:lpstr>
      <vt:lpstr>Regtrend_Grampian_without2020</vt:lpstr>
      <vt:lpstr>Regtrend_GrampianSeasonality20x</vt:lpstr>
      <vt:lpstr>S08000024_Lothian</vt:lpstr>
      <vt:lpstr>Regtrend_Lothian_without2020</vt:lpstr>
      <vt:lpstr>Regtrend_Lothian_Seasonality20x</vt:lpstr>
      <vt:lpstr>S08000030_Tayside20x</vt:lpstr>
      <vt:lpstr>Regtrend_Tayside_without2020</vt:lpstr>
      <vt:lpstr>RegTrend_Tayside_seasonality20x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U</dc:creator>
  <cp:lastModifiedBy>Neha U</cp:lastModifiedBy>
  <dcterms:created xsi:type="dcterms:W3CDTF">2023-05-02T19:23:39Z</dcterms:created>
  <dcterms:modified xsi:type="dcterms:W3CDTF">2023-05-19T01:47:26Z</dcterms:modified>
</cp:coreProperties>
</file>